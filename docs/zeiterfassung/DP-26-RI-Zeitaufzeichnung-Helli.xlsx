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jia\Downloads\"/>
    </mc:Choice>
  </mc:AlternateContent>
  <xr:revisionPtr revIDLastSave="0" documentId="8_{2C3A5E5D-EA6A-4D56-800D-393DC39A20CE}" xr6:coauthVersionLast="47" xr6:coauthVersionMax="47" xr10:uidLastSave="{00000000-0000-0000-0000-000000000000}"/>
  <bookViews>
    <workbookView xWindow="-108" yWindow="-108" windowWidth="23256" windowHeight="12456" tabRatio="715" firstSheet="4" activeTab="17" xr2:uid="{00000000-000D-0000-FFFF-FFFF00000000}"/>
  </bookViews>
  <sheets>
    <sheet name="Übersicht" sheetId="18" r:id="rId1"/>
    <sheet name="Projekte" sheetId="17" r:id="rId2"/>
    <sheet name="Jän" sheetId="2" r:id="rId3"/>
    <sheet name="Feb" sheetId="3" r:id="rId4"/>
    <sheet name="Mär" sheetId="4" r:id="rId5"/>
    <sheet name="Apr" sheetId="5" r:id="rId6"/>
    <sheet name="Mai" sheetId="6" r:id="rId7"/>
    <sheet name="Jun" sheetId="7" r:id="rId8"/>
    <sheet name="Jul" sheetId="8" r:id="rId9"/>
    <sheet name="Aug" sheetId="9" r:id="rId10"/>
    <sheet name="Sep" sheetId="10" r:id="rId11"/>
    <sheet name="Okt" sheetId="11" r:id="rId12"/>
    <sheet name="Nov" sheetId="12" r:id="rId13"/>
    <sheet name="Dez" sheetId="13" r:id="rId14"/>
    <sheet name="Auswärtstage" sheetId="19" r:id="rId15"/>
    <sheet name="Abwesenheit" sheetId="14" r:id="rId16"/>
    <sheet name="Dienstreisen" sheetId="15" r:id="rId17"/>
    <sheet name="Stammdaten" sheetId="16" r:id="rId18"/>
  </sheets>
  <definedNames>
    <definedName name="_xlnm._FilterDatabase" localSheetId="15" hidden="1">Abwesenheit!$B$2:$J$58</definedName>
    <definedName name="_xlnm._FilterDatabase" localSheetId="5" hidden="1">Apr!$B$8:$L$983</definedName>
    <definedName name="_xlnm._FilterDatabase" localSheetId="9" hidden="1">Aug!$B$8:$L$960</definedName>
    <definedName name="_xlnm._FilterDatabase" localSheetId="13" hidden="1">Dez!$B$8:$L$999</definedName>
    <definedName name="_xlnm._FilterDatabase" localSheetId="3" hidden="1">Feb!$B$8:$L$987</definedName>
    <definedName name="_xlnm._FilterDatabase" localSheetId="2" hidden="1">Jän!$C$8:$L$994</definedName>
    <definedName name="_xlnm._FilterDatabase" localSheetId="8" hidden="1">Jul!$B$8:$L$1008</definedName>
    <definedName name="_xlnm._FilterDatabase" localSheetId="7" hidden="1">Jun!$B$8:$L$983</definedName>
    <definedName name="_xlnm._FilterDatabase" localSheetId="6" hidden="1">Mai!$B$8:$L$1011</definedName>
    <definedName name="_xlnm._FilterDatabase" localSheetId="4" hidden="1">Mär!$B$8:$L$987</definedName>
    <definedName name="_xlnm._FilterDatabase" localSheetId="12" hidden="1">Nov!$B$8:$L$999</definedName>
    <definedName name="_xlnm._FilterDatabase" localSheetId="11" hidden="1">Okt!$B$8:$L$917</definedName>
    <definedName name="_xlnm._FilterDatabase" localSheetId="10" hidden="1">Sep!$B$8:$L$996</definedName>
    <definedName name="Arbeitspakete">Stammdaten!$H$32:$H$100</definedName>
    <definedName name="Austritt">Stammdaten!$D$17</definedName>
    <definedName name="_xlnm.Print_Area" localSheetId="5">Apr!$A$1:$M$984</definedName>
    <definedName name="_xlnm.Print_Area" localSheetId="13">Dez!$A$1:$M$1000</definedName>
    <definedName name="_xlnm.Print_Area" localSheetId="3">Feb!$A$1:$M$988</definedName>
    <definedName name="_xlnm.Print_Area" localSheetId="2">Jän!$A$1:$M$989</definedName>
    <definedName name="_xlnm.Print_Area" localSheetId="8">Jul!$A$1:$M$1009</definedName>
    <definedName name="_xlnm.Print_Area" localSheetId="7">Jun!$A$1:$M$984</definedName>
    <definedName name="_xlnm.Print_Area" localSheetId="6">Mai!$B$1:$M$1012</definedName>
    <definedName name="_xlnm.Print_Area" localSheetId="4">Mär!$A$1:$M$988</definedName>
    <definedName name="_xlnm.Print_Area" localSheetId="12">Nov!$A$1:$M$1000</definedName>
    <definedName name="_xlnm.Print_Area" localSheetId="11">Okt!$A$1:$M$918</definedName>
    <definedName name="_xlnm.Print_Area" localSheetId="1">Projekte!$A$1:$T$53</definedName>
    <definedName name="_xlnm.Print_Area" localSheetId="10">Sep!$A$1:$M$997</definedName>
    <definedName name="Eintritt">Stammdaten!$D$15</definedName>
    <definedName name="Grund">Abwesenheit!$L$3:$L$13</definedName>
    <definedName name="Jahr">Stammdaten!$D$9</definedName>
    <definedName name="Projektnamen">Stammdaten!$B$32:$B$150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9" l="1"/>
  <c r="B45" i="9"/>
  <c r="C45" i="9" s="1"/>
  <c r="L126" i="8" l="1"/>
  <c r="B126" i="8"/>
  <c r="C126" i="8" s="1"/>
  <c r="L116" i="8"/>
  <c r="B116" i="8"/>
  <c r="C116" i="8" s="1"/>
  <c r="L98" i="8"/>
  <c r="B98" i="8"/>
  <c r="C98" i="8" s="1"/>
  <c r="L92" i="8"/>
  <c r="L93" i="8"/>
  <c r="B92" i="8"/>
  <c r="C92" i="8" s="1"/>
  <c r="B93" i="8"/>
  <c r="C93" i="8" s="1"/>
  <c r="L89" i="8"/>
  <c r="B89" i="8"/>
  <c r="C89" i="8" s="1"/>
  <c r="L85" i="8"/>
  <c r="B85" i="8"/>
  <c r="C85" i="8" s="1"/>
  <c r="L74" i="8"/>
  <c r="B74" i="8"/>
  <c r="C74" i="8" s="1"/>
  <c r="L67" i="8"/>
  <c r="B67" i="8"/>
  <c r="C67" i="8" s="1"/>
  <c r="L18" i="8"/>
  <c r="B18" i="8"/>
  <c r="C18" i="8" s="1"/>
  <c r="L15" i="8"/>
  <c r="B15" i="8"/>
  <c r="C15" i="8" s="1"/>
  <c r="L34" i="8"/>
  <c r="B34" i="8"/>
  <c r="C34" i="8" s="1"/>
  <c r="L106" i="8"/>
  <c r="B106" i="8"/>
  <c r="C106" i="8" s="1"/>
  <c r="L76" i="8"/>
  <c r="B76" i="8"/>
  <c r="C76" i="8" s="1"/>
  <c r="L28" i="8"/>
  <c r="B28" i="8"/>
  <c r="C28" i="8" s="1"/>
  <c r="L26" i="8"/>
  <c r="B26" i="8"/>
  <c r="C26" i="8" s="1"/>
  <c r="L25" i="8"/>
  <c r="B25" i="8"/>
  <c r="C25" i="8" s="1"/>
  <c r="L35" i="7" l="1"/>
  <c r="B35" i="7"/>
  <c r="C35" i="7" s="1"/>
  <c r="L11" i="7"/>
  <c r="B11" i="7"/>
  <c r="C11" i="7" s="1"/>
  <c r="L56" i="6" l="1"/>
  <c r="L54" i="6"/>
  <c r="B54" i="6"/>
  <c r="C54" i="6" s="1"/>
  <c r="L49" i="6"/>
  <c r="B49" i="6"/>
  <c r="C49" i="6" s="1"/>
  <c r="L87" i="5"/>
  <c r="L78" i="5"/>
  <c r="B78" i="5"/>
  <c r="C78" i="5" s="1"/>
  <c r="L74" i="6"/>
  <c r="B74" i="6"/>
  <c r="C74" i="6" s="1"/>
  <c r="L111" i="6"/>
  <c r="L39" i="6"/>
  <c r="B39" i="6"/>
  <c r="C39" i="6" s="1"/>
  <c r="L36" i="6"/>
  <c r="B36" i="6"/>
  <c r="C36" i="6" s="1"/>
  <c r="L35" i="6"/>
  <c r="B35" i="6"/>
  <c r="C35" i="6" s="1"/>
  <c r="L30" i="6"/>
  <c r="B30" i="6"/>
  <c r="C30" i="6" s="1"/>
  <c r="L24" i="6"/>
  <c r="B24" i="6"/>
  <c r="C24" i="6" s="1"/>
  <c r="L23" i="6"/>
  <c r="B23" i="6"/>
  <c r="C23" i="6" s="1"/>
  <c r="L19" i="6"/>
  <c r="B19" i="6"/>
  <c r="C19" i="6" s="1"/>
  <c r="L15" i="6"/>
  <c r="B15" i="6"/>
  <c r="C15" i="6" s="1"/>
  <c r="L95" i="6"/>
  <c r="B95" i="6"/>
  <c r="C95" i="6" s="1"/>
  <c r="L83" i="5"/>
  <c r="B83" i="5"/>
  <c r="C83" i="5" s="1"/>
  <c r="L66" i="6" l="1"/>
  <c r="B66" i="6"/>
  <c r="C66" i="6" s="1"/>
  <c r="L68" i="6"/>
  <c r="L69" i="6"/>
  <c r="B68" i="6"/>
  <c r="C68" i="6" s="1"/>
  <c r="B69" i="6"/>
  <c r="C69" i="6" s="1"/>
  <c r="B45" i="6"/>
  <c r="C45" i="6" s="1"/>
  <c r="L45" i="6"/>
  <c r="B46" i="6"/>
  <c r="C46" i="6" s="1"/>
  <c r="L46" i="6"/>
  <c r="B47" i="6"/>
  <c r="C47" i="6" s="1"/>
  <c r="L47" i="6"/>
  <c r="B48" i="6"/>
  <c r="C48" i="6" s="1"/>
  <c r="L48" i="6"/>
  <c r="L30" i="5"/>
  <c r="B30" i="5"/>
  <c r="C30" i="5" s="1"/>
  <c r="L14" i="4" l="1"/>
  <c r="B14" i="4"/>
  <c r="C14" i="4" s="1"/>
  <c r="B15" i="4"/>
  <c r="C15" i="4" s="1"/>
  <c r="L15" i="4"/>
  <c r="L44" i="3" l="1"/>
  <c r="B44" i="3"/>
  <c r="C44" i="3" s="1"/>
  <c r="L43" i="3"/>
  <c r="B43" i="3"/>
  <c r="C43" i="3" s="1"/>
  <c r="L47" i="3"/>
  <c r="B47" i="3"/>
  <c r="C47" i="3" s="1"/>
  <c r="L15" i="2" l="1"/>
  <c r="B15" i="2"/>
  <c r="C15" i="2" s="1"/>
  <c r="L71" i="2"/>
  <c r="B71" i="2"/>
  <c r="C71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L13" i="2"/>
  <c r="B13" i="2"/>
  <c r="C13" i="2" s="1"/>
  <c r="L22" i="2"/>
  <c r="L23" i="2"/>
  <c r="B22" i="2"/>
  <c r="C22" i="2" s="1"/>
  <c r="B23" i="2"/>
  <c r="C23" i="2" s="1"/>
  <c r="AG4" i="18" l="1"/>
  <c r="AG33" i="18" s="1"/>
  <c r="AD4" i="18"/>
  <c r="AD13" i="18" s="1"/>
  <c r="AA4" i="18"/>
  <c r="AA9" i="18" s="1"/>
  <c r="X4" i="18"/>
  <c r="X7" i="18" s="1"/>
  <c r="U4" i="18"/>
  <c r="U31" i="18" s="1"/>
  <c r="R4" i="18"/>
  <c r="R17" i="18" s="1"/>
  <c r="O4" i="18"/>
  <c r="O31" i="18" s="1"/>
  <c r="L4" i="18"/>
  <c r="M35" i="18" s="1"/>
  <c r="I4" i="18"/>
  <c r="I33" i="18" s="1"/>
  <c r="F4" i="18"/>
  <c r="F22" i="18" s="1"/>
  <c r="AJ4" i="18"/>
  <c r="AC35" i="18" l="1"/>
  <c r="AI35" i="18"/>
  <c r="AJ29" i="18"/>
  <c r="AJ21" i="18"/>
  <c r="AJ13" i="18"/>
  <c r="AJ20" i="18"/>
  <c r="AJ12" i="18"/>
  <c r="AJ14" i="18"/>
  <c r="AJ35" i="18"/>
  <c r="AJ34" i="18"/>
  <c r="AJ26" i="18"/>
  <c r="AJ18" i="18"/>
  <c r="AJ10" i="18"/>
  <c r="AJ33" i="18"/>
  <c r="AJ25" i="18"/>
  <c r="AJ17" i="18"/>
  <c r="AJ9" i="18"/>
  <c r="AJ27" i="18"/>
  <c r="AJ32" i="18"/>
  <c r="AJ24" i="18"/>
  <c r="AJ16" i="18"/>
  <c r="AJ8" i="18"/>
  <c r="AJ30" i="18"/>
  <c r="AJ22" i="18"/>
  <c r="AJ28" i="18"/>
  <c r="AJ19" i="18"/>
  <c r="AJ11" i="18"/>
  <c r="AJ31" i="18"/>
  <c r="AJ23" i="18"/>
  <c r="AJ15" i="18"/>
  <c r="AJ6" i="18"/>
  <c r="O6" i="18"/>
  <c r="L6" i="18"/>
  <c r="O8" i="18"/>
  <c r="F10" i="18"/>
  <c r="U14" i="18"/>
  <c r="R18" i="18"/>
  <c r="R26" i="18"/>
  <c r="L35" i="18"/>
  <c r="L10" i="18"/>
  <c r="R12" i="18"/>
  <c r="L15" i="18"/>
  <c r="R22" i="18"/>
  <c r="R8" i="18"/>
  <c r="AG12" i="18"/>
  <c r="L19" i="18"/>
  <c r="AA22" i="18"/>
  <c r="U27" i="18"/>
  <c r="L5" i="18"/>
  <c r="U6" i="18"/>
  <c r="AG8" i="18"/>
  <c r="U10" i="18"/>
  <c r="L13" i="18"/>
  <c r="X15" i="18"/>
  <c r="U19" i="18"/>
  <c r="R23" i="18"/>
  <c r="O28" i="18"/>
  <c r="R5" i="18"/>
  <c r="AD6" i="18"/>
  <c r="L9" i="18"/>
  <c r="O11" i="18"/>
  <c r="R13" i="18"/>
  <c r="L16" i="18"/>
  <c r="L20" i="18"/>
  <c r="AG28" i="18"/>
  <c r="AJ7" i="18"/>
  <c r="O7" i="18"/>
  <c r="R9" i="18"/>
  <c r="X11" i="18"/>
  <c r="X20" i="18"/>
  <c r="O24" i="18"/>
  <c r="R30" i="18"/>
  <c r="U5" i="18"/>
  <c r="I12" i="18"/>
  <c r="O16" i="18"/>
  <c r="AG20" i="18"/>
  <c r="R25" i="18"/>
  <c r="L31" i="18"/>
  <c r="AJ5" i="18"/>
  <c r="F6" i="18"/>
  <c r="I8" i="18"/>
  <c r="O12" i="18"/>
  <c r="L14" i="18"/>
  <c r="L21" i="18"/>
  <c r="AG25" i="18"/>
  <c r="AD10" i="18"/>
  <c r="AA17" i="18"/>
  <c r="AD18" i="18"/>
  <c r="AA35" i="18"/>
  <c r="AA31" i="18"/>
  <c r="AA27" i="18"/>
  <c r="AA23" i="18"/>
  <c r="AA19" i="18"/>
  <c r="AA15" i="18"/>
  <c r="AA32" i="18"/>
  <c r="AA28" i="18"/>
  <c r="AA24" i="18"/>
  <c r="AA20" i="18"/>
  <c r="AA16" i="18"/>
  <c r="AA34" i="18"/>
  <c r="AA33" i="18"/>
  <c r="AA25" i="18"/>
  <c r="AA18" i="18"/>
  <c r="AA13" i="18"/>
  <c r="AA10" i="18"/>
  <c r="AA6" i="18"/>
  <c r="AB35" i="18"/>
  <c r="AA30" i="18"/>
  <c r="AA26" i="18"/>
  <c r="AA14" i="18"/>
  <c r="AA11" i="18"/>
  <c r="AA7" i="18"/>
  <c r="AA21" i="18"/>
  <c r="AA12" i="18"/>
  <c r="AA8" i="18"/>
  <c r="AA29" i="18"/>
  <c r="H34" i="18"/>
  <c r="F33" i="18"/>
  <c r="F29" i="18"/>
  <c r="F25" i="18"/>
  <c r="G34" i="18"/>
  <c r="H35" i="18"/>
  <c r="F34" i="18"/>
  <c r="F30" i="18"/>
  <c r="F26" i="18"/>
  <c r="G35" i="18"/>
  <c r="F35" i="18"/>
  <c r="F31" i="18"/>
  <c r="F28" i="18"/>
  <c r="F19" i="18"/>
  <c r="F14" i="18"/>
  <c r="F12" i="18"/>
  <c r="F8" i="18"/>
  <c r="F24" i="18"/>
  <c r="F20" i="18"/>
  <c r="F15" i="18"/>
  <c r="F13" i="18"/>
  <c r="F9" i="18"/>
  <c r="F5" i="18"/>
  <c r="F27" i="18"/>
  <c r="F32" i="18"/>
  <c r="F21" i="18"/>
  <c r="F23" i="18"/>
  <c r="F18" i="18"/>
  <c r="F11" i="18"/>
  <c r="F7" i="18"/>
  <c r="AD33" i="18"/>
  <c r="AD29" i="18"/>
  <c r="AD25" i="18"/>
  <c r="AD34" i="18"/>
  <c r="AD30" i="18"/>
  <c r="AD26" i="18"/>
  <c r="AD35" i="18"/>
  <c r="AD31" i="18"/>
  <c r="AD27" i="18"/>
  <c r="AD28" i="18"/>
  <c r="AD20" i="18"/>
  <c r="AD15" i="18"/>
  <c r="AD12" i="18"/>
  <c r="AD8" i="18"/>
  <c r="AD21" i="18"/>
  <c r="AD32" i="18"/>
  <c r="AD22" i="18"/>
  <c r="AD16" i="18"/>
  <c r="AD9" i="18"/>
  <c r="AD5" i="18"/>
  <c r="AD17" i="18"/>
  <c r="AD24" i="18"/>
  <c r="AD19" i="18"/>
  <c r="AD14" i="18"/>
  <c r="AD11" i="18"/>
  <c r="AD7" i="18"/>
  <c r="AA5" i="18"/>
  <c r="F17" i="18"/>
  <c r="F16" i="18"/>
  <c r="AD23" i="18"/>
  <c r="X34" i="18"/>
  <c r="X30" i="18"/>
  <c r="X26" i="18"/>
  <c r="X35" i="18"/>
  <c r="X31" i="18"/>
  <c r="X27" i="18"/>
  <c r="X32" i="18"/>
  <c r="X28" i="18"/>
  <c r="X8" i="18"/>
  <c r="X12" i="18"/>
  <c r="X16" i="18"/>
  <c r="X21" i="18"/>
  <c r="I28" i="18"/>
  <c r="X29" i="18"/>
  <c r="I34" i="18"/>
  <c r="I30" i="18"/>
  <c r="I26" i="18"/>
  <c r="I22" i="18"/>
  <c r="I18" i="18"/>
  <c r="I14" i="18"/>
  <c r="I35" i="18"/>
  <c r="I31" i="18"/>
  <c r="I27" i="18"/>
  <c r="I23" i="18"/>
  <c r="I19" i="18"/>
  <c r="I15" i="18"/>
  <c r="AG34" i="18"/>
  <c r="AG30" i="18"/>
  <c r="AG26" i="18"/>
  <c r="AG22" i="18"/>
  <c r="AG18" i="18"/>
  <c r="AG14" i="18"/>
  <c r="AH35" i="18"/>
  <c r="AG35" i="18"/>
  <c r="AG31" i="18"/>
  <c r="AG27" i="18"/>
  <c r="AG23" i="18"/>
  <c r="AG19" i="18"/>
  <c r="AG15" i="18"/>
  <c r="I7" i="18"/>
  <c r="AG7" i="18"/>
  <c r="U9" i="18"/>
  <c r="O10" i="18"/>
  <c r="I11" i="18"/>
  <c r="AG11" i="18"/>
  <c r="AG13" i="18"/>
  <c r="X14" i="18"/>
  <c r="O15" i="18"/>
  <c r="I17" i="18"/>
  <c r="U18" i="18"/>
  <c r="O20" i="18"/>
  <c r="U23" i="18"/>
  <c r="AG24" i="18"/>
  <c r="U26" i="18"/>
  <c r="I29" i="18"/>
  <c r="U30" i="18"/>
  <c r="L32" i="18"/>
  <c r="L28" i="18"/>
  <c r="L24" i="18"/>
  <c r="L33" i="18"/>
  <c r="L29" i="18"/>
  <c r="L25" i="18"/>
  <c r="N35" i="18"/>
  <c r="L34" i="18"/>
  <c r="L30" i="18"/>
  <c r="X6" i="18"/>
  <c r="R7" i="18"/>
  <c r="L8" i="18"/>
  <c r="X10" i="18"/>
  <c r="R11" i="18"/>
  <c r="L12" i="18"/>
  <c r="X13" i="18"/>
  <c r="R16" i="18"/>
  <c r="L18" i="18"/>
  <c r="X19" i="18"/>
  <c r="R21" i="18"/>
  <c r="L23" i="18"/>
  <c r="X25" i="18"/>
  <c r="L27" i="18"/>
  <c r="AG29" i="18"/>
  <c r="R34" i="18"/>
  <c r="T35" i="18"/>
  <c r="O33" i="18"/>
  <c r="O29" i="18"/>
  <c r="O25" i="18"/>
  <c r="O21" i="18"/>
  <c r="O17" i="18"/>
  <c r="O34" i="18"/>
  <c r="O30" i="18"/>
  <c r="O26" i="18"/>
  <c r="O22" i="18"/>
  <c r="O18" i="18"/>
  <c r="O14" i="18"/>
  <c r="O35" i="18"/>
  <c r="O5" i="18"/>
  <c r="I6" i="18"/>
  <c r="AG6" i="18"/>
  <c r="U8" i="18"/>
  <c r="O9" i="18"/>
  <c r="I10" i="18"/>
  <c r="AG10" i="18"/>
  <c r="U12" i="18"/>
  <c r="O13" i="18"/>
  <c r="R15" i="18"/>
  <c r="I16" i="18"/>
  <c r="AG17" i="18"/>
  <c r="X18" i="18"/>
  <c r="O19" i="18"/>
  <c r="I21" i="18"/>
  <c r="U22" i="18"/>
  <c r="I25" i="18"/>
  <c r="I32" i="18"/>
  <c r="X33" i="18"/>
  <c r="U35" i="18"/>
  <c r="S35" i="18"/>
  <c r="R35" i="18"/>
  <c r="R31" i="18"/>
  <c r="R27" i="18"/>
  <c r="R32" i="18"/>
  <c r="R28" i="18"/>
  <c r="R24" i="18"/>
  <c r="R33" i="18"/>
  <c r="R29" i="18"/>
  <c r="X5" i="18"/>
  <c r="R6" i="18"/>
  <c r="L7" i="18"/>
  <c r="X9" i="18"/>
  <c r="R10" i="18"/>
  <c r="L11" i="18"/>
  <c r="R14" i="18"/>
  <c r="L17" i="18"/>
  <c r="X17" i="18"/>
  <c r="R20" i="18"/>
  <c r="L22" i="18"/>
  <c r="X23" i="18"/>
  <c r="X24" i="18"/>
  <c r="L26" i="18"/>
  <c r="AG32" i="18"/>
  <c r="U32" i="18"/>
  <c r="U28" i="18"/>
  <c r="U24" i="18"/>
  <c r="U20" i="18"/>
  <c r="U16" i="18"/>
  <c r="U33" i="18"/>
  <c r="U29" i="18"/>
  <c r="U25" i="18"/>
  <c r="U21" i="18"/>
  <c r="U17" i="18"/>
  <c r="U13" i="18"/>
  <c r="U34" i="18"/>
  <c r="I5" i="18"/>
  <c r="AG5" i="18"/>
  <c r="U7" i="18"/>
  <c r="I9" i="18"/>
  <c r="AG9" i="18"/>
  <c r="U11" i="18"/>
  <c r="I13" i="18"/>
  <c r="U15" i="18"/>
  <c r="AG16" i="18"/>
  <c r="R19" i="18"/>
  <c r="I20" i="18"/>
  <c r="AG21" i="18"/>
  <c r="X22" i="18"/>
  <c r="O23" i="18"/>
  <c r="I24" i="18"/>
  <c r="O27" i="18"/>
  <c r="O32" i="18"/>
  <c r="B997" i="14" l="1"/>
  <c r="B996" i="14"/>
  <c r="B995" i="14"/>
  <c r="B994" i="14"/>
  <c r="B993" i="14"/>
  <c r="B992" i="14"/>
  <c r="B991" i="14"/>
  <c r="B990" i="14"/>
  <c r="B989" i="14"/>
  <c r="B988" i="14"/>
  <c r="B987" i="14"/>
  <c r="B986" i="14"/>
  <c r="B985" i="14"/>
  <c r="B984" i="14"/>
  <c r="B983" i="14"/>
  <c r="B982" i="14"/>
  <c r="B981" i="14"/>
  <c r="B980" i="14"/>
  <c r="B979" i="14"/>
  <c r="B978" i="14"/>
  <c r="B977" i="14"/>
  <c r="B976" i="14"/>
  <c r="B975" i="14"/>
  <c r="B974" i="14"/>
  <c r="B973" i="14"/>
  <c r="B972" i="14"/>
  <c r="B971" i="14"/>
  <c r="B970" i="14"/>
  <c r="B969" i="14"/>
  <c r="B968" i="14"/>
  <c r="B967" i="14"/>
  <c r="B966" i="14"/>
  <c r="B965" i="14"/>
  <c r="B964" i="14"/>
  <c r="B963" i="14"/>
  <c r="B962" i="14"/>
  <c r="B961" i="14"/>
  <c r="B960" i="14"/>
  <c r="B959" i="14"/>
  <c r="B958" i="14"/>
  <c r="B957" i="14"/>
  <c r="B956" i="14"/>
  <c r="B955" i="14"/>
  <c r="B954" i="14"/>
  <c r="B953" i="14"/>
  <c r="B952" i="14"/>
  <c r="B951" i="14"/>
  <c r="B950" i="14"/>
  <c r="B949" i="14"/>
  <c r="B948" i="14"/>
  <c r="B947" i="14"/>
  <c r="B946" i="14"/>
  <c r="B945" i="14"/>
  <c r="B944" i="14"/>
  <c r="B943" i="14"/>
  <c r="B942" i="14"/>
  <c r="B941" i="14"/>
  <c r="B940" i="14"/>
  <c r="B939" i="14"/>
  <c r="B938" i="14"/>
  <c r="B937" i="14"/>
  <c r="B936" i="14"/>
  <c r="B935" i="14"/>
  <c r="B934" i="14"/>
  <c r="B933" i="14"/>
  <c r="B932" i="14"/>
  <c r="B931" i="14"/>
  <c r="B930" i="14"/>
  <c r="B929" i="14"/>
  <c r="B928" i="14"/>
  <c r="B927" i="14"/>
  <c r="B926" i="14"/>
  <c r="B925" i="14"/>
  <c r="B924" i="14"/>
  <c r="B923" i="14"/>
  <c r="B922" i="14"/>
  <c r="B921" i="14"/>
  <c r="B920" i="14"/>
  <c r="B919" i="14"/>
  <c r="B918" i="14"/>
  <c r="B917" i="14"/>
  <c r="B916" i="14"/>
  <c r="B915" i="14"/>
  <c r="B914" i="14"/>
  <c r="B913" i="14"/>
  <c r="B912" i="14"/>
  <c r="B911" i="14"/>
  <c r="B910" i="14"/>
  <c r="B909" i="14"/>
  <c r="B908" i="14"/>
  <c r="B907" i="14"/>
  <c r="B906" i="14"/>
  <c r="B905" i="14"/>
  <c r="B904" i="14"/>
  <c r="B903" i="14"/>
  <c r="B902" i="14"/>
  <c r="B901" i="14"/>
  <c r="B900" i="14"/>
  <c r="B899" i="14"/>
  <c r="B898" i="14"/>
  <c r="B897" i="14"/>
  <c r="B896" i="14"/>
  <c r="B895" i="14"/>
  <c r="B894" i="14"/>
  <c r="B893" i="14"/>
  <c r="B892" i="14"/>
  <c r="B891" i="14"/>
  <c r="B890" i="14"/>
  <c r="B889" i="14"/>
  <c r="B888" i="14"/>
  <c r="B887" i="14"/>
  <c r="B886" i="14"/>
  <c r="B885" i="14"/>
  <c r="B884" i="14"/>
  <c r="B883" i="14"/>
  <c r="B882" i="14"/>
  <c r="B881" i="14"/>
  <c r="B880" i="14"/>
  <c r="B879" i="14"/>
  <c r="B878" i="14"/>
  <c r="B877" i="14"/>
  <c r="B876" i="14"/>
  <c r="B875" i="14"/>
  <c r="B874" i="14"/>
  <c r="B873" i="14"/>
  <c r="B872" i="14"/>
  <c r="B871" i="14"/>
  <c r="B870" i="14"/>
  <c r="B869" i="14"/>
  <c r="B868" i="14"/>
  <c r="B867" i="14"/>
  <c r="B866" i="14"/>
  <c r="B865" i="14"/>
  <c r="B864" i="14"/>
  <c r="B863" i="14"/>
  <c r="B862" i="14"/>
  <c r="B861" i="14"/>
  <c r="B860" i="14"/>
  <c r="B859" i="14"/>
  <c r="B858" i="14"/>
  <c r="B857" i="14"/>
  <c r="B856" i="14"/>
  <c r="B855" i="14"/>
  <c r="B854" i="14"/>
  <c r="B853" i="14"/>
  <c r="B852" i="14"/>
  <c r="B851" i="14"/>
  <c r="B850" i="14"/>
  <c r="B849" i="14"/>
  <c r="B848" i="14"/>
  <c r="B847" i="14"/>
  <c r="B846" i="14"/>
  <c r="B845" i="14"/>
  <c r="B844" i="14"/>
  <c r="B843" i="14"/>
  <c r="B842" i="14"/>
  <c r="B841" i="14"/>
  <c r="B840" i="14"/>
  <c r="B839" i="14"/>
  <c r="B838" i="14"/>
  <c r="B837" i="14"/>
  <c r="B836" i="14"/>
  <c r="B835" i="14"/>
  <c r="B834" i="14"/>
  <c r="B833" i="14"/>
  <c r="B832" i="14"/>
  <c r="B831" i="14"/>
  <c r="B830" i="14"/>
  <c r="B829" i="14"/>
  <c r="B828" i="14"/>
  <c r="B827" i="14"/>
  <c r="B826" i="14"/>
  <c r="B825" i="14"/>
  <c r="B824" i="14"/>
  <c r="B823" i="14"/>
  <c r="B822" i="14"/>
  <c r="B821" i="14"/>
  <c r="B820" i="14"/>
  <c r="B819" i="14"/>
  <c r="B818" i="14"/>
  <c r="B817" i="14"/>
  <c r="B816" i="14"/>
  <c r="B815" i="14"/>
  <c r="B814" i="14"/>
  <c r="B813" i="14"/>
  <c r="B812" i="14"/>
  <c r="B811" i="14"/>
  <c r="B810" i="14"/>
  <c r="B809" i="14"/>
  <c r="B808" i="14"/>
  <c r="B807" i="14"/>
  <c r="B806" i="14"/>
  <c r="B805" i="14"/>
  <c r="B804" i="14"/>
  <c r="B803" i="14"/>
  <c r="B802" i="14"/>
  <c r="B801" i="14"/>
  <c r="B800" i="14"/>
  <c r="B799" i="14"/>
  <c r="B798" i="14"/>
  <c r="B797" i="14"/>
  <c r="B796" i="14"/>
  <c r="B795" i="14"/>
  <c r="B794" i="14"/>
  <c r="B793" i="14"/>
  <c r="B792" i="14"/>
  <c r="B791" i="14"/>
  <c r="B790" i="14"/>
  <c r="B789" i="14"/>
  <c r="B788" i="14"/>
  <c r="B787" i="14"/>
  <c r="B786" i="14"/>
  <c r="B785" i="14"/>
  <c r="B784" i="14"/>
  <c r="B783" i="14"/>
  <c r="B782" i="14"/>
  <c r="B781" i="14"/>
  <c r="B780" i="14"/>
  <c r="B779" i="14"/>
  <c r="B778" i="14"/>
  <c r="B777" i="14"/>
  <c r="B776" i="14"/>
  <c r="B775" i="14"/>
  <c r="B774" i="14"/>
  <c r="B773" i="14"/>
  <c r="B772" i="14"/>
  <c r="B771" i="14"/>
  <c r="B770" i="14"/>
  <c r="B769" i="14"/>
  <c r="B768" i="14"/>
  <c r="B767" i="14"/>
  <c r="B766" i="14"/>
  <c r="B765" i="14"/>
  <c r="B764" i="14"/>
  <c r="B763" i="14"/>
  <c r="B762" i="14"/>
  <c r="B761" i="14"/>
  <c r="B760" i="14"/>
  <c r="B759" i="14"/>
  <c r="B758" i="14"/>
  <c r="B757" i="14"/>
  <c r="B756" i="14"/>
  <c r="B755" i="14"/>
  <c r="B754" i="14"/>
  <c r="B753" i="14"/>
  <c r="B752" i="14"/>
  <c r="B751" i="14"/>
  <c r="B750" i="14"/>
  <c r="B749" i="14"/>
  <c r="B748" i="14"/>
  <c r="B747" i="14"/>
  <c r="B746" i="14"/>
  <c r="B745" i="14"/>
  <c r="B744" i="14"/>
  <c r="B743" i="14"/>
  <c r="B742" i="14"/>
  <c r="B741" i="14"/>
  <c r="B740" i="14"/>
  <c r="B739" i="14"/>
  <c r="B738" i="14"/>
  <c r="B737" i="14"/>
  <c r="B736" i="14"/>
  <c r="B735" i="14"/>
  <c r="B734" i="14"/>
  <c r="B733" i="14"/>
  <c r="B732" i="14"/>
  <c r="B731" i="14"/>
  <c r="B730" i="14"/>
  <c r="B729" i="14"/>
  <c r="B728" i="14"/>
  <c r="B727" i="14"/>
  <c r="B726" i="14"/>
  <c r="B725" i="14"/>
  <c r="B724" i="14"/>
  <c r="B723" i="14"/>
  <c r="B722" i="14"/>
  <c r="B721" i="14"/>
  <c r="B720" i="14"/>
  <c r="B719" i="14"/>
  <c r="B718" i="14"/>
  <c r="B717" i="14"/>
  <c r="B716" i="14"/>
  <c r="B715" i="14"/>
  <c r="B714" i="14"/>
  <c r="B713" i="14"/>
  <c r="B712" i="14"/>
  <c r="B711" i="14"/>
  <c r="B710" i="14"/>
  <c r="B709" i="14"/>
  <c r="B708" i="14"/>
  <c r="B707" i="14"/>
  <c r="B706" i="14"/>
  <c r="B705" i="14"/>
  <c r="B704" i="14"/>
  <c r="B703" i="14"/>
  <c r="B702" i="14"/>
  <c r="B701" i="14"/>
  <c r="B700" i="14"/>
  <c r="B699" i="14"/>
  <c r="B698" i="14"/>
  <c r="B697" i="14"/>
  <c r="B696" i="14"/>
  <c r="B695" i="14"/>
  <c r="B694" i="14"/>
  <c r="B693" i="14"/>
  <c r="B692" i="14"/>
  <c r="B691" i="14"/>
  <c r="B690" i="14"/>
  <c r="B689" i="14"/>
  <c r="B688" i="14"/>
  <c r="B687" i="14"/>
  <c r="B686" i="14"/>
  <c r="B685" i="14"/>
  <c r="B684" i="14"/>
  <c r="B683" i="14"/>
  <c r="B682" i="14"/>
  <c r="B681" i="14"/>
  <c r="B680" i="14"/>
  <c r="B679" i="14"/>
  <c r="B678" i="14"/>
  <c r="B677" i="14"/>
  <c r="B676" i="14"/>
  <c r="B675" i="14"/>
  <c r="B674" i="14"/>
  <c r="B673" i="14"/>
  <c r="B672" i="14"/>
  <c r="B671" i="14"/>
  <c r="B670" i="14"/>
  <c r="B669" i="14"/>
  <c r="B668" i="14"/>
  <c r="B667" i="14"/>
  <c r="B666" i="14"/>
  <c r="B665" i="14"/>
  <c r="B664" i="14"/>
  <c r="B663" i="14"/>
  <c r="B662" i="14"/>
  <c r="B661" i="14"/>
  <c r="B660" i="14"/>
  <c r="B659" i="14"/>
  <c r="B658" i="14"/>
  <c r="B657" i="14"/>
  <c r="B656" i="14"/>
  <c r="B655" i="14"/>
  <c r="B654" i="14"/>
  <c r="B653" i="14"/>
  <c r="B652" i="14"/>
  <c r="B651" i="14"/>
  <c r="B650" i="14"/>
  <c r="B649" i="14"/>
  <c r="B648" i="14"/>
  <c r="B647" i="14"/>
  <c r="B646" i="14"/>
  <c r="B645" i="14"/>
  <c r="B644" i="14"/>
  <c r="B643" i="14"/>
  <c r="B642" i="14"/>
  <c r="B641" i="14"/>
  <c r="B640" i="14"/>
  <c r="B639" i="14"/>
  <c r="B638" i="14"/>
  <c r="B637" i="14"/>
  <c r="B636" i="14"/>
  <c r="B635" i="14"/>
  <c r="B634" i="14"/>
  <c r="B633" i="14"/>
  <c r="B632" i="14"/>
  <c r="B631" i="14"/>
  <c r="B630" i="14"/>
  <c r="B629" i="14"/>
  <c r="B628" i="14"/>
  <c r="B627" i="14"/>
  <c r="B626" i="14"/>
  <c r="B625" i="14"/>
  <c r="B624" i="14"/>
  <c r="B623" i="14"/>
  <c r="B622" i="14"/>
  <c r="B621" i="14"/>
  <c r="B620" i="14"/>
  <c r="B619" i="14"/>
  <c r="B618" i="14"/>
  <c r="B617" i="14"/>
  <c r="B616" i="14"/>
  <c r="B615" i="14"/>
  <c r="B614" i="14"/>
  <c r="B613" i="14"/>
  <c r="B612" i="14"/>
  <c r="B611" i="14"/>
  <c r="B610" i="14"/>
  <c r="B609" i="14"/>
  <c r="B608" i="14"/>
  <c r="B607" i="14"/>
  <c r="B606" i="14"/>
  <c r="B605" i="14"/>
  <c r="B604" i="14"/>
  <c r="B603" i="14"/>
  <c r="B602" i="14"/>
  <c r="B601" i="14"/>
  <c r="B600" i="14"/>
  <c r="B599" i="14"/>
  <c r="B598" i="14"/>
  <c r="B597" i="14"/>
  <c r="B596" i="14"/>
  <c r="B595" i="14"/>
  <c r="B594" i="14"/>
  <c r="B593" i="14"/>
  <c r="B592" i="14"/>
  <c r="B591" i="14"/>
  <c r="B590" i="14"/>
  <c r="B589" i="14"/>
  <c r="B588" i="14"/>
  <c r="B587" i="14"/>
  <c r="B586" i="14"/>
  <c r="B585" i="14"/>
  <c r="B584" i="14"/>
  <c r="B583" i="14"/>
  <c r="B582" i="14"/>
  <c r="B581" i="14"/>
  <c r="B580" i="14"/>
  <c r="B579" i="14"/>
  <c r="B578" i="14"/>
  <c r="B577" i="14"/>
  <c r="B576" i="14"/>
  <c r="B575" i="14"/>
  <c r="B574" i="14"/>
  <c r="B573" i="14"/>
  <c r="B572" i="14"/>
  <c r="B571" i="14"/>
  <c r="B570" i="14"/>
  <c r="B569" i="14"/>
  <c r="B568" i="14"/>
  <c r="B567" i="14"/>
  <c r="B566" i="14"/>
  <c r="B565" i="14"/>
  <c r="B564" i="14"/>
  <c r="B563" i="14"/>
  <c r="B562" i="14"/>
  <c r="B561" i="14"/>
  <c r="B560" i="14"/>
  <c r="B559" i="14"/>
  <c r="B558" i="14"/>
  <c r="B557" i="14"/>
  <c r="B556" i="14"/>
  <c r="B555" i="14"/>
  <c r="B554" i="14"/>
  <c r="B553" i="14"/>
  <c r="B552" i="14"/>
  <c r="B551" i="14"/>
  <c r="B550" i="14"/>
  <c r="B549" i="14"/>
  <c r="B548" i="14"/>
  <c r="B547" i="14"/>
  <c r="B546" i="14"/>
  <c r="B545" i="14"/>
  <c r="B544" i="14"/>
  <c r="B543" i="14"/>
  <c r="B542" i="14"/>
  <c r="B541" i="14"/>
  <c r="B540" i="14"/>
  <c r="B539" i="14"/>
  <c r="B538" i="14"/>
  <c r="B537" i="14"/>
  <c r="B536" i="14"/>
  <c r="B535" i="14"/>
  <c r="B534" i="14"/>
  <c r="B533" i="14"/>
  <c r="B532" i="14"/>
  <c r="B531" i="14"/>
  <c r="B530" i="14"/>
  <c r="B529" i="14"/>
  <c r="B528" i="14"/>
  <c r="B527" i="14"/>
  <c r="B526" i="14"/>
  <c r="B525" i="14"/>
  <c r="B524" i="14"/>
  <c r="B523" i="14"/>
  <c r="B522" i="14"/>
  <c r="B521" i="14"/>
  <c r="B520" i="14"/>
  <c r="B519" i="14"/>
  <c r="B518" i="14"/>
  <c r="B517" i="14"/>
  <c r="B516" i="14"/>
  <c r="B515" i="14"/>
  <c r="B514" i="14"/>
  <c r="B513" i="14"/>
  <c r="B512" i="14"/>
  <c r="B511" i="14"/>
  <c r="B510" i="14"/>
  <c r="B509" i="14"/>
  <c r="B508" i="14"/>
  <c r="B507" i="14"/>
  <c r="B506" i="14"/>
  <c r="B505" i="14"/>
  <c r="B504" i="14"/>
  <c r="B503" i="14"/>
  <c r="B502" i="14"/>
  <c r="B501" i="14"/>
  <c r="B500" i="14"/>
  <c r="B499" i="14"/>
  <c r="B498" i="14"/>
  <c r="B497" i="14"/>
  <c r="B496" i="14"/>
  <c r="B495" i="14"/>
  <c r="B494" i="14"/>
  <c r="B493" i="14"/>
  <c r="B492" i="14"/>
  <c r="B491" i="14"/>
  <c r="B490" i="14"/>
  <c r="B489" i="14"/>
  <c r="B488" i="14"/>
  <c r="B487" i="14"/>
  <c r="B486" i="14"/>
  <c r="B485" i="14"/>
  <c r="B484" i="14"/>
  <c r="B483" i="14"/>
  <c r="B482" i="14"/>
  <c r="B481" i="14"/>
  <c r="B480" i="14"/>
  <c r="B479" i="14"/>
  <c r="B478" i="14"/>
  <c r="B477" i="14"/>
  <c r="B476" i="14"/>
  <c r="B475" i="14"/>
  <c r="B474" i="14"/>
  <c r="B473" i="14"/>
  <c r="B472" i="14"/>
  <c r="B471" i="14"/>
  <c r="B470" i="14"/>
  <c r="B469" i="14"/>
  <c r="B468" i="14"/>
  <c r="B467" i="14"/>
  <c r="B466" i="14"/>
  <c r="B465" i="14"/>
  <c r="B464" i="14"/>
  <c r="B463" i="14"/>
  <c r="B462" i="14"/>
  <c r="B461" i="14"/>
  <c r="B460" i="14"/>
  <c r="B459" i="14"/>
  <c r="B458" i="14"/>
  <c r="B457" i="14"/>
  <c r="B456" i="14"/>
  <c r="B455" i="14"/>
  <c r="B454" i="14"/>
  <c r="B453" i="14"/>
  <c r="B452" i="14"/>
  <c r="B451" i="14"/>
  <c r="B450" i="14"/>
  <c r="B449" i="14"/>
  <c r="B448" i="14"/>
  <c r="B447" i="14"/>
  <c r="B446" i="14"/>
  <c r="B445" i="14"/>
  <c r="B444" i="14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  <c r="B304" i="14"/>
  <c r="B303" i="14"/>
  <c r="B302" i="14"/>
  <c r="B301" i="14"/>
  <c r="B300" i="14"/>
  <c r="B299" i="14"/>
  <c r="B298" i="14"/>
  <c r="B297" i="14"/>
  <c r="B296" i="14"/>
  <c r="B295" i="14"/>
  <c r="B294" i="14"/>
  <c r="B293" i="14"/>
  <c r="B292" i="14"/>
  <c r="B291" i="14"/>
  <c r="B290" i="14"/>
  <c r="B289" i="14"/>
  <c r="B288" i="14"/>
  <c r="B287" i="14"/>
  <c r="B286" i="14"/>
  <c r="B285" i="14"/>
  <c r="B284" i="14"/>
  <c r="B283" i="14"/>
  <c r="B282" i="14"/>
  <c r="B281" i="14"/>
  <c r="B280" i="14"/>
  <c r="B279" i="14"/>
  <c r="B278" i="14"/>
  <c r="B277" i="14"/>
  <c r="B276" i="14"/>
  <c r="B275" i="14"/>
  <c r="B274" i="14"/>
  <c r="B273" i="14"/>
  <c r="B272" i="14"/>
  <c r="B271" i="14"/>
  <c r="B270" i="14"/>
  <c r="B269" i="14"/>
  <c r="B268" i="14"/>
  <c r="B267" i="14"/>
  <c r="B266" i="14"/>
  <c r="B265" i="14"/>
  <c r="B264" i="14"/>
  <c r="B263" i="14"/>
  <c r="B262" i="14"/>
  <c r="B261" i="14"/>
  <c r="B260" i="14"/>
  <c r="B259" i="14"/>
  <c r="B258" i="14"/>
  <c r="B257" i="14"/>
  <c r="B256" i="14"/>
  <c r="B255" i="14"/>
  <c r="B254" i="14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N11" i="14"/>
  <c r="L999" i="13"/>
  <c r="B999" i="13"/>
  <c r="C999" i="13" s="1"/>
  <c r="L998" i="13"/>
  <c r="B998" i="13"/>
  <c r="C998" i="13" s="1"/>
  <c r="L997" i="13"/>
  <c r="B997" i="13"/>
  <c r="C997" i="13" s="1"/>
  <c r="L996" i="13"/>
  <c r="B996" i="13"/>
  <c r="C996" i="13" s="1"/>
  <c r="L995" i="13"/>
  <c r="B995" i="13"/>
  <c r="C995" i="13" s="1"/>
  <c r="L994" i="13"/>
  <c r="B994" i="13"/>
  <c r="C994" i="13" s="1"/>
  <c r="L993" i="13"/>
  <c r="B993" i="13"/>
  <c r="C993" i="13" s="1"/>
  <c r="L992" i="13"/>
  <c r="B992" i="13"/>
  <c r="C992" i="13" s="1"/>
  <c r="L991" i="13"/>
  <c r="B991" i="13"/>
  <c r="C991" i="13" s="1"/>
  <c r="L990" i="13"/>
  <c r="B990" i="13"/>
  <c r="C990" i="13" s="1"/>
  <c r="L989" i="13"/>
  <c r="B989" i="13"/>
  <c r="C989" i="13" s="1"/>
  <c r="L988" i="13"/>
  <c r="B988" i="13"/>
  <c r="C988" i="13" s="1"/>
  <c r="L987" i="13"/>
  <c r="B987" i="13"/>
  <c r="C987" i="13" s="1"/>
  <c r="L986" i="13"/>
  <c r="B986" i="13"/>
  <c r="C986" i="13" s="1"/>
  <c r="L985" i="13"/>
  <c r="B985" i="13"/>
  <c r="C985" i="13" s="1"/>
  <c r="L984" i="13"/>
  <c r="B984" i="13"/>
  <c r="C984" i="13" s="1"/>
  <c r="L983" i="13"/>
  <c r="B983" i="13"/>
  <c r="C983" i="13" s="1"/>
  <c r="L982" i="13"/>
  <c r="B982" i="13"/>
  <c r="C982" i="13" s="1"/>
  <c r="L981" i="13"/>
  <c r="B981" i="13"/>
  <c r="C981" i="13" s="1"/>
  <c r="L980" i="13"/>
  <c r="B980" i="13"/>
  <c r="C980" i="13" s="1"/>
  <c r="L979" i="13"/>
  <c r="B979" i="13"/>
  <c r="C979" i="13" s="1"/>
  <c r="L978" i="13"/>
  <c r="B978" i="13"/>
  <c r="C978" i="13" s="1"/>
  <c r="L977" i="13"/>
  <c r="B977" i="13"/>
  <c r="C977" i="13" s="1"/>
  <c r="L976" i="13"/>
  <c r="B976" i="13"/>
  <c r="C976" i="13" s="1"/>
  <c r="L975" i="13"/>
  <c r="B975" i="13"/>
  <c r="C975" i="13" s="1"/>
  <c r="L974" i="13"/>
  <c r="B974" i="13"/>
  <c r="C974" i="13" s="1"/>
  <c r="L973" i="13"/>
  <c r="B973" i="13"/>
  <c r="C973" i="13" s="1"/>
  <c r="L972" i="13"/>
  <c r="B972" i="13"/>
  <c r="C972" i="13" s="1"/>
  <c r="L971" i="13"/>
  <c r="B971" i="13"/>
  <c r="C971" i="13" s="1"/>
  <c r="L970" i="13"/>
  <c r="B970" i="13"/>
  <c r="C970" i="13" s="1"/>
  <c r="L969" i="13"/>
  <c r="B969" i="13"/>
  <c r="C969" i="13" s="1"/>
  <c r="L968" i="13"/>
  <c r="B968" i="13"/>
  <c r="C968" i="13" s="1"/>
  <c r="L967" i="13"/>
  <c r="B967" i="13"/>
  <c r="C967" i="13" s="1"/>
  <c r="L966" i="13"/>
  <c r="B966" i="13"/>
  <c r="C966" i="13" s="1"/>
  <c r="L965" i="13"/>
  <c r="B965" i="13"/>
  <c r="C965" i="13" s="1"/>
  <c r="L964" i="13"/>
  <c r="B964" i="13"/>
  <c r="C964" i="13" s="1"/>
  <c r="L963" i="13"/>
  <c r="B963" i="13"/>
  <c r="C963" i="13" s="1"/>
  <c r="L962" i="13"/>
  <c r="B962" i="13"/>
  <c r="C962" i="13" s="1"/>
  <c r="L961" i="13"/>
  <c r="B961" i="13"/>
  <c r="C961" i="13" s="1"/>
  <c r="L960" i="13"/>
  <c r="B960" i="13"/>
  <c r="C960" i="13" s="1"/>
  <c r="L959" i="13"/>
  <c r="B959" i="13"/>
  <c r="C959" i="13" s="1"/>
  <c r="L958" i="13"/>
  <c r="B958" i="13"/>
  <c r="C958" i="13" s="1"/>
  <c r="L957" i="13"/>
  <c r="B957" i="13"/>
  <c r="C957" i="13" s="1"/>
  <c r="L956" i="13"/>
  <c r="B956" i="13"/>
  <c r="C956" i="13" s="1"/>
  <c r="L955" i="13"/>
  <c r="B955" i="13"/>
  <c r="C955" i="13" s="1"/>
  <c r="L954" i="13"/>
  <c r="B954" i="13"/>
  <c r="C954" i="13" s="1"/>
  <c r="L953" i="13"/>
  <c r="B953" i="13"/>
  <c r="C953" i="13" s="1"/>
  <c r="L952" i="13"/>
  <c r="B952" i="13"/>
  <c r="C952" i="13" s="1"/>
  <c r="L951" i="13"/>
  <c r="B951" i="13"/>
  <c r="C951" i="13" s="1"/>
  <c r="L950" i="13"/>
  <c r="B950" i="13"/>
  <c r="C950" i="13" s="1"/>
  <c r="L949" i="13"/>
  <c r="B949" i="13"/>
  <c r="C949" i="13" s="1"/>
  <c r="L948" i="13"/>
  <c r="B948" i="13"/>
  <c r="C948" i="13" s="1"/>
  <c r="L947" i="13"/>
  <c r="B947" i="13"/>
  <c r="C947" i="13" s="1"/>
  <c r="L946" i="13"/>
  <c r="B946" i="13"/>
  <c r="C946" i="13" s="1"/>
  <c r="L945" i="13"/>
  <c r="B945" i="13"/>
  <c r="C945" i="13" s="1"/>
  <c r="L944" i="13"/>
  <c r="B944" i="13"/>
  <c r="C944" i="13" s="1"/>
  <c r="L943" i="13"/>
  <c r="B943" i="13"/>
  <c r="C943" i="13" s="1"/>
  <c r="L942" i="13"/>
  <c r="B942" i="13"/>
  <c r="C942" i="13" s="1"/>
  <c r="L941" i="13"/>
  <c r="B941" i="13"/>
  <c r="C941" i="13" s="1"/>
  <c r="L940" i="13"/>
  <c r="B940" i="13"/>
  <c r="C940" i="13" s="1"/>
  <c r="L939" i="13"/>
  <c r="B939" i="13"/>
  <c r="C939" i="13" s="1"/>
  <c r="L938" i="13"/>
  <c r="B938" i="13"/>
  <c r="C938" i="13" s="1"/>
  <c r="L937" i="13"/>
  <c r="B937" i="13"/>
  <c r="C937" i="13" s="1"/>
  <c r="L936" i="13"/>
  <c r="B936" i="13"/>
  <c r="C936" i="13" s="1"/>
  <c r="L935" i="13"/>
  <c r="B935" i="13"/>
  <c r="C935" i="13" s="1"/>
  <c r="L934" i="13"/>
  <c r="B934" i="13"/>
  <c r="C934" i="13" s="1"/>
  <c r="L933" i="13"/>
  <c r="B933" i="13"/>
  <c r="C933" i="13" s="1"/>
  <c r="L932" i="13"/>
  <c r="B932" i="13"/>
  <c r="C932" i="13" s="1"/>
  <c r="L931" i="13"/>
  <c r="B931" i="13"/>
  <c r="C931" i="13" s="1"/>
  <c r="L930" i="13"/>
  <c r="B930" i="13"/>
  <c r="C930" i="13" s="1"/>
  <c r="L929" i="13"/>
  <c r="B929" i="13"/>
  <c r="C929" i="13" s="1"/>
  <c r="L928" i="13"/>
  <c r="B928" i="13"/>
  <c r="C928" i="13" s="1"/>
  <c r="L927" i="13"/>
  <c r="B927" i="13"/>
  <c r="C927" i="13" s="1"/>
  <c r="L926" i="13"/>
  <c r="B926" i="13"/>
  <c r="C926" i="13" s="1"/>
  <c r="L925" i="13"/>
  <c r="B925" i="13"/>
  <c r="C925" i="13" s="1"/>
  <c r="L924" i="13"/>
  <c r="B924" i="13"/>
  <c r="C924" i="13" s="1"/>
  <c r="L923" i="13"/>
  <c r="B923" i="13"/>
  <c r="C923" i="13" s="1"/>
  <c r="L922" i="13"/>
  <c r="B922" i="13"/>
  <c r="C922" i="13" s="1"/>
  <c r="L921" i="13"/>
  <c r="B921" i="13"/>
  <c r="C921" i="13" s="1"/>
  <c r="L920" i="13"/>
  <c r="B920" i="13"/>
  <c r="C920" i="13" s="1"/>
  <c r="L919" i="13"/>
  <c r="B919" i="13"/>
  <c r="C919" i="13" s="1"/>
  <c r="L918" i="13"/>
  <c r="B918" i="13"/>
  <c r="C918" i="13" s="1"/>
  <c r="L917" i="13"/>
  <c r="B917" i="13"/>
  <c r="C917" i="13" s="1"/>
  <c r="L916" i="13"/>
  <c r="B916" i="13"/>
  <c r="C916" i="13" s="1"/>
  <c r="L915" i="13"/>
  <c r="B915" i="13"/>
  <c r="C915" i="13" s="1"/>
  <c r="L914" i="13"/>
  <c r="B914" i="13"/>
  <c r="C914" i="13" s="1"/>
  <c r="L913" i="13"/>
  <c r="B913" i="13"/>
  <c r="C913" i="13" s="1"/>
  <c r="L912" i="13"/>
  <c r="B912" i="13"/>
  <c r="C912" i="13" s="1"/>
  <c r="L911" i="13"/>
  <c r="B911" i="13"/>
  <c r="C911" i="13" s="1"/>
  <c r="L910" i="13"/>
  <c r="B910" i="13"/>
  <c r="C910" i="13" s="1"/>
  <c r="L909" i="13"/>
  <c r="B909" i="13"/>
  <c r="C909" i="13" s="1"/>
  <c r="L908" i="13"/>
  <c r="B908" i="13"/>
  <c r="C908" i="13" s="1"/>
  <c r="L907" i="13"/>
  <c r="B907" i="13"/>
  <c r="C907" i="13" s="1"/>
  <c r="L906" i="13"/>
  <c r="B906" i="13"/>
  <c r="C906" i="13" s="1"/>
  <c r="L905" i="13"/>
  <c r="B905" i="13"/>
  <c r="C905" i="13" s="1"/>
  <c r="L904" i="13"/>
  <c r="B904" i="13"/>
  <c r="C904" i="13" s="1"/>
  <c r="L903" i="13"/>
  <c r="B903" i="13"/>
  <c r="C903" i="13" s="1"/>
  <c r="L902" i="13"/>
  <c r="B902" i="13"/>
  <c r="C902" i="13" s="1"/>
  <c r="L901" i="13"/>
  <c r="B901" i="13"/>
  <c r="C901" i="13" s="1"/>
  <c r="L900" i="13"/>
  <c r="B900" i="13"/>
  <c r="C900" i="13" s="1"/>
  <c r="L899" i="13"/>
  <c r="B899" i="13"/>
  <c r="C899" i="13" s="1"/>
  <c r="L898" i="13"/>
  <c r="B898" i="13"/>
  <c r="C898" i="13" s="1"/>
  <c r="L897" i="13"/>
  <c r="B897" i="13"/>
  <c r="C897" i="13" s="1"/>
  <c r="L896" i="13"/>
  <c r="B896" i="13"/>
  <c r="C896" i="13" s="1"/>
  <c r="L895" i="13"/>
  <c r="B895" i="13"/>
  <c r="C895" i="13" s="1"/>
  <c r="L894" i="13"/>
  <c r="B894" i="13"/>
  <c r="C894" i="13" s="1"/>
  <c r="L893" i="13"/>
  <c r="B893" i="13"/>
  <c r="C893" i="13" s="1"/>
  <c r="L892" i="13"/>
  <c r="B892" i="13"/>
  <c r="C892" i="13" s="1"/>
  <c r="L891" i="13"/>
  <c r="B891" i="13"/>
  <c r="C891" i="13" s="1"/>
  <c r="L890" i="13"/>
  <c r="B890" i="13"/>
  <c r="C890" i="13" s="1"/>
  <c r="L889" i="13"/>
  <c r="B889" i="13"/>
  <c r="C889" i="13" s="1"/>
  <c r="L888" i="13"/>
  <c r="B888" i="13"/>
  <c r="C888" i="13" s="1"/>
  <c r="L887" i="13"/>
  <c r="B887" i="13"/>
  <c r="C887" i="13" s="1"/>
  <c r="L886" i="13"/>
  <c r="B886" i="13"/>
  <c r="C886" i="13" s="1"/>
  <c r="L885" i="13"/>
  <c r="B885" i="13"/>
  <c r="C885" i="13" s="1"/>
  <c r="L884" i="13"/>
  <c r="B884" i="13"/>
  <c r="C884" i="13" s="1"/>
  <c r="L883" i="13"/>
  <c r="B883" i="13"/>
  <c r="C883" i="13" s="1"/>
  <c r="L882" i="13"/>
  <c r="B882" i="13"/>
  <c r="C882" i="13" s="1"/>
  <c r="L881" i="13"/>
  <c r="B881" i="13"/>
  <c r="C881" i="13" s="1"/>
  <c r="L880" i="13"/>
  <c r="B880" i="13"/>
  <c r="C880" i="13" s="1"/>
  <c r="L879" i="13"/>
  <c r="B879" i="13"/>
  <c r="C879" i="13" s="1"/>
  <c r="L878" i="13"/>
  <c r="B878" i="13"/>
  <c r="C878" i="13" s="1"/>
  <c r="L877" i="13"/>
  <c r="B877" i="13"/>
  <c r="C877" i="13" s="1"/>
  <c r="L876" i="13"/>
  <c r="B876" i="13"/>
  <c r="C876" i="13" s="1"/>
  <c r="L875" i="13"/>
  <c r="B875" i="13"/>
  <c r="C875" i="13" s="1"/>
  <c r="L874" i="13"/>
  <c r="B874" i="13"/>
  <c r="C874" i="13" s="1"/>
  <c r="L873" i="13"/>
  <c r="B873" i="13"/>
  <c r="C873" i="13" s="1"/>
  <c r="L872" i="13"/>
  <c r="B872" i="13"/>
  <c r="C872" i="13" s="1"/>
  <c r="L871" i="13"/>
  <c r="B871" i="13"/>
  <c r="C871" i="13" s="1"/>
  <c r="L870" i="13"/>
  <c r="B870" i="13"/>
  <c r="C870" i="13" s="1"/>
  <c r="L869" i="13"/>
  <c r="B869" i="13"/>
  <c r="C869" i="13" s="1"/>
  <c r="L868" i="13"/>
  <c r="B868" i="13"/>
  <c r="C868" i="13" s="1"/>
  <c r="L867" i="13"/>
  <c r="B867" i="13"/>
  <c r="C867" i="13" s="1"/>
  <c r="L866" i="13"/>
  <c r="B866" i="13"/>
  <c r="C866" i="13" s="1"/>
  <c r="L865" i="13"/>
  <c r="B865" i="13"/>
  <c r="C865" i="13" s="1"/>
  <c r="L864" i="13"/>
  <c r="B864" i="13"/>
  <c r="C864" i="13" s="1"/>
  <c r="L863" i="13"/>
  <c r="B863" i="13"/>
  <c r="C863" i="13" s="1"/>
  <c r="L862" i="13"/>
  <c r="B862" i="13"/>
  <c r="C862" i="13" s="1"/>
  <c r="L861" i="13"/>
  <c r="B861" i="13"/>
  <c r="C861" i="13" s="1"/>
  <c r="L860" i="13"/>
  <c r="B860" i="13"/>
  <c r="C860" i="13" s="1"/>
  <c r="L859" i="13"/>
  <c r="B859" i="13"/>
  <c r="C859" i="13" s="1"/>
  <c r="L858" i="13"/>
  <c r="B858" i="13"/>
  <c r="C858" i="13" s="1"/>
  <c r="L857" i="13"/>
  <c r="B857" i="13"/>
  <c r="C857" i="13" s="1"/>
  <c r="L856" i="13"/>
  <c r="B856" i="13"/>
  <c r="C856" i="13" s="1"/>
  <c r="L855" i="13"/>
  <c r="B855" i="13"/>
  <c r="C855" i="13" s="1"/>
  <c r="L854" i="13"/>
  <c r="B854" i="13"/>
  <c r="C854" i="13" s="1"/>
  <c r="L853" i="13"/>
  <c r="B853" i="13"/>
  <c r="C853" i="13" s="1"/>
  <c r="L852" i="13"/>
  <c r="B852" i="13"/>
  <c r="C852" i="13" s="1"/>
  <c r="L851" i="13"/>
  <c r="B851" i="13"/>
  <c r="C851" i="13" s="1"/>
  <c r="L850" i="13"/>
  <c r="B850" i="13"/>
  <c r="C850" i="13" s="1"/>
  <c r="L849" i="13"/>
  <c r="B849" i="13"/>
  <c r="C849" i="13" s="1"/>
  <c r="L848" i="13"/>
  <c r="B848" i="13"/>
  <c r="C848" i="13" s="1"/>
  <c r="L847" i="13"/>
  <c r="B847" i="13"/>
  <c r="C847" i="13" s="1"/>
  <c r="L846" i="13"/>
  <c r="B846" i="13"/>
  <c r="C846" i="13" s="1"/>
  <c r="L845" i="13"/>
  <c r="B845" i="13"/>
  <c r="C845" i="13" s="1"/>
  <c r="L844" i="13"/>
  <c r="B844" i="13"/>
  <c r="C844" i="13" s="1"/>
  <c r="L843" i="13"/>
  <c r="B843" i="13"/>
  <c r="C843" i="13" s="1"/>
  <c r="L842" i="13"/>
  <c r="B842" i="13"/>
  <c r="C842" i="13" s="1"/>
  <c r="L841" i="13"/>
  <c r="B841" i="13"/>
  <c r="C841" i="13" s="1"/>
  <c r="L840" i="13"/>
  <c r="B840" i="13"/>
  <c r="C840" i="13" s="1"/>
  <c r="L839" i="13"/>
  <c r="B839" i="13"/>
  <c r="C839" i="13" s="1"/>
  <c r="L838" i="13"/>
  <c r="B838" i="13"/>
  <c r="C838" i="13" s="1"/>
  <c r="L837" i="13"/>
  <c r="B837" i="13"/>
  <c r="C837" i="13" s="1"/>
  <c r="L836" i="13"/>
  <c r="B836" i="13"/>
  <c r="C836" i="13" s="1"/>
  <c r="L835" i="13"/>
  <c r="B835" i="13"/>
  <c r="C835" i="13" s="1"/>
  <c r="L834" i="13"/>
  <c r="B834" i="13"/>
  <c r="C834" i="13" s="1"/>
  <c r="L833" i="13"/>
  <c r="B833" i="13"/>
  <c r="C833" i="13" s="1"/>
  <c r="L832" i="13"/>
  <c r="B832" i="13"/>
  <c r="C832" i="13" s="1"/>
  <c r="L831" i="13"/>
  <c r="B831" i="13"/>
  <c r="C831" i="13" s="1"/>
  <c r="L830" i="13"/>
  <c r="B830" i="13"/>
  <c r="C830" i="13" s="1"/>
  <c r="L829" i="13"/>
  <c r="B829" i="13"/>
  <c r="C829" i="13" s="1"/>
  <c r="L828" i="13"/>
  <c r="B828" i="13"/>
  <c r="C828" i="13" s="1"/>
  <c r="L827" i="13"/>
  <c r="B827" i="13"/>
  <c r="C827" i="13" s="1"/>
  <c r="L826" i="13"/>
  <c r="B826" i="13"/>
  <c r="C826" i="13" s="1"/>
  <c r="L825" i="13"/>
  <c r="B825" i="13"/>
  <c r="C825" i="13" s="1"/>
  <c r="L824" i="13"/>
  <c r="B824" i="13"/>
  <c r="C824" i="13" s="1"/>
  <c r="L823" i="13"/>
  <c r="B823" i="13"/>
  <c r="C823" i="13" s="1"/>
  <c r="L822" i="13"/>
  <c r="B822" i="13"/>
  <c r="C822" i="13" s="1"/>
  <c r="L821" i="13"/>
  <c r="B821" i="13"/>
  <c r="C821" i="13" s="1"/>
  <c r="L820" i="13"/>
  <c r="B820" i="13"/>
  <c r="C820" i="13" s="1"/>
  <c r="L819" i="13"/>
  <c r="B819" i="13"/>
  <c r="C819" i="13" s="1"/>
  <c r="L818" i="13"/>
  <c r="B818" i="13"/>
  <c r="C818" i="13" s="1"/>
  <c r="L817" i="13"/>
  <c r="B817" i="13"/>
  <c r="C817" i="13" s="1"/>
  <c r="L816" i="13"/>
  <c r="B816" i="13"/>
  <c r="C816" i="13" s="1"/>
  <c r="L815" i="13"/>
  <c r="B815" i="13"/>
  <c r="C815" i="13" s="1"/>
  <c r="L814" i="13"/>
  <c r="B814" i="13"/>
  <c r="C814" i="13" s="1"/>
  <c r="L813" i="13"/>
  <c r="B813" i="13"/>
  <c r="C813" i="13" s="1"/>
  <c r="L812" i="13"/>
  <c r="B812" i="13"/>
  <c r="C812" i="13" s="1"/>
  <c r="L811" i="13"/>
  <c r="B811" i="13"/>
  <c r="C811" i="13" s="1"/>
  <c r="L810" i="13"/>
  <c r="B810" i="13"/>
  <c r="C810" i="13" s="1"/>
  <c r="L809" i="13"/>
  <c r="B809" i="13"/>
  <c r="C809" i="13" s="1"/>
  <c r="L808" i="13"/>
  <c r="B808" i="13"/>
  <c r="C808" i="13" s="1"/>
  <c r="L807" i="13"/>
  <c r="B807" i="13"/>
  <c r="C807" i="13" s="1"/>
  <c r="L806" i="13"/>
  <c r="B806" i="13"/>
  <c r="C806" i="13" s="1"/>
  <c r="L805" i="13"/>
  <c r="B805" i="13"/>
  <c r="C805" i="13" s="1"/>
  <c r="L804" i="13"/>
  <c r="B804" i="13"/>
  <c r="C804" i="13" s="1"/>
  <c r="L803" i="13"/>
  <c r="B803" i="13"/>
  <c r="C803" i="13" s="1"/>
  <c r="L802" i="13"/>
  <c r="B802" i="13"/>
  <c r="C802" i="13" s="1"/>
  <c r="L801" i="13"/>
  <c r="B801" i="13"/>
  <c r="C801" i="13" s="1"/>
  <c r="L800" i="13"/>
  <c r="B800" i="13"/>
  <c r="C800" i="13" s="1"/>
  <c r="L799" i="13"/>
  <c r="B799" i="13"/>
  <c r="C799" i="13" s="1"/>
  <c r="L798" i="13"/>
  <c r="B798" i="13"/>
  <c r="C798" i="13" s="1"/>
  <c r="L797" i="13"/>
  <c r="B797" i="13"/>
  <c r="C797" i="13" s="1"/>
  <c r="L796" i="13"/>
  <c r="B796" i="13"/>
  <c r="C796" i="13" s="1"/>
  <c r="L795" i="13"/>
  <c r="B795" i="13"/>
  <c r="C795" i="13" s="1"/>
  <c r="L794" i="13"/>
  <c r="B794" i="13"/>
  <c r="C794" i="13" s="1"/>
  <c r="L793" i="13"/>
  <c r="B793" i="13"/>
  <c r="C793" i="13" s="1"/>
  <c r="L792" i="13"/>
  <c r="B792" i="13"/>
  <c r="C792" i="13" s="1"/>
  <c r="L791" i="13"/>
  <c r="B791" i="13"/>
  <c r="C791" i="13" s="1"/>
  <c r="L790" i="13"/>
  <c r="B790" i="13"/>
  <c r="C790" i="13" s="1"/>
  <c r="L789" i="13"/>
  <c r="B789" i="13"/>
  <c r="C789" i="13" s="1"/>
  <c r="L788" i="13"/>
  <c r="B788" i="13"/>
  <c r="C788" i="13" s="1"/>
  <c r="L787" i="13"/>
  <c r="B787" i="13"/>
  <c r="C787" i="13" s="1"/>
  <c r="L786" i="13"/>
  <c r="B786" i="13"/>
  <c r="C786" i="13" s="1"/>
  <c r="L785" i="13"/>
  <c r="B785" i="13"/>
  <c r="C785" i="13" s="1"/>
  <c r="L784" i="13"/>
  <c r="B784" i="13"/>
  <c r="C784" i="13" s="1"/>
  <c r="L783" i="13"/>
  <c r="B783" i="13"/>
  <c r="C783" i="13" s="1"/>
  <c r="L782" i="13"/>
  <c r="B782" i="13"/>
  <c r="C782" i="13" s="1"/>
  <c r="L781" i="13"/>
  <c r="B781" i="13"/>
  <c r="C781" i="13" s="1"/>
  <c r="L780" i="13"/>
  <c r="B780" i="13"/>
  <c r="C780" i="13" s="1"/>
  <c r="L779" i="13"/>
  <c r="B779" i="13"/>
  <c r="C779" i="13" s="1"/>
  <c r="L778" i="13"/>
  <c r="B778" i="13"/>
  <c r="C778" i="13" s="1"/>
  <c r="L777" i="13"/>
  <c r="B777" i="13"/>
  <c r="C777" i="13" s="1"/>
  <c r="L776" i="13"/>
  <c r="B776" i="13"/>
  <c r="C776" i="13" s="1"/>
  <c r="L775" i="13"/>
  <c r="B775" i="13"/>
  <c r="C775" i="13" s="1"/>
  <c r="L774" i="13"/>
  <c r="B774" i="13"/>
  <c r="C774" i="13" s="1"/>
  <c r="L773" i="13"/>
  <c r="B773" i="13"/>
  <c r="C773" i="13" s="1"/>
  <c r="L772" i="13"/>
  <c r="B772" i="13"/>
  <c r="C772" i="13" s="1"/>
  <c r="L771" i="13"/>
  <c r="B771" i="13"/>
  <c r="C771" i="13" s="1"/>
  <c r="L770" i="13"/>
  <c r="B770" i="13"/>
  <c r="C770" i="13" s="1"/>
  <c r="L769" i="13"/>
  <c r="B769" i="13"/>
  <c r="C769" i="13" s="1"/>
  <c r="L768" i="13"/>
  <c r="B768" i="13"/>
  <c r="C768" i="13" s="1"/>
  <c r="L767" i="13"/>
  <c r="B767" i="13"/>
  <c r="C767" i="13" s="1"/>
  <c r="L766" i="13"/>
  <c r="B766" i="13"/>
  <c r="C766" i="13" s="1"/>
  <c r="L765" i="13"/>
  <c r="B765" i="13"/>
  <c r="C765" i="13" s="1"/>
  <c r="L764" i="13"/>
  <c r="B764" i="13"/>
  <c r="C764" i="13" s="1"/>
  <c r="L763" i="13"/>
  <c r="B763" i="13"/>
  <c r="C763" i="13" s="1"/>
  <c r="L762" i="13"/>
  <c r="B762" i="13"/>
  <c r="C762" i="13" s="1"/>
  <c r="L761" i="13"/>
  <c r="B761" i="13"/>
  <c r="C761" i="13" s="1"/>
  <c r="L760" i="13"/>
  <c r="B760" i="13"/>
  <c r="C760" i="13" s="1"/>
  <c r="L759" i="13"/>
  <c r="B759" i="13"/>
  <c r="C759" i="13" s="1"/>
  <c r="L758" i="13"/>
  <c r="B758" i="13"/>
  <c r="C758" i="13" s="1"/>
  <c r="L757" i="13"/>
  <c r="B757" i="13"/>
  <c r="C757" i="13" s="1"/>
  <c r="L756" i="13"/>
  <c r="B756" i="13"/>
  <c r="C756" i="13" s="1"/>
  <c r="L755" i="13"/>
  <c r="B755" i="13"/>
  <c r="C755" i="13" s="1"/>
  <c r="L754" i="13"/>
  <c r="B754" i="13"/>
  <c r="C754" i="13" s="1"/>
  <c r="L753" i="13"/>
  <c r="B753" i="13"/>
  <c r="C753" i="13" s="1"/>
  <c r="L752" i="13"/>
  <c r="B752" i="13"/>
  <c r="C752" i="13" s="1"/>
  <c r="L751" i="13"/>
  <c r="B751" i="13"/>
  <c r="C751" i="13" s="1"/>
  <c r="L750" i="13"/>
  <c r="B750" i="13"/>
  <c r="C750" i="13" s="1"/>
  <c r="L749" i="13"/>
  <c r="B749" i="13"/>
  <c r="C749" i="13" s="1"/>
  <c r="L748" i="13"/>
  <c r="B748" i="13"/>
  <c r="C748" i="13" s="1"/>
  <c r="L747" i="13"/>
  <c r="B747" i="13"/>
  <c r="C747" i="13" s="1"/>
  <c r="L746" i="13"/>
  <c r="B746" i="13"/>
  <c r="C746" i="13" s="1"/>
  <c r="L745" i="13"/>
  <c r="B745" i="13"/>
  <c r="C745" i="13" s="1"/>
  <c r="L744" i="13"/>
  <c r="B744" i="13"/>
  <c r="C744" i="13" s="1"/>
  <c r="L743" i="13"/>
  <c r="B743" i="13"/>
  <c r="C743" i="13" s="1"/>
  <c r="L742" i="13"/>
  <c r="B742" i="13"/>
  <c r="C742" i="13" s="1"/>
  <c r="L741" i="13"/>
  <c r="B741" i="13"/>
  <c r="C741" i="13" s="1"/>
  <c r="L740" i="13"/>
  <c r="B740" i="13"/>
  <c r="C740" i="13" s="1"/>
  <c r="L739" i="13"/>
  <c r="B739" i="13"/>
  <c r="C739" i="13" s="1"/>
  <c r="L738" i="13"/>
  <c r="B738" i="13"/>
  <c r="C738" i="13" s="1"/>
  <c r="L737" i="13"/>
  <c r="B737" i="13"/>
  <c r="C737" i="13" s="1"/>
  <c r="L736" i="13"/>
  <c r="B736" i="13"/>
  <c r="C736" i="13" s="1"/>
  <c r="L735" i="13"/>
  <c r="B735" i="13"/>
  <c r="C735" i="13" s="1"/>
  <c r="L734" i="13"/>
  <c r="B734" i="13"/>
  <c r="C734" i="13" s="1"/>
  <c r="L733" i="13"/>
  <c r="B733" i="13"/>
  <c r="C733" i="13" s="1"/>
  <c r="L732" i="13"/>
  <c r="B732" i="13"/>
  <c r="C732" i="13" s="1"/>
  <c r="L731" i="13"/>
  <c r="B731" i="13"/>
  <c r="C731" i="13" s="1"/>
  <c r="L730" i="13"/>
  <c r="B730" i="13"/>
  <c r="C730" i="13" s="1"/>
  <c r="L729" i="13"/>
  <c r="B729" i="13"/>
  <c r="C729" i="13" s="1"/>
  <c r="L728" i="13"/>
  <c r="B728" i="13"/>
  <c r="C728" i="13" s="1"/>
  <c r="L727" i="13"/>
  <c r="B727" i="13"/>
  <c r="C727" i="13" s="1"/>
  <c r="L726" i="13"/>
  <c r="B726" i="13"/>
  <c r="C726" i="13" s="1"/>
  <c r="L725" i="13"/>
  <c r="B725" i="13"/>
  <c r="C725" i="13" s="1"/>
  <c r="L724" i="13"/>
  <c r="B724" i="13"/>
  <c r="C724" i="13" s="1"/>
  <c r="L723" i="13"/>
  <c r="B723" i="13"/>
  <c r="C723" i="13" s="1"/>
  <c r="L722" i="13"/>
  <c r="B722" i="13"/>
  <c r="C722" i="13" s="1"/>
  <c r="L721" i="13"/>
  <c r="B721" i="13"/>
  <c r="C721" i="13" s="1"/>
  <c r="L720" i="13"/>
  <c r="B720" i="13"/>
  <c r="C720" i="13" s="1"/>
  <c r="L719" i="13"/>
  <c r="B719" i="13"/>
  <c r="C719" i="13" s="1"/>
  <c r="L718" i="13"/>
  <c r="B718" i="13"/>
  <c r="C718" i="13" s="1"/>
  <c r="L717" i="13"/>
  <c r="B717" i="13"/>
  <c r="C717" i="13" s="1"/>
  <c r="L716" i="13"/>
  <c r="B716" i="13"/>
  <c r="C716" i="13" s="1"/>
  <c r="L715" i="13"/>
  <c r="B715" i="13"/>
  <c r="C715" i="13" s="1"/>
  <c r="L714" i="13"/>
  <c r="B714" i="13"/>
  <c r="C714" i="13" s="1"/>
  <c r="L713" i="13"/>
  <c r="B713" i="13"/>
  <c r="C713" i="13" s="1"/>
  <c r="L712" i="13"/>
  <c r="B712" i="13"/>
  <c r="C712" i="13" s="1"/>
  <c r="L711" i="13"/>
  <c r="B711" i="13"/>
  <c r="C711" i="13" s="1"/>
  <c r="L710" i="13"/>
  <c r="B710" i="13"/>
  <c r="C710" i="13" s="1"/>
  <c r="L709" i="13"/>
  <c r="B709" i="13"/>
  <c r="C709" i="13" s="1"/>
  <c r="L708" i="13"/>
  <c r="B708" i="13"/>
  <c r="C708" i="13" s="1"/>
  <c r="L707" i="13"/>
  <c r="B707" i="13"/>
  <c r="C707" i="13" s="1"/>
  <c r="L706" i="13"/>
  <c r="B706" i="13"/>
  <c r="C706" i="13" s="1"/>
  <c r="L705" i="13"/>
  <c r="B705" i="13"/>
  <c r="C705" i="13" s="1"/>
  <c r="L704" i="13"/>
  <c r="B704" i="13"/>
  <c r="C704" i="13" s="1"/>
  <c r="L703" i="13"/>
  <c r="B703" i="13"/>
  <c r="C703" i="13" s="1"/>
  <c r="L702" i="13"/>
  <c r="B702" i="13"/>
  <c r="C702" i="13" s="1"/>
  <c r="L701" i="13"/>
  <c r="B701" i="13"/>
  <c r="C701" i="13" s="1"/>
  <c r="L700" i="13"/>
  <c r="B700" i="13"/>
  <c r="C700" i="13" s="1"/>
  <c r="L699" i="13"/>
  <c r="B699" i="13"/>
  <c r="C699" i="13" s="1"/>
  <c r="L698" i="13"/>
  <c r="B698" i="13"/>
  <c r="C698" i="13" s="1"/>
  <c r="L697" i="13"/>
  <c r="B697" i="13"/>
  <c r="C697" i="13" s="1"/>
  <c r="L696" i="13"/>
  <c r="B696" i="13"/>
  <c r="C696" i="13" s="1"/>
  <c r="L695" i="13"/>
  <c r="B695" i="13"/>
  <c r="C695" i="13" s="1"/>
  <c r="L694" i="13"/>
  <c r="B694" i="13"/>
  <c r="C694" i="13" s="1"/>
  <c r="L693" i="13"/>
  <c r="B693" i="13"/>
  <c r="C693" i="13" s="1"/>
  <c r="L692" i="13"/>
  <c r="B692" i="13"/>
  <c r="C692" i="13" s="1"/>
  <c r="L691" i="13"/>
  <c r="B691" i="13"/>
  <c r="C691" i="13" s="1"/>
  <c r="L690" i="13"/>
  <c r="B690" i="13"/>
  <c r="C690" i="13" s="1"/>
  <c r="L689" i="13"/>
  <c r="B689" i="13"/>
  <c r="C689" i="13" s="1"/>
  <c r="L688" i="13"/>
  <c r="B688" i="13"/>
  <c r="C688" i="13" s="1"/>
  <c r="L687" i="13"/>
  <c r="B687" i="13"/>
  <c r="C687" i="13" s="1"/>
  <c r="L686" i="13"/>
  <c r="B686" i="13"/>
  <c r="C686" i="13" s="1"/>
  <c r="L685" i="13"/>
  <c r="B685" i="13"/>
  <c r="C685" i="13" s="1"/>
  <c r="L684" i="13"/>
  <c r="B684" i="13"/>
  <c r="C684" i="13" s="1"/>
  <c r="L683" i="13"/>
  <c r="B683" i="13"/>
  <c r="C683" i="13" s="1"/>
  <c r="L682" i="13"/>
  <c r="B682" i="13"/>
  <c r="C682" i="13" s="1"/>
  <c r="L681" i="13"/>
  <c r="B681" i="13"/>
  <c r="C681" i="13" s="1"/>
  <c r="L680" i="13"/>
  <c r="B680" i="13"/>
  <c r="C680" i="13" s="1"/>
  <c r="L679" i="13"/>
  <c r="B679" i="13"/>
  <c r="C679" i="13" s="1"/>
  <c r="L678" i="13"/>
  <c r="B678" i="13"/>
  <c r="C678" i="13" s="1"/>
  <c r="L677" i="13"/>
  <c r="B677" i="13"/>
  <c r="C677" i="13" s="1"/>
  <c r="L676" i="13"/>
  <c r="B676" i="13"/>
  <c r="C676" i="13" s="1"/>
  <c r="L675" i="13"/>
  <c r="B675" i="13"/>
  <c r="C675" i="13" s="1"/>
  <c r="L674" i="13"/>
  <c r="B674" i="13"/>
  <c r="C674" i="13" s="1"/>
  <c r="L673" i="13"/>
  <c r="B673" i="13"/>
  <c r="C673" i="13" s="1"/>
  <c r="L672" i="13"/>
  <c r="B672" i="13"/>
  <c r="C672" i="13" s="1"/>
  <c r="L671" i="13"/>
  <c r="B671" i="13"/>
  <c r="C671" i="13" s="1"/>
  <c r="L670" i="13"/>
  <c r="B670" i="13"/>
  <c r="C670" i="13" s="1"/>
  <c r="L669" i="13"/>
  <c r="B669" i="13"/>
  <c r="C669" i="13" s="1"/>
  <c r="L668" i="13"/>
  <c r="B668" i="13"/>
  <c r="C668" i="13" s="1"/>
  <c r="L667" i="13"/>
  <c r="B667" i="13"/>
  <c r="C667" i="13" s="1"/>
  <c r="L666" i="13"/>
  <c r="B666" i="13"/>
  <c r="C666" i="13" s="1"/>
  <c r="L665" i="13"/>
  <c r="B665" i="13"/>
  <c r="C665" i="13" s="1"/>
  <c r="L664" i="13"/>
  <c r="B664" i="13"/>
  <c r="C664" i="13" s="1"/>
  <c r="L663" i="13"/>
  <c r="B663" i="13"/>
  <c r="C663" i="13" s="1"/>
  <c r="L662" i="13"/>
  <c r="B662" i="13"/>
  <c r="C662" i="13" s="1"/>
  <c r="L661" i="13"/>
  <c r="B661" i="13"/>
  <c r="C661" i="13" s="1"/>
  <c r="L660" i="13"/>
  <c r="B660" i="13"/>
  <c r="C660" i="13" s="1"/>
  <c r="L659" i="13"/>
  <c r="B659" i="13"/>
  <c r="C659" i="13" s="1"/>
  <c r="L658" i="13"/>
  <c r="B658" i="13"/>
  <c r="C658" i="13" s="1"/>
  <c r="L657" i="13"/>
  <c r="B657" i="13"/>
  <c r="C657" i="13" s="1"/>
  <c r="L656" i="13"/>
  <c r="B656" i="13"/>
  <c r="C656" i="13" s="1"/>
  <c r="L655" i="13"/>
  <c r="B655" i="13"/>
  <c r="C655" i="13" s="1"/>
  <c r="L654" i="13"/>
  <c r="B654" i="13"/>
  <c r="C654" i="13" s="1"/>
  <c r="L653" i="13"/>
  <c r="B653" i="13"/>
  <c r="C653" i="13" s="1"/>
  <c r="L652" i="13"/>
  <c r="B652" i="13"/>
  <c r="C652" i="13" s="1"/>
  <c r="L651" i="13"/>
  <c r="B651" i="13"/>
  <c r="C651" i="13" s="1"/>
  <c r="L650" i="13"/>
  <c r="B650" i="13"/>
  <c r="C650" i="13" s="1"/>
  <c r="L649" i="13"/>
  <c r="B649" i="13"/>
  <c r="C649" i="13" s="1"/>
  <c r="L648" i="13"/>
  <c r="B648" i="13"/>
  <c r="C648" i="13" s="1"/>
  <c r="L647" i="13"/>
  <c r="B647" i="13"/>
  <c r="C647" i="13" s="1"/>
  <c r="L646" i="13"/>
  <c r="B646" i="13"/>
  <c r="C646" i="13" s="1"/>
  <c r="L645" i="13"/>
  <c r="B645" i="13"/>
  <c r="C645" i="13" s="1"/>
  <c r="L644" i="13"/>
  <c r="B644" i="13"/>
  <c r="C644" i="13" s="1"/>
  <c r="L643" i="13"/>
  <c r="B643" i="13"/>
  <c r="C643" i="13" s="1"/>
  <c r="L642" i="13"/>
  <c r="B642" i="13"/>
  <c r="C642" i="13" s="1"/>
  <c r="L641" i="13"/>
  <c r="B641" i="13"/>
  <c r="C641" i="13" s="1"/>
  <c r="L640" i="13"/>
  <c r="B640" i="13"/>
  <c r="C640" i="13" s="1"/>
  <c r="L639" i="13"/>
  <c r="B639" i="13"/>
  <c r="C639" i="13" s="1"/>
  <c r="L638" i="13"/>
  <c r="B638" i="13"/>
  <c r="C638" i="13" s="1"/>
  <c r="L637" i="13"/>
  <c r="B637" i="13"/>
  <c r="C637" i="13" s="1"/>
  <c r="L636" i="13"/>
  <c r="B636" i="13"/>
  <c r="C636" i="13" s="1"/>
  <c r="L635" i="13"/>
  <c r="B635" i="13"/>
  <c r="C635" i="13" s="1"/>
  <c r="L634" i="13"/>
  <c r="B634" i="13"/>
  <c r="C634" i="13" s="1"/>
  <c r="L633" i="13"/>
  <c r="B633" i="13"/>
  <c r="C633" i="13" s="1"/>
  <c r="L632" i="13"/>
  <c r="B632" i="13"/>
  <c r="C632" i="13" s="1"/>
  <c r="L631" i="13"/>
  <c r="B631" i="13"/>
  <c r="C631" i="13" s="1"/>
  <c r="L630" i="13"/>
  <c r="B630" i="13"/>
  <c r="C630" i="13" s="1"/>
  <c r="L629" i="13"/>
  <c r="B629" i="13"/>
  <c r="C629" i="13" s="1"/>
  <c r="L628" i="13"/>
  <c r="B628" i="13"/>
  <c r="C628" i="13" s="1"/>
  <c r="L627" i="13"/>
  <c r="B627" i="13"/>
  <c r="C627" i="13" s="1"/>
  <c r="L626" i="13"/>
  <c r="B626" i="13"/>
  <c r="C626" i="13" s="1"/>
  <c r="L625" i="13"/>
  <c r="B625" i="13"/>
  <c r="C625" i="13" s="1"/>
  <c r="L624" i="13"/>
  <c r="B624" i="13"/>
  <c r="C624" i="13" s="1"/>
  <c r="L623" i="13"/>
  <c r="B623" i="13"/>
  <c r="C623" i="13" s="1"/>
  <c r="L622" i="13"/>
  <c r="B622" i="13"/>
  <c r="C622" i="13" s="1"/>
  <c r="L621" i="13"/>
  <c r="B621" i="13"/>
  <c r="C621" i="13" s="1"/>
  <c r="L620" i="13"/>
  <c r="B620" i="13"/>
  <c r="C620" i="13" s="1"/>
  <c r="L619" i="13"/>
  <c r="B619" i="13"/>
  <c r="C619" i="13" s="1"/>
  <c r="L618" i="13"/>
  <c r="B618" i="13"/>
  <c r="C618" i="13" s="1"/>
  <c r="L617" i="13"/>
  <c r="B617" i="13"/>
  <c r="C617" i="13" s="1"/>
  <c r="L616" i="13"/>
  <c r="B616" i="13"/>
  <c r="C616" i="13" s="1"/>
  <c r="L615" i="13"/>
  <c r="B615" i="13"/>
  <c r="C615" i="13" s="1"/>
  <c r="L614" i="13"/>
  <c r="B614" i="13"/>
  <c r="C614" i="13" s="1"/>
  <c r="L613" i="13"/>
  <c r="B613" i="13"/>
  <c r="C613" i="13" s="1"/>
  <c r="L612" i="13"/>
  <c r="B612" i="13"/>
  <c r="C612" i="13" s="1"/>
  <c r="L611" i="13"/>
  <c r="B611" i="13"/>
  <c r="C611" i="13" s="1"/>
  <c r="L610" i="13"/>
  <c r="B610" i="13"/>
  <c r="C610" i="13" s="1"/>
  <c r="L609" i="13"/>
  <c r="B609" i="13"/>
  <c r="C609" i="13" s="1"/>
  <c r="L608" i="13"/>
  <c r="B608" i="13"/>
  <c r="C608" i="13" s="1"/>
  <c r="L607" i="13"/>
  <c r="B607" i="13"/>
  <c r="C607" i="13" s="1"/>
  <c r="L606" i="13"/>
  <c r="B606" i="13"/>
  <c r="C606" i="13" s="1"/>
  <c r="L605" i="13"/>
  <c r="B605" i="13"/>
  <c r="C605" i="13" s="1"/>
  <c r="L604" i="13"/>
  <c r="B604" i="13"/>
  <c r="C604" i="13" s="1"/>
  <c r="L603" i="13"/>
  <c r="B603" i="13"/>
  <c r="C603" i="13" s="1"/>
  <c r="L602" i="13"/>
  <c r="B602" i="13"/>
  <c r="C602" i="13" s="1"/>
  <c r="L601" i="13"/>
  <c r="B601" i="13"/>
  <c r="C601" i="13" s="1"/>
  <c r="L600" i="13"/>
  <c r="B600" i="13"/>
  <c r="C600" i="13" s="1"/>
  <c r="L599" i="13"/>
  <c r="B599" i="13"/>
  <c r="C599" i="13" s="1"/>
  <c r="L598" i="13"/>
  <c r="B598" i="13"/>
  <c r="C598" i="13" s="1"/>
  <c r="L597" i="13"/>
  <c r="B597" i="13"/>
  <c r="C597" i="13" s="1"/>
  <c r="L596" i="13"/>
  <c r="B596" i="13"/>
  <c r="C596" i="13" s="1"/>
  <c r="L595" i="13"/>
  <c r="B595" i="13"/>
  <c r="C595" i="13" s="1"/>
  <c r="L594" i="13"/>
  <c r="B594" i="13"/>
  <c r="C594" i="13" s="1"/>
  <c r="L593" i="13"/>
  <c r="B593" i="13"/>
  <c r="C593" i="13" s="1"/>
  <c r="L592" i="13"/>
  <c r="B592" i="13"/>
  <c r="C592" i="13" s="1"/>
  <c r="L591" i="13"/>
  <c r="B591" i="13"/>
  <c r="C591" i="13" s="1"/>
  <c r="L590" i="13"/>
  <c r="B590" i="13"/>
  <c r="C590" i="13" s="1"/>
  <c r="L589" i="13"/>
  <c r="B589" i="13"/>
  <c r="C589" i="13" s="1"/>
  <c r="L588" i="13"/>
  <c r="B588" i="13"/>
  <c r="C588" i="13" s="1"/>
  <c r="L587" i="13"/>
  <c r="B587" i="13"/>
  <c r="C587" i="13" s="1"/>
  <c r="L586" i="13"/>
  <c r="B586" i="13"/>
  <c r="C586" i="13" s="1"/>
  <c r="L585" i="13"/>
  <c r="B585" i="13"/>
  <c r="C585" i="13" s="1"/>
  <c r="L584" i="13"/>
  <c r="B584" i="13"/>
  <c r="C584" i="13" s="1"/>
  <c r="L583" i="13"/>
  <c r="B583" i="13"/>
  <c r="C583" i="13" s="1"/>
  <c r="L582" i="13"/>
  <c r="B582" i="13"/>
  <c r="C582" i="13" s="1"/>
  <c r="L581" i="13"/>
  <c r="B581" i="13"/>
  <c r="C581" i="13" s="1"/>
  <c r="L580" i="13"/>
  <c r="B580" i="13"/>
  <c r="C580" i="13" s="1"/>
  <c r="L579" i="13"/>
  <c r="B579" i="13"/>
  <c r="C579" i="13" s="1"/>
  <c r="L578" i="13"/>
  <c r="B578" i="13"/>
  <c r="C578" i="13" s="1"/>
  <c r="L577" i="13"/>
  <c r="B577" i="13"/>
  <c r="C577" i="13" s="1"/>
  <c r="L576" i="13"/>
  <c r="B576" i="13"/>
  <c r="C576" i="13" s="1"/>
  <c r="L575" i="13"/>
  <c r="B575" i="13"/>
  <c r="C575" i="13" s="1"/>
  <c r="L574" i="13"/>
  <c r="B574" i="13"/>
  <c r="C574" i="13" s="1"/>
  <c r="L573" i="13"/>
  <c r="B573" i="13"/>
  <c r="C573" i="13" s="1"/>
  <c r="L572" i="13"/>
  <c r="B572" i="13"/>
  <c r="C572" i="13" s="1"/>
  <c r="L571" i="13"/>
  <c r="B571" i="13"/>
  <c r="C571" i="13" s="1"/>
  <c r="L570" i="13"/>
  <c r="B570" i="13"/>
  <c r="C570" i="13" s="1"/>
  <c r="L569" i="13"/>
  <c r="B569" i="13"/>
  <c r="C569" i="13" s="1"/>
  <c r="L568" i="13"/>
  <c r="B568" i="13"/>
  <c r="C568" i="13" s="1"/>
  <c r="L567" i="13"/>
  <c r="B567" i="13"/>
  <c r="C567" i="13" s="1"/>
  <c r="L566" i="13"/>
  <c r="B566" i="13"/>
  <c r="C566" i="13" s="1"/>
  <c r="L565" i="13"/>
  <c r="B565" i="13"/>
  <c r="C565" i="13" s="1"/>
  <c r="L564" i="13"/>
  <c r="B564" i="13"/>
  <c r="C564" i="13" s="1"/>
  <c r="L563" i="13"/>
  <c r="B563" i="13"/>
  <c r="C563" i="13" s="1"/>
  <c r="L562" i="13"/>
  <c r="B562" i="13"/>
  <c r="C562" i="13" s="1"/>
  <c r="L561" i="13"/>
  <c r="B561" i="13"/>
  <c r="C561" i="13" s="1"/>
  <c r="L560" i="13"/>
  <c r="B560" i="13"/>
  <c r="C560" i="13" s="1"/>
  <c r="L559" i="13"/>
  <c r="B559" i="13"/>
  <c r="C559" i="13" s="1"/>
  <c r="L558" i="13"/>
  <c r="B558" i="13"/>
  <c r="C558" i="13" s="1"/>
  <c r="L557" i="13"/>
  <c r="B557" i="13"/>
  <c r="C557" i="13" s="1"/>
  <c r="L556" i="13"/>
  <c r="B556" i="13"/>
  <c r="C556" i="13" s="1"/>
  <c r="L555" i="13"/>
  <c r="B555" i="13"/>
  <c r="C555" i="13" s="1"/>
  <c r="L554" i="13"/>
  <c r="B554" i="13"/>
  <c r="C554" i="13" s="1"/>
  <c r="L553" i="13"/>
  <c r="B553" i="13"/>
  <c r="C553" i="13" s="1"/>
  <c r="L552" i="13"/>
  <c r="B552" i="13"/>
  <c r="C552" i="13" s="1"/>
  <c r="L551" i="13"/>
  <c r="B551" i="13"/>
  <c r="C551" i="13" s="1"/>
  <c r="L550" i="13"/>
  <c r="B550" i="13"/>
  <c r="C550" i="13" s="1"/>
  <c r="L549" i="13"/>
  <c r="B549" i="13"/>
  <c r="C549" i="13" s="1"/>
  <c r="L548" i="13"/>
  <c r="B548" i="13"/>
  <c r="C548" i="13" s="1"/>
  <c r="L547" i="13"/>
  <c r="B547" i="13"/>
  <c r="C547" i="13" s="1"/>
  <c r="L546" i="13"/>
  <c r="B546" i="13"/>
  <c r="C546" i="13" s="1"/>
  <c r="L545" i="13"/>
  <c r="B545" i="13"/>
  <c r="C545" i="13" s="1"/>
  <c r="L544" i="13"/>
  <c r="B544" i="13"/>
  <c r="C544" i="13" s="1"/>
  <c r="L543" i="13"/>
  <c r="B543" i="13"/>
  <c r="C543" i="13" s="1"/>
  <c r="L542" i="13"/>
  <c r="B542" i="13"/>
  <c r="C542" i="13" s="1"/>
  <c r="L541" i="13"/>
  <c r="B541" i="13"/>
  <c r="C541" i="13" s="1"/>
  <c r="L540" i="13"/>
  <c r="B540" i="13"/>
  <c r="C540" i="13" s="1"/>
  <c r="L539" i="13"/>
  <c r="B539" i="13"/>
  <c r="C539" i="13" s="1"/>
  <c r="L538" i="13"/>
  <c r="B538" i="13"/>
  <c r="C538" i="13" s="1"/>
  <c r="L537" i="13"/>
  <c r="B537" i="13"/>
  <c r="C537" i="13" s="1"/>
  <c r="L536" i="13"/>
  <c r="B536" i="13"/>
  <c r="C536" i="13" s="1"/>
  <c r="L535" i="13"/>
  <c r="B535" i="13"/>
  <c r="C535" i="13" s="1"/>
  <c r="L534" i="13"/>
  <c r="B534" i="13"/>
  <c r="C534" i="13" s="1"/>
  <c r="L533" i="13"/>
  <c r="B533" i="13"/>
  <c r="C533" i="13" s="1"/>
  <c r="L532" i="13"/>
  <c r="B532" i="13"/>
  <c r="C532" i="13" s="1"/>
  <c r="L531" i="13"/>
  <c r="B531" i="13"/>
  <c r="C531" i="13" s="1"/>
  <c r="L530" i="13"/>
  <c r="B530" i="13"/>
  <c r="C530" i="13" s="1"/>
  <c r="L529" i="13"/>
  <c r="B529" i="13"/>
  <c r="C529" i="13" s="1"/>
  <c r="L528" i="13"/>
  <c r="B528" i="13"/>
  <c r="C528" i="13" s="1"/>
  <c r="L527" i="13"/>
  <c r="B527" i="13"/>
  <c r="C527" i="13" s="1"/>
  <c r="L526" i="13"/>
  <c r="B526" i="13"/>
  <c r="C526" i="13" s="1"/>
  <c r="L525" i="13"/>
  <c r="B525" i="13"/>
  <c r="C525" i="13" s="1"/>
  <c r="L524" i="13"/>
  <c r="B524" i="13"/>
  <c r="C524" i="13" s="1"/>
  <c r="L523" i="13"/>
  <c r="B523" i="13"/>
  <c r="C523" i="13" s="1"/>
  <c r="L522" i="13"/>
  <c r="B522" i="13"/>
  <c r="C522" i="13" s="1"/>
  <c r="L521" i="13"/>
  <c r="B521" i="13"/>
  <c r="C521" i="13" s="1"/>
  <c r="L520" i="13"/>
  <c r="B520" i="13"/>
  <c r="C520" i="13" s="1"/>
  <c r="L519" i="13"/>
  <c r="B519" i="13"/>
  <c r="C519" i="13" s="1"/>
  <c r="L518" i="13"/>
  <c r="B518" i="13"/>
  <c r="C518" i="13" s="1"/>
  <c r="L517" i="13"/>
  <c r="B517" i="13"/>
  <c r="C517" i="13" s="1"/>
  <c r="L516" i="13"/>
  <c r="B516" i="13"/>
  <c r="C516" i="13" s="1"/>
  <c r="L515" i="13"/>
  <c r="B515" i="13"/>
  <c r="C515" i="13" s="1"/>
  <c r="L514" i="13"/>
  <c r="B514" i="13"/>
  <c r="C514" i="13" s="1"/>
  <c r="L513" i="13"/>
  <c r="B513" i="13"/>
  <c r="C513" i="13" s="1"/>
  <c r="L512" i="13"/>
  <c r="B512" i="13"/>
  <c r="C512" i="13" s="1"/>
  <c r="L511" i="13"/>
  <c r="B511" i="13"/>
  <c r="C511" i="13" s="1"/>
  <c r="L510" i="13"/>
  <c r="B510" i="13"/>
  <c r="C510" i="13" s="1"/>
  <c r="L509" i="13"/>
  <c r="B509" i="13"/>
  <c r="C509" i="13" s="1"/>
  <c r="L508" i="13"/>
  <c r="B508" i="13"/>
  <c r="C508" i="13" s="1"/>
  <c r="L507" i="13"/>
  <c r="B507" i="13"/>
  <c r="C507" i="13" s="1"/>
  <c r="L506" i="13"/>
  <c r="B506" i="13"/>
  <c r="C506" i="13" s="1"/>
  <c r="L505" i="13"/>
  <c r="B505" i="13"/>
  <c r="C505" i="13" s="1"/>
  <c r="L504" i="13"/>
  <c r="B504" i="13"/>
  <c r="C504" i="13" s="1"/>
  <c r="L503" i="13"/>
  <c r="B503" i="13"/>
  <c r="C503" i="13" s="1"/>
  <c r="L502" i="13"/>
  <c r="B502" i="13"/>
  <c r="C502" i="13" s="1"/>
  <c r="L501" i="13"/>
  <c r="B501" i="13"/>
  <c r="C501" i="13" s="1"/>
  <c r="L500" i="13"/>
  <c r="B500" i="13"/>
  <c r="C500" i="13" s="1"/>
  <c r="L499" i="13"/>
  <c r="B499" i="13"/>
  <c r="C499" i="13" s="1"/>
  <c r="L498" i="13"/>
  <c r="B498" i="13"/>
  <c r="C498" i="13" s="1"/>
  <c r="L497" i="13"/>
  <c r="B497" i="13"/>
  <c r="C497" i="13" s="1"/>
  <c r="L496" i="13"/>
  <c r="B496" i="13"/>
  <c r="C496" i="13" s="1"/>
  <c r="L495" i="13"/>
  <c r="B495" i="13"/>
  <c r="C495" i="13" s="1"/>
  <c r="L494" i="13"/>
  <c r="B494" i="13"/>
  <c r="C494" i="13" s="1"/>
  <c r="L493" i="13"/>
  <c r="B493" i="13"/>
  <c r="C493" i="13" s="1"/>
  <c r="L492" i="13"/>
  <c r="B492" i="13"/>
  <c r="C492" i="13" s="1"/>
  <c r="L491" i="13"/>
  <c r="B491" i="13"/>
  <c r="C491" i="13" s="1"/>
  <c r="L490" i="13"/>
  <c r="B490" i="13"/>
  <c r="C490" i="13" s="1"/>
  <c r="L489" i="13"/>
  <c r="B489" i="13"/>
  <c r="C489" i="13" s="1"/>
  <c r="L488" i="13"/>
  <c r="B488" i="13"/>
  <c r="C488" i="13" s="1"/>
  <c r="L487" i="13"/>
  <c r="B487" i="13"/>
  <c r="C487" i="13" s="1"/>
  <c r="L486" i="13"/>
  <c r="B486" i="13"/>
  <c r="C486" i="13" s="1"/>
  <c r="L485" i="13"/>
  <c r="B485" i="13"/>
  <c r="C485" i="13" s="1"/>
  <c r="L484" i="13"/>
  <c r="B484" i="13"/>
  <c r="C484" i="13" s="1"/>
  <c r="L483" i="13"/>
  <c r="B483" i="13"/>
  <c r="C483" i="13" s="1"/>
  <c r="L482" i="13"/>
  <c r="B482" i="13"/>
  <c r="C482" i="13" s="1"/>
  <c r="L481" i="13"/>
  <c r="B481" i="13"/>
  <c r="C481" i="13" s="1"/>
  <c r="L480" i="13"/>
  <c r="B480" i="13"/>
  <c r="C480" i="13" s="1"/>
  <c r="L479" i="13"/>
  <c r="B479" i="13"/>
  <c r="C479" i="13" s="1"/>
  <c r="L478" i="13"/>
  <c r="B478" i="13"/>
  <c r="C478" i="13" s="1"/>
  <c r="L477" i="13"/>
  <c r="B477" i="13"/>
  <c r="C477" i="13" s="1"/>
  <c r="L476" i="13"/>
  <c r="B476" i="13"/>
  <c r="C476" i="13" s="1"/>
  <c r="L475" i="13"/>
  <c r="B475" i="13"/>
  <c r="C475" i="13" s="1"/>
  <c r="L474" i="13"/>
  <c r="B474" i="13"/>
  <c r="C474" i="13" s="1"/>
  <c r="L473" i="13"/>
  <c r="B473" i="13"/>
  <c r="C473" i="13" s="1"/>
  <c r="L472" i="13"/>
  <c r="B472" i="13"/>
  <c r="C472" i="13" s="1"/>
  <c r="L471" i="13"/>
  <c r="B471" i="13"/>
  <c r="C471" i="13" s="1"/>
  <c r="L470" i="13"/>
  <c r="B470" i="13"/>
  <c r="C470" i="13" s="1"/>
  <c r="L469" i="13"/>
  <c r="B469" i="13"/>
  <c r="C469" i="13" s="1"/>
  <c r="L468" i="13"/>
  <c r="B468" i="13"/>
  <c r="C468" i="13" s="1"/>
  <c r="L467" i="13"/>
  <c r="B467" i="13"/>
  <c r="C467" i="13" s="1"/>
  <c r="L466" i="13"/>
  <c r="B466" i="13"/>
  <c r="C466" i="13" s="1"/>
  <c r="L465" i="13"/>
  <c r="B465" i="13"/>
  <c r="C465" i="13" s="1"/>
  <c r="L464" i="13"/>
  <c r="B464" i="13"/>
  <c r="C464" i="13" s="1"/>
  <c r="L463" i="13"/>
  <c r="B463" i="13"/>
  <c r="C463" i="13" s="1"/>
  <c r="L462" i="13"/>
  <c r="B462" i="13"/>
  <c r="C462" i="13" s="1"/>
  <c r="L461" i="13"/>
  <c r="B461" i="13"/>
  <c r="C461" i="13" s="1"/>
  <c r="L460" i="13"/>
  <c r="B460" i="13"/>
  <c r="C460" i="13" s="1"/>
  <c r="L459" i="13"/>
  <c r="B459" i="13"/>
  <c r="C459" i="13" s="1"/>
  <c r="L458" i="13"/>
  <c r="B458" i="13"/>
  <c r="C458" i="13" s="1"/>
  <c r="L457" i="13"/>
  <c r="B457" i="13"/>
  <c r="C457" i="13" s="1"/>
  <c r="L456" i="13"/>
  <c r="B456" i="13"/>
  <c r="C456" i="13" s="1"/>
  <c r="L455" i="13"/>
  <c r="B455" i="13"/>
  <c r="C455" i="13" s="1"/>
  <c r="L454" i="13"/>
  <c r="B454" i="13"/>
  <c r="C454" i="13" s="1"/>
  <c r="L453" i="13"/>
  <c r="B453" i="13"/>
  <c r="C453" i="13" s="1"/>
  <c r="L452" i="13"/>
  <c r="B452" i="13"/>
  <c r="C452" i="13" s="1"/>
  <c r="L451" i="13"/>
  <c r="B451" i="13"/>
  <c r="C451" i="13" s="1"/>
  <c r="L450" i="13"/>
  <c r="B450" i="13"/>
  <c r="C450" i="13" s="1"/>
  <c r="L449" i="13"/>
  <c r="B449" i="13"/>
  <c r="C449" i="13" s="1"/>
  <c r="L448" i="13"/>
  <c r="B448" i="13"/>
  <c r="C448" i="13" s="1"/>
  <c r="L447" i="13"/>
  <c r="B447" i="13"/>
  <c r="C447" i="13" s="1"/>
  <c r="L446" i="13"/>
  <c r="B446" i="13"/>
  <c r="C446" i="13" s="1"/>
  <c r="L445" i="13"/>
  <c r="B445" i="13"/>
  <c r="C445" i="13" s="1"/>
  <c r="L444" i="13"/>
  <c r="B444" i="13"/>
  <c r="C444" i="13" s="1"/>
  <c r="L443" i="13"/>
  <c r="B443" i="13"/>
  <c r="C443" i="13" s="1"/>
  <c r="L442" i="13"/>
  <c r="B442" i="13"/>
  <c r="C442" i="13" s="1"/>
  <c r="L441" i="13"/>
  <c r="B441" i="13"/>
  <c r="C441" i="13" s="1"/>
  <c r="L440" i="13"/>
  <c r="B440" i="13"/>
  <c r="C440" i="13" s="1"/>
  <c r="L439" i="13"/>
  <c r="B439" i="13"/>
  <c r="C439" i="13" s="1"/>
  <c r="L438" i="13"/>
  <c r="B438" i="13"/>
  <c r="C438" i="13" s="1"/>
  <c r="L437" i="13"/>
  <c r="B437" i="13"/>
  <c r="C437" i="13" s="1"/>
  <c r="L436" i="13"/>
  <c r="B436" i="13"/>
  <c r="C436" i="13" s="1"/>
  <c r="L435" i="13"/>
  <c r="B435" i="13"/>
  <c r="C435" i="13" s="1"/>
  <c r="L434" i="13"/>
  <c r="B434" i="13"/>
  <c r="C434" i="13" s="1"/>
  <c r="L433" i="13"/>
  <c r="B433" i="13"/>
  <c r="C433" i="13" s="1"/>
  <c r="L432" i="13"/>
  <c r="B432" i="13"/>
  <c r="C432" i="13" s="1"/>
  <c r="L431" i="13"/>
  <c r="B431" i="13"/>
  <c r="C431" i="13" s="1"/>
  <c r="L430" i="13"/>
  <c r="B430" i="13"/>
  <c r="C430" i="13" s="1"/>
  <c r="L429" i="13"/>
  <c r="B429" i="13"/>
  <c r="C429" i="13" s="1"/>
  <c r="L428" i="13"/>
  <c r="B428" i="13"/>
  <c r="C428" i="13" s="1"/>
  <c r="L427" i="13"/>
  <c r="B427" i="13"/>
  <c r="C427" i="13" s="1"/>
  <c r="L426" i="13"/>
  <c r="B426" i="13"/>
  <c r="C426" i="13" s="1"/>
  <c r="L425" i="13"/>
  <c r="B425" i="13"/>
  <c r="C425" i="13" s="1"/>
  <c r="L424" i="13"/>
  <c r="B424" i="13"/>
  <c r="C424" i="13" s="1"/>
  <c r="L423" i="13"/>
  <c r="B423" i="13"/>
  <c r="C423" i="13" s="1"/>
  <c r="L422" i="13"/>
  <c r="B422" i="13"/>
  <c r="C422" i="13" s="1"/>
  <c r="L421" i="13"/>
  <c r="B421" i="13"/>
  <c r="C421" i="13" s="1"/>
  <c r="L420" i="13"/>
  <c r="B420" i="13"/>
  <c r="C420" i="13" s="1"/>
  <c r="L419" i="13"/>
  <c r="B419" i="13"/>
  <c r="C419" i="13" s="1"/>
  <c r="L418" i="13"/>
  <c r="B418" i="13"/>
  <c r="C418" i="13" s="1"/>
  <c r="L417" i="13"/>
  <c r="B417" i="13"/>
  <c r="C417" i="13" s="1"/>
  <c r="L416" i="13"/>
  <c r="B416" i="13"/>
  <c r="C416" i="13" s="1"/>
  <c r="L415" i="13"/>
  <c r="B415" i="13"/>
  <c r="C415" i="13" s="1"/>
  <c r="L414" i="13"/>
  <c r="B414" i="13"/>
  <c r="C414" i="13" s="1"/>
  <c r="L413" i="13"/>
  <c r="B413" i="13"/>
  <c r="C413" i="13" s="1"/>
  <c r="L412" i="13"/>
  <c r="B412" i="13"/>
  <c r="C412" i="13" s="1"/>
  <c r="L411" i="13"/>
  <c r="B411" i="13"/>
  <c r="C411" i="13" s="1"/>
  <c r="L410" i="13"/>
  <c r="B410" i="13"/>
  <c r="C410" i="13" s="1"/>
  <c r="L409" i="13"/>
  <c r="B409" i="13"/>
  <c r="C409" i="13" s="1"/>
  <c r="L408" i="13"/>
  <c r="B408" i="13"/>
  <c r="C408" i="13" s="1"/>
  <c r="L407" i="13"/>
  <c r="B407" i="13"/>
  <c r="C407" i="13" s="1"/>
  <c r="L406" i="13"/>
  <c r="B406" i="13"/>
  <c r="C406" i="13" s="1"/>
  <c r="L405" i="13"/>
  <c r="B405" i="13"/>
  <c r="C405" i="13" s="1"/>
  <c r="L404" i="13"/>
  <c r="B404" i="13"/>
  <c r="C404" i="13" s="1"/>
  <c r="L403" i="13"/>
  <c r="B403" i="13"/>
  <c r="C403" i="13" s="1"/>
  <c r="L402" i="13"/>
  <c r="B402" i="13"/>
  <c r="C402" i="13" s="1"/>
  <c r="L401" i="13"/>
  <c r="B401" i="13"/>
  <c r="C401" i="13" s="1"/>
  <c r="L400" i="13"/>
  <c r="B400" i="13"/>
  <c r="C400" i="13" s="1"/>
  <c r="L399" i="13"/>
  <c r="B399" i="13"/>
  <c r="C399" i="13" s="1"/>
  <c r="L398" i="13"/>
  <c r="B398" i="13"/>
  <c r="C398" i="13" s="1"/>
  <c r="L397" i="13"/>
  <c r="B397" i="13"/>
  <c r="C397" i="13" s="1"/>
  <c r="L396" i="13"/>
  <c r="B396" i="13"/>
  <c r="C396" i="13" s="1"/>
  <c r="L395" i="13"/>
  <c r="B395" i="13"/>
  <c r="C395" i="13" s="1"/>
  <c r="L394" i="13"/>
  <c r="B394" i="13"/>
  <c r="C394" i="13" s="1"/>
  <c r="L393" i="13"/>
  <c r="B393" i="13"/>
  <c r="C393" i="13" s="1"/>
  <c r="L392" i="13"/>
  <c r="B392" i="13"/>
  <c r="C392" i="13" s="1"/>
  <c r="L391" i="13"/>
  <c r="B391" i="13"/>
  <c r="C391" i="13" s="1"/>
  <c r="L390" i="13"/>
  <c r="B390" i="13"/>
  <c r="C390" i="13" s="1"/>
  <c r="L389" i="13"/>
  <c r="B389" i="13"/>
  <c r="C389" i="13" s="1"/>
  <c r="L388" i="13"/>
  <c r="B388" i="13"/>
  <c r="C388" i="13" s="1"/>
  <c r="L387" i="13"/>
  <c r="B387" i="13"/>
  <c r="C387" i="13" s="1"/>
  <c r="L386" i="13"/>
  <c r="B386" i="13"/>
  <c r="C386" i="13" s="1"/>
  <c r="L385" i="13"/>
  <c r="B385" i="13"/>
  <c r="C385" i="13" s="1"/>
  <c r="L384" i="13"/>
  <c r="B384" i="13"/>
  <c r="C384" i="13" s="1"/>
  <c r="L383" i="13"/>
  <c r="B383" i="13"/>
  <c r="C383" i="13" s="1"/>
  <c r="L382" i="13"/>
  <c r="B382" i="13"/>
  <c r="C382" i="13" s="1"/>
  <c r="L381" i="13"/>
  <c r="B381" i="13"/>
  <c r="C381" i="13" s="1"/>
  <c r="L380" i="13"/>
  <c r="B380" i="13"/>
  <c r="C380" i="13" s="1"/>
  <c r="L379" i="13"/>
  <c r="B379" i="13"/>
  <c r="C379" i="13" s="1"/>
  <c r="L378" i="13"/>
  <c r="B378" i="13"/>
  <c r="C378" i="13" s="1"/>
  <c r="L377" i="13"/>
  <c r="B377" i="13"/>
  <c r="C377" i="13" s="1"/>
  <c r="L376" i="13"/>
  <c r="B376" i="13"/>
  <c r="C376" i="13" s="1"/>
  <c r="L375" i="13"/>
  <c r="B375" i="13"/>
  <c r="C375" i="13" s="1"/>
  <c r="L374" i="13"/>
  <c r="B374" i="13"/>
  <c r="C374" i="13" s="1"/>
  <c r="L373" i="13"/>
  <c r="B373" i="13"/>
  <c r="C373" i="13" s="1"/>
  <c r="L372" i="13"/>
  <c r="B372" i="13"/>
  <c r="C372" i="13" s="1"/>
  <c r="L371" i="13"/>
  <c r="B371" i="13"/>
  <c r="C371" i="13" s="1"/>
  <c r="L370" i="13"/>
  <c r="B370" i="13"/>
  <c r="C370" i="13" s="1"/>
  <c r="L369" i="13"/>
  <c r="B369" i="13"/>
  <c r="C369" i="13" s="1"/>
  <c r="L368" i="13"/>
  <c r="B368" i="13"/>
  <c r="C368" i="13" s="1"/>
  <c r="L367" i="13"/>
  <c r="B367" i="13"/>
  <c r="C367" i="13" s="1"/>
  <c r="L366" i="13"/>
  <c r="B366" i="13"/>
  <c r="C366" i="13" s="1"/>
  <c r="L365" i="13"/>
  <c r="B365" i="13"/>
  <c r="C365" i="13" s="1"/>
  <c r="L364" i="13"/>
  <c r="B364" i="13"/>
  <c r="C364" i="13" s="1"/>
  <c r="L363" i="13"/>
  <c r="B363" i="13"/>
  <c r="C363" i="13" s="1"/>
  <c r="L362" i="13"/>
  <c r="B362" i="13"/>
  <c r="C362" i="13" s="1"/>
  <c r="L361" i="13"/>
  <c r="B361" i="13"/>
  <c r="C361" i="13" s="1"/>
  <c r="L360" i="13"/>
  <c r="B360" i="13"/>
  <c r="C360" i="13" s="1"/>
  <c r="L359" i="13"/>
  <c r="B359" i="13"/>
  <c r="C359" i="13" s="1"/>
  <c r="L358" i="13"/>
  <c r="B358" i="13"/>
  <c r="C358" i="13" s="1"/>
  <c r="L357" i="13"/>
  <c r="B357" i="13"/>
  <c r="C357" i="13" s="1"/>
  <c r="L356" i="13"/>
  <c r="B356" i="13"/>
  <c r="C356" i="13" s="1"/>
  <c r="L355" i="13"/>
  <c r="B355" i="13"/>
  <c r="C355" i="13" s="1"/>
  <c r="L354" i="13"/>
  <c r="B354" i="13"/>
  <c r="C354" i="13" s="1"/>
  <c r="L353" i="13"/>
  <c r="B353" i="13"/>
  <c r="C353" i="13" s="1"/>
  <c r="L352" i="13"/>
  <c r="B352" i="13"/>
  <c r="C352" i="13" s="1"/>
  <c r="L351" i="13"/>
  <c r="B351" i="13"/>
  <c r="C351" i="13" s="1"/>
  <c r="L350" i="13"/>
  <c r="B350" i="13"/>
  <c r="C350" i="13" s="1"/>
  <c r="L349" i="13"/>
  <c r="B349" i="13"/>
  <c r="C349" i="13" s="1"/>
  <c r="L348" i="13"/>
  <c r="B348" i="13"/>
  <c r="C348" i="13" s="1"/>
  <c r="L347" i="13"/>
  <c r="B347" i="13"/>
  <c r="C347" i="13" s="1"/>
  <c r="L346" i="13"/>
  <c r="B346" i="13"/>
  <c r="C346" i="13" s="1"/>
  <c r="L345" i="13"/>
  <c r="B345" i="13"/>
  <c r="C345" i="13" s="1"/>
  <c r="L344" i="13"/>
  <c r="B344" i="13"/>
  <c r="C344" i="13" s="1"/>
  <c r="L343" i="13"/>
  <c r="B343" i="13"/>
  <c r="C343" i="13" s="1"/>
  <c r="L342" i="13"/>
  <c r="B342" i="13"/>
  <c r="C342" i="13" s="1"/>
  <c r="L341" i="13"/>
  <c r="B341" i="13"/>
  <c r="C341" i="13" s="1"/>
  <c r="L340" i="13"/>
  <c r="B340" i="13"/>
  <c r="C340" i="13" s="1"/>
  <c r="L339" i="13"/>
  <c r="B339" i="13"/>
  <c r="C339" i="13" s="1"/>
  <c r="L338" i="13"/>
  <c r="B338" i="13"/>
  <c r="C338" i="13" s="1"/>
  <c r="L337" i="13"/>
  <c r="B337" i="13"/>
  <c r="C337" i="13" s="1"/>
  <c r="L336" i="13"/>
  <c r="B336" i="13"/>
  <c r="C336" i="13" s="1"/>
  <c r="L335" i="13"/>
  <c r="B335" i="13"/>
  <c r="C335" i="13" s="1"/>
  <c r="L334" i="13"/>
  <c r="B334" i="13"/>
  <c r="C334" i="13" s="1"/>
  <c r="L333" i="13"/>
  <c r="B333" i="13"/>
  <c r="C333" i="13" s="1"/>
  <c r="L332" i="13"/>
  <c r="B332" i="13"/>
  <c r="C332" i="13" s="1"/>
  <c r="L331" i="13"/>
  <c r="B331" i="13"/>
  <c r="C331" i="13" s="1"/>
  <c r="L330" i="13"/>
  <c r="B330" i="13"/>
  <c r="C330" i="13" s="1"/>
  <c r="L329" i="13"/>
  <c r="B329" i="13"/>
  <c r="C329" i="13" s="1"/>
  <c r="L328" i="13"/>
  <c r="B328" i="13"/>
  <c r="C328" i="13" s="1"/>
  <c r="L327" i="13"/>
  <c r="B327" i="13"/>
  <c r="C327" i="13" s="1"/>
  <c r="L326" i="13"/>
  <c r="B326" i="13"/>
  <c r="C326" i="13" s="1"/>
  <c r="L325" i="13"/>
  <c r="B325" i="13"/>
  <c r="C325" i="13" s="1"/>
  <c r="L324" i="13"/>
  <c r="B324" i="13"/>
  <c r="C324" i="13" s="1"/>
  <c r="L323" i="13"/>
  <c r="B323" i="13"/>
  <c r="C323" i="13" s="1"/>
  <c r="L322" i="13"/>
  <c r="B322" i="13"/>
  <c r="C322" i="13" s="1"/>
  <c r="L321" i="13"/>
  <c r="B321" i="13"/>
  <c r="C321" i="13" s="1"/>
  <c r="L320" i="13"/>
  <c r="B320" i="13"/>
  <c r="C320" i="13" s="1"/>
  <c r="L319" i="13"/>
  <c r="B319" i="13"/>
  <c r="C319" i="13" s="1"/>
  <c r="L318" i="13"/>
  <c r="B318" i="13"/>
  <c r="C318" i="13" s="1"/>
  <c r="L317" i="13"/>
  <c r="B317" i="13"/>
  <c r="C317" i="13" s="1"/>
  <c r="L316" i="13"/>
  <c r="B316" i="13"/>
  <c r="C316" i="13" s="1"/>
  <c r="L315" i="13"/>
  <c r="B315" i="13"/>
  <c r="C315" i="13" s="1"/>
  <c r="L314" i="13"/>
  <c r="B314" i="13"/>
  <c r="C314" i="13" s="1"/>
  <c r="L313" i="13"/>
  <c r="B313" i="13"/>
  <c r="C313" i="13" s="1"/>
  <c r="L312" i="13"/>
  <c r="B312" i="13"/>
  <c r="C312" i="13" s="1"/>
  <c r="L311" i="13"/>
  <c r="B311" i="13"/>
  <c r="C311" i="13" s="1"/>
  <c r="L310" i="13"/>
  <c r="B310" i="13"/>
  <c r="C310" i="13" s="1"/>
  <c r="L309" i="13"/>
  <c r="B309" i="13"/>
  <c r="C309" i="13" s="1"/>
  <c r="L308" i="13"/>
  <c r="B308" i="13"/>
  <c r="C308" i="13" s="1"/>
  <c r="L307" i="13"/>
  <c r="B307" i="13"/>
  <c r="C307" i="13" s="1"/>
  <c r="L306" i="13"/>
  <c r="B306" i="13"/>
  <c r="C306" i="13" s="1"/>
  <c r="L305" i="13"/>
  <c r="B305" i="13"/>
  <c r="C305" i="13" s="1"/>
  <c r="L304" i="13"/>
  <c r="B304" i="13"/>
  <c r="C304" i="13" s="1"/>
  <c r="L303" i="13"/>
  <c r="B303" i="13"/>
  <c r="C303" i="13" s="1"/>
  <c r="L302" i="13"/>
  <c r="B302" i="13"/>
  <c r="C302" i="13" s="1"/>
  <c r="L301" i="13"/>
  <c r="B301" i="13"/>
  <c r="C301" i="13" s="1"/>
  <c r="L300" i="13"/>
  <c r="B300" i="13"/>
  <c r="C300" i="13" s="1"/>
  <c r="L299" i="13"/>
  <c r="B299" i="13"/>
  <c r="C299" i="13" s="1"/>
  <c r="L298" i="13"/>
  <c r="B298" i="13"/>
  <c r="C298" i="13" s="1"/>
  <c r="L297" i="13"/>
  <c r="B297" i="13"/>
  <c r="C297" i="13" s="1"/>
  <c r="L296" i="13"/>
  <c r="B296" i="13"/>
  <c r="C296" i="13" s="1"/>
  <c r="L295" i="13"/>
  <c r="B295" i="13"/>
  <c r="C295" i="13" s="1"/>
  <c r="L294" i="13"/>
  <c r="B294" i="13"/>
  <c r="C294" i="13" s="1"/>
  <c r="L293" i="13"/>
  <c r="B293" i="13"/>
  <c r="C293" i="13" s="1"/>
  <c r="L292" i="13"/>
  <c r="B292" i="13"/>
  <c r="C292" i="13" s="1"/>
  <c r="L291" i="13"/>
  <c r="B291" i="13"/>
  <c r="C291" i="13" s="1"/>
  <c r="L290" i="13"/>
  <c r="B290" i="13"/>
  <c r="C290" i="13" s="1"/>
  <c r="L289" i="13"/>
  <c r="B289" i="13"/>
  <c r="C289" i="13" s="1"/>
  <c r="L288" i="13"/>
  <c r="B288" i="13"/>
  <c r="C288" i="13" s="1"/>
  <c r="L287" i="13"/>
  <c r="B287" i="13"/>
  <c r="C287" i="13" s="1"/>
  <c r="L286" i="13"/>
  <c r="B286" i="13"/>
  <c r="C286" i="13" s="1"/>
  <c r="L285" i="13"/>
  <c r="B285" i="13"/>
  <c r="C285" i="13" s="1"/>
  <c r="L284" i="13"/>
  <c r="B284" i="13"/>
  <c r="C284" i="13" s="1"/>
  <c r="L283" i="13"/>
  <c r="B283" i="13"/>
  <c r="C283" i="13" s="1"/>
  <c r="L282" i="13"/>
  <c r="B282" i="13"/>
  <c r="C282" i="13" s="1"/>
  <c r="L281" i="13"/>
  <c r="B281" i="13"/>
  <c r="C281" i="13" s="1"/>
  <c r="L280" i="13"/>
  <c r="B280" i="13"/>
  <c r="C280" i="13" s="1"/>
  <c r="L279" i="13"/>
  <c r="B279" i="13"/>
  <c r="C279" i="13" s="1"/>
  <c r="L278" i="13"/>
  <c r="B278" i="13"/>
  <c r="C278" i="13" s="1"/>
  <c r="L277" i="13"/>
  <c r="B277" i="13"/>
  <c r="C277" i="13" s="1"/>
  <c r="L276" i="13"/>
  <c r="B276" i="13"/>
  <c r="C276" i="13" s="1"/>
  <c r="L275" i="13"/>
  <c r="B275" i="13"/>
  <c r="C275" i="13" s="1"/>
  <c r="L274" i="13"/>
  <c r="B274" i="13"/>
  <c r="C274" i="13" s="1"/>
  <c r="L273" i="13"/>
  <c r="B273" i="13"/>
  <c r="C273" i="13" s="1"/>
  <c r="L272" i="13"/>
  <c r="B272" i="13"/>
  <c r="C272" i="13" s="1"/>
  <c r="L271" i="13"/>
  <c r="B271" i="13"/>
  <c r="C271" i="13" s="1"/>
  <c r="L270" i="13"/>
  <c r="B270" i="13"/>
  <c r="C270" i="13" s="1"/>
  <c r="L269" i="13"/>
  <c r="B269" i="13"/>
  <c r="C269" i="13" s="1"/>
  <c r="L268" i="13"/>
  <c r="B268" i="13"/>
  <c r="C268" i="13" s="1"/>
  <c r="L267" i="13"/>
  <c r="B267" i="13"/>
  <c r="C267" i="13" s="1"/>
  <c r="L266" i="13"/>
  <c r="B266" i="13"/>
  <c r="C266" i="13" s="1"/>
  <c r="L265" i="13"/>
  <c r="B265" i="13"/>
  <c r="C265" i="13" s="1"/>
  <c r="L264" i="13"/>
  <c r="B264" i="13"/>
  <c r="C264" i="13" s="1"/>
  <c r="L263" i="13"/>
  <c r="B263" i="13"/>
  <c r="C263" i="13" s="1"/>
  <c r="L262" i="13"/>
  <c r="B262" i="13"/>
  <c r="C262" i="13" s="1"/>
  <c r="L261" i="13"/>
  <c r="B261" i="13"/>
  <c r="C261" i="13" s="1"/>
  <c r="L260" i="13"/>
  <c r="B260" i="13"/>
  <c r="C260" i="13" s="1"/>
  <c r="L259" i="13"/>
  <c r="B259" i="13"/>
  <c r="C259" i="13" s="1"/>
  <c r="L258" i="13"/>
  <c r="B258" i="13"/>
  <c r="C258" i="13" s="1"/>
  <c r="L257" i="13"/>
  <c r="B257" i="13"/>
  <c r="C257" i="13" s="1"/>
  <c r="L256" i="13"/>
  <c r="B256" i="13"/>
  <c r="C256" i="13" s="1"/>
  <c r="L255" i="13"/>
  <c r="B255" i="13"/>
  <c r="C255" i="13" s="1"/>
  <c r="L254" i="13"/>
  <c r="B254" i="13"/>
  <c r="C254" i="13" s="1"/>
  <c r="L253" i="13"/>
  <c r="B253" i="13"/>
  <c r="C253" i="13" s="1"/>
  <c r="L252" i="13"/>
  <c r="B252" i="13"/>
  <c r="C252" i="13" s="1"/>
  <c r="L251" i="13"/>
  <c r="B251" i="13"/>
  <c r="C251" i="13" s="1"/>
  <c r="L250" i="13"/>
  <c r="B250" i="13"/>
  <c r="C250" i="13" s="1"/>
  <c r="L249" i="13"/>
  <c r="B249" i="13"/>
  <c r="C249" i="13" s="1"/>
  <c r="L248" i="13"/>
  <c r="B248" i="13"/>
  <c r="C248" i="13" s="1"/>
  <c r="L247" i="13"/>
  <c r="B247" i="13"/>
  <c r="C247" i="13" s="1"/>
  <c r="L246" i="13"/>
  <c r="B246" i="13"/>
  <c r="C246" i="13" s="1"/>
  <c r="L245" i="13"/>
  <c r="B245" i="13"/>
  <c r="C245" i="13" s="1"/>
  <c r="L244" i="13"/>
  <c r="B244" i="13"/>
  <c r="C244" i="13" s="1"/>
  <c r="L243" i="13"/>
  <c r="B243" i="13"/>
  <c r="C243" i="13" s="1"/>
  <c r="L242" i="13"/>
  <c r="B242" i="13"/>
  <c r="C242" i="13" s="1"/>
  <c r="L241" i="13"/>
  <c r="B241" i="13"/>
  <c r="C241" i="13" s="1"/>
  <c r="L240" i="13"/>
  <c r="B240" i="13"/>
  <c r="C240" i="13" s="1"/>
  <c r="L239" i="13"/>
  <c r="B239" i="13"/>
  <c r="C239" i="13" s="1"/>
  <c r="L238" i="13"/>
  <c r="B238" i="13"/>
  <c r="C238" i="13" s="1"/>
  <c r="L237" i="13"/>
  <c r="B237" i="13"/>
  <c r="C237" i="13" s="1"/>
  <c r="L236" i="13"/>
  <c r="B236" i="13"/>
  <c r="C236" i="13" s="1"/>
  <c r="L235" i="13"/>
  <c r="B235" i="13"/>
  <c r="C235" i="13" s="1"/>
  <c r="L234" i="13"/>
  <c r="B234" i="13"/>
  <c r="C234" i="13" s="1"/>
  <c r="L233" i="13"/>
  <c r="B233" i="13"/>
  <c r="C233" i="13" s="1"/>
  <c r="L232" i="13"/>
  <c r="B232" i="13"/>
  <c r="C232" i="13" s="1"/>
  <c r="L231" i="13"/>
  <c r="B231" i="13"/>
  <c r="C231" i="13" s="1"/>
  <c r="L230" i="13"/>
  <c r="B230" i="13"/>
  <c r="C230" i="13" s="1"/>
  <c r="L229" i="13"/>
  <c r="B229" i="13"/>
  <c r="C229" i="13" s="1"/>
  <c r="L228" i="13"/>
  <c r="B228" i="13"/>
  <c r="C228" i="13" s="1"/>
  <c r="L227" i="13"/>
  <c r="B227" i="13"/>
  <c r="C227" i="13" s="1"/>
  <c r="L226" i="13"/>
  <c r="B226" i="13"/>
  <c r="C226" i="13" s="1"/>
  <c r="L225" i="13"/>
  <c r="B225" i="13"/>
  <c r="C225" i="13" s="1"/>
  <c r="L224" i="13"/>
  <c r="B224" i="13"/>
  <c r="C224" i="13" s="1"/>
  <c r="L223" i="13"/>
  <c r="B223" i="13"/>
  <c r="C223" i="13" s="1"/>
  <c r="L222" i="13"/>
  <c r="B222" i="13"/>
  <c r="C222" i="13" s="1"/>
  <c r="L221" i="13"/>
  <c r="B221" i="13"/>
  <c r="C221" i="13" s="1"/>
  <c r="L220" i="13"/>
  <c r="B220" i="13"/>
  <c r="C220" i="13" s="1"/>
  <c r="L219" i="13"/>
  <c r="B219" i="13"/>
  <c r="C219" i="13" s="1"/>
  <c r="L218" i="13"/>
  <c r="B218" i="13"/>
  <c r="C218" i="13" s="1"/>
  <c r="L217" i="13"/>
  <c r="B217" i="13"/>
  <c r="C217" i="13" s="1"/>
  <c r="L216" i="13"/>
  <c r="B216" i="13"/>
  <c r="C216" i="13" s="1"/>
  <c r="L215" i="13"/>
  <c r="B215" i="13"/>
  <c r="C215" i="13" s="1"/>
  <c r="L214" i="13"/>
  <c r="B214" i="13"/>
  <c r="C214" i="13" s="1"/>
  <c r="L213" i="13"/>
  <c r="B213" i="13"/>
  <c r="C213" i="13" s="1"/>
  <c r="L212" i="13"/>
  <c r="B212" i="13"/>
  <c r="C212" i="13" s="1"/>
  <c r="L211" i="13"/>
  <c r="B211" i="13"/>
  <c r="C211" i="13" s="1"/>
  <c r="L210" i="13"/>
  <c r="B210" i="13"/>
  <c r="C210" i="13" s="1"/>
  <c r="L209" i="13"/>
  <c r="B209" i="13"/>
  <c r="C209" i="13" s="1"/>
  <c r="L208" i="13"/>
  <c r="B208" i="13"/>
  <c r="C208" i="13" s="1"/>
  <c r="L207" i="13"/>
  <c r="B207" i="13"/>
  <c r="C207" i="13" s="1"/>
  <c r="L206" i="13"/>
  <c r="B206" i="13"/>
  <c r="C206" i="13" s="1"/>
  <c r="L205" i="13"/>
  <c r="B205" i="13"/>
  <c r="C205" i="13" s="1"/>
  <c r="L204" i="13"/>
  <c r="B204" i="13"/>
  <c r="C204" i="13" s="1"/>
  <c r="L203" i="13"/>
  <c r="B203" i="13"/>
  <c r="C203" i="13" s="1"/>
  <c r="L202" i="13"/>
  <c r="B202" i="13"/>
  <c r="C202" i="13" s="1"/>
  <c r="L201" i="13"/>
  <c r="B201" i="13"/>
  <c r="C201" i="13" s="1"/>
  <c r="L200" i="13"/>
  <c r="B200" i="13"/>
  <c r="C200" i="13" s="1"/>
  <c r="L199" i="13"/>
  <c r="B199" i="13"/>
  <c r="C199" i="13" s="1"/>
  <c r="L198" i="13"/>
  <c r="B198" i="13"/>
  <c r="C198" i="13" s="1"/>
  <c r="L197" i="13"/>
  <c r="B197" i="13"/>
  <c r="C197" i="13" s="1"/>
  <c r="L196" i="13"/>
  <c r="B196" i="13"/>
  <c r="C196" i="13" s="1"/>
  <c r="L195" i="13"/>
  <c r="B195" i="13"/>
  <c r="C195" i="13" s="1"/>
  <c r="L194" i="13"/>
  <c r="B194" i="13"/>
  <c r="C194" i="13" s="1"/>
  <c r="L193" i="13"/>
  <c r="B193" i="13"/>
  <c r="C193" i="13" s="1"/>
  <c r="L192" i="13"/>
  <c r="B192" i="13"/>
  <c r="C192" i="13" s="1"/>
  <c r="L191" i="13"/>
  <c r="B191" i="13"/>
  <c r="C191" i="13" s="1"/>
  <c r="L190" i="13"/>
  <c r="B190" i="13"/>
  <c r="C190" i="13" s="1"/>
  <c r="L189" i="13"/>
  <c r="B189" i="13"/>
  <c r="C189" i="13" s="1"/>
  <c r="L188" i="13"/>
  <c r="B188" i="13"/>
  <c r="C188" i="13" s="1"/>
  <c r="L187" i="13"/>
  <c r="B187" i="13"/>
  <c r="C187" i="13" s="1"/>
  <c r="L186" i="13"/>
  <c r="B186" i="13"/>
  <c r="C186" i="13" s="1"/>
  <c r="L185" i="13"/>
  <c r="B185" i="13"/>
  <c r="C185" i="13" s="1"/>
  <c r="L184" i="13"/>
  <c r="B184" i="13"/>
  <c r="C184" i="13" s="1"/>
  <c r="L183" i="13"/>
  <c r="B183" i="13"/>
  <c r="C183" i="13" s="1"/>
  <c r="L182" i="13"/>
  <c r="B182" i="13"/>
  <c r="C182" i="13" s="1"/>
  <c r="L181" i="13"/>
  <c r="B181" i="13"/>
  <c r="C181" i="13" s="1"/>
  <c r="L180" i="13"/>
  <c r="B180" i="13"/>
  <c r="C180" i="13" s="1"/>
  <c r="L179" i="13"/>
  <c r="B179" i="13"/>
  <c r="C179" i="13" s="1"/>
  <c r="L178" i="13"/>
  <c r="B178" i="13"/>
  <c r="C178" i="13" s="1"/>
  <c r="L177" i="13"/>
  <c r="B177" i="13"/>
  <c r="C177" i="13" s="1"/>
  <c r="L176" i="13"/>
  <c r="B176" i="13"/>
  <c r="C176" i="13" s="1"/>
  <c r="L175" i="13"/>
  <c r="B175" i="13"/>
  <c r="C175" i="13" s="1"/>
  <c r="L174" i="13"/>
  <c r="B174" i="13"/>
  <c r="C174" i="13" s="1"/>
  <c r="L173" i="13"/>
  <c r="B173" i="13"/>
  <c r="C173" i="13" s="1"/>
  <c r="L172" i="13"/>
  <c r="B172" i="13"/>
  <c r="C172" i="13" s="1"/>
  <c r="L171" i="13"/>
  <c r="B171" i="13"/>
  <c r="C171" i="13" s="1"/>
  <c r="L170" i="13"/>
  <c r="B170" i="13"/>
  <c r="C170" i="13" s="1"/>
  <c r="L169" i="13"/>
  <c r="B169" i="13"/>
  <c r="C169" i="13" s="1"/>
  <c r="L168" i="13"/>
  <c r="B168" i="13"/>
  <c r="C168" i="13" s="1"/>
  <c r="L167" i="13"/>
  <c r="B167" i="13"/>
  <c r="C167" i="13" s="1"/>
  <c r="L166" i="13"/>
  <c r="B166" i="13"/>
  <c r="C166" i="13" s="1"/>
  <c r="L165" i="13"/>
  <c r="B165" i="13"/>
  <c r="C165" i="13" s="1"/>
  <c r="L164" i="13"/>
  <c r="B164" i="13"/>
  <c r="C164" i="13" s="1"/>
  <c r="L163" i="13"/>
  <c r="B163" i="13"/>
  <c r="C163" i="13" s="1"/>
  <c r="L162" i="13"/>
  <c r="B162" i="13"/>
  <c r="C162" i="13" s="1"/>
  <c r="L161" i="13"/>
  <c r="B161" i="13"/>
  <c r="C161" i="13" s="1"/>
  <c r="L160" i="13"/>
  <c r="B160" i="13"/>
  <c r="C160" i="13" s="1"/>
  <c r="L159" i="13"/>
  <c r="B159" i="13"/>
  <c r="C159" i="13" s="1"/>
  <c r="L158" i="13"/>
  <c r="B158" i="13"/>
  <c r="C158" i="13" s="1"/>
  <c r="L157" i="13"/>
  <c r="B157" i="13"/>
  <c r="C157" i="13" s="1"/>
  <c r="L156" i="13"/>
  <c r="B156" i="13"/>
  <c r="C156" i="13" s="1"/>
  <c r="L155" i="13"/>
  <c r="B155" i="13"/>
  <c r="C155" i="13" s="1"/>
  <c r="L154" i="13"/>
  <c r="B154" i="13"/>
  <c r="C154" i="13" s="1"/>
  <c r="L153" i="13"/>
  <c r="B153" i="13"/>
  <c r="C153" i="13" s="1"/>
  <c r="L152" i="13"/>
  <c r="B152" i="13"/>
  <c r="C152" i="13" s="1"/>
  <c r="L151" i="13"/>
  <c r="B151" i="13"/>
  <c r="C151" i="13" s="1"/>
  <c r="L150" i="13"/>
  <c r="B150" i="13"/>
  <c r="C150" i="13" s="1"/>
  <c r="L149" i="13"/>
  <c r="B149" i="13"/>
  <c r="C149" i="13" s="1"/>
  <c r="L148" i="13"/>
  <c r="B148" i="13"/>
  <c r="C148" i="13" s="1"/>
  <c r="L147" i="13"/>
  <c r="B147" i="13"/>
  <c r="C147" i="13" s="1"/>
  <c r="L146" i="13"/>
  <c r="B146" i="13"/>
  <c r="C146" i="13" s="1"/>
  <c r="L145" i="13"/>
  <c r="B145" i="13"/>
  <c r="C145" i="13" s="1"/>
  <c r="L144" i="13"/>
  <c r="B144" i="13"/>
  <c r="C144" i="13" s="1"/>
  <c r="L143" i="13"/>
  <c r="B143" i="13"/>
  <c r="C143" i="13" s="1"/>
  <c r="L142" i="13"/>
  <c r="B142" i="13"/>
  <c r="C142" i="13" s="1"/>
  <c r="L141" i="13"/>
  <c r="B141" i="13"/>
  <c r="C141" i="13" s="1"/>
  <c r="L140" i="13"/>
  <c r="B140" i="13"/>
  <c r="C140" i="13" s="1"/>
  <c r="L139" i="13"/>
  <c r="B139" i="13"/>
  <c r="C139" i="13" s="1"/>
  <c r="L138" i="13"/>
  <c r="B138" i="13"/>
  <c r="C138" i="13" s="1"/>
  <c r="L137" i="13"/>
  <c r="B137" i="13"/>
  <c r="C137" i="13" s="1"/>
  <c r="L136" i="13"/>
  <c r="B136" i="13"/>
  <c r="C136" i="13" s="1"/>
  <c r="L135" i="13"/>
  <c r="B135" i="13"/>
  <c r="C135" i="13" s="1"/>
  <c r="L134" i="13"/>
  <c r="B134" i="13"/>
  <c r="C134" i="13" s="1"/>
  <c r="L133" i="13"/>
  <c r="B133" i="13"/>
  <c r="C133" i="13" s="1"/>
  <c r="L132" i="13"/>
  <c r="B132" i="13"/>
  <c r="C132" i="13" s="1"/>
  <c r="L131" i="13"/>
  <c r="B131" i="13"/>
  <c r="C131" i="13" s="1"/>
  <c r="L130" i="13"/>
  <c r="B130" i="13"/>
  <c r="C130" i="13" s="1"/>
  <c r="L129" i="13"/>
  <c r="B129" i="13"/>
  <c r="C129" i="13" s="1"/>
  <c r="L128" i="13"/>
  <c r="B128" i="13"/>
  <c r="C128" i="13" s="1"/>
  <c r="L127" i="13"/>
  <c r="B127" i="13"/>
  <c r="C127" i="13" s="1"/>
  <c r="L126" i="13"/>
  <c r="B126" i="13"/>
  <c r="C126" i="13" s="1"/>
  <c r="L125" i="13"/>
  <c r="B125" i="13"/>
  <c r="C125" i="13" s="1"/>
  <c r="L124" i="13"/>
  <c r="B124" i="13"/>
  <c r="C124" i="13" s="1"/>
  <c r="L123" i="13"/>
  <c r="B123" i="13"/>
  <c r="C123" i="13" s="1"/>
  <c r="L122" i="13"/>
  <c r="B122" i="13"/>
  <c r="C122" i="13" s="1"/>
  <c r="L121" i="13"/>
  <c r="B121" i="13"/>
  <c r="C121" i="13" s="1"/>
  <c r="L120" i="13"/>
  <c r="B120" i="13"/>
  <c r="C120" i="13" s="1"/>
  <c r="L119" i="13"/>
  <c r="B119" i="13"/>
  <c r="C119" i="13" s="1"/>
  <c r="L118" i="13"/>
  <c r="B118" i="13"/>
  <c r="C118" i="13" s="1"/>
  <c r="L117" i="13"/>
  <c r="B117" i="13"/>
  <c r="C117" i="13" s="1"/>
  <c r="L116" i="13"/>
  <c r="B116" i="13"/>
  <c r="C116" i="13" s="1"/>
  <c r="L115" i="13"/>
  <c r="B115" i="13"/>
  <c r="C115" i="13" s="1"/>
  <c r="L114" i="13"/>
  <c r="B114" i="13"/>
  <c r="C114" i="13" s="1"/>
  <c r="L113" i="13"/>
  <c r="B113" i="13"/>
  <c r="C113" i="13" s="1"/>
  <c r="L112" i="13"/>
  <c r="B112" i="13"/>
  <c r="C112" i="13" s="1"/>
  <c r="L111" i="13"/>
  <c r="B111" i="13"/>
  <c r="C111" i="13" s="1"/>
  <c r="L110" i="13"/>
  <c r="B110" i="13"/>
  <c r="C110" i="13" s="1"/>
  <c r="L109" i="13"/>
  <c r="B109" i="13"/>
  <c r="C109" i="13" s="1"/>
  <c r="L108" i="13"/>
  <c r="B108" i="13"/>
  <c r="C108" i="13" s="1"/>
  <c r="L107" i="13"/>
  <c r="B107" i="13"/>
  <c r="C107" i="13" s="1"/>
  <c r="L106" i="13"/>
  <c r="B106" i="13"/>
  <c r="C106" i="13" s="1"/>
  <c r="L105" i="13"/>
  <c r="B105" i="13"/>
  <c r="C105" i="13" s="1"/>
  <c r="L104" i="13"/>
  <c r="B104" i="13"/>
  <c r="C104" i="13" s="1"/>
  <c r="L103" i="13"/>
  <c r="B103" i="13"/>
  <c r="C103" i="13" s="1"/>
  <c r="L102" i="13"/>
  <c r="B102" i="13"/>
  <c r="C102" i="13" s="1"/>
  <c r="L101" i="13"/>
  <c r="B101" i="13"/>
  <c r="C101" i="13" s="1"/>
  <c r="L100" i="13"/>
  <c r="B100" i="13"/>
  <c r="C100" i="13" s="1"/>
  <c r="L99" i="13"/>
  <c r="B99" i="13"/>
  <c r="C99" i="13" s="1"/>
  <c r="L98" i="13"/>
  <c r="B98" i="13"/>
  <c r="C98" i="13" s="1"/>
  <c r="L97" i="13"/>
  <c r="B97" i="13"/>
  <c r="C97" i="13" s="1"/>
  <c r="L96" i="13"/>
  <c r="B96" i="13"/>
  <c r="C96" i="13" s="1"/>
  <c r="L95" i="13"/>
  <c r="B95" i="13"/>
  <c r="C95" i="13" s="1"/>
  <c r="L94" i="13"/>
  <c r="B94" i="13"/>
  <c r="C94" i="13" s="1"/>
  <c r="L93" i="13"/>
  <c r="B93" i="13"/>
  <c r="C93" i="13" s="1"/>
  <c r="L92" i="13"/>
  <c r="B92" i="13"/>
  <c r="C92" i="13" s="1"/>
  <c r="L91" i="13"/>
  <c r="B91" i="13"/>
  <c r="C91" i="13" s="1"/>
  <c r="L90" i="13"/>
  <c r="B90" i="13"/>
  <c r="C90" i="13" s="1"/>
  <c r="L89" i="13"/>
  <c r="B89" i="13"/>
  <c r="C89" i="13" s="1"/>
  <c r="L88" i="13"/>
  <c r="B88" i="13"/>
  <c r="C88" i="13" s="1"/>
  <c r="L87" i="13"/>
  <c r="B87" i="13"/>
  <c r="C87" i="13" s="1"/>
  <c r="L86" i="13"/>
  <c r="B86" i="13"/>
  <c r="C86" i="13" s="1"/>
  <c r="L85" i="13"/>
  <c r="B85" i="13"/>
  <c r="C85" i="13" s="1"/>
  <c r="L84" i="13"/>
  <c r="B84" i="13"/>
  <c r="C84" i="13" s="1"/>
  <c r="L83" i="13"/>
  <c r="B83" i="13"/>
  <c r="C83" i="13" s="1"/>
  <c r="L82" i="13"/>
  <c r="B82" i="13"/>
  <c r="C82" i="13" s="1"/>
  <c r="L81" i="13"/>
  <c r="B81" i="13"/>
  <c r="C81" i="13" s="1"/>
  <c r="L80" i="13"/>
  <c r="B80" i="13"/>
  <c r="C80" i="13" s="1"/>
  <c r="L79" i="13"/>
  <c r="B79" i="13"/>
  <c r="C79" i="13" s="1"/>
  <c r="L78" i="13"/>
  <c r="B78" i="13"/>
  <c r="C78" i="13" s="1"/>
  <c r="L77" i="13"/>
  <c r="B77" i="13"/>
  <c r="C77" i="13" s="1"/>
  <c r="L76" i="13"/>
  <c r="B76" i="13"/>
  <c r="C76" i="13" s="1"/>
  <c r="L75" i="13"/>
  <c r="B75" i="13"/>
  <c r="C75" i="13" s="1"/>
  <c r="L74" i="13"/>
  <c r="B74" i="13"/>
  <c r="C74" i="13" s="1"/>
  <c r="L73" i="13"/>
  <c r="B73" i="13"/>
  <c r="C73" i="13" s="1"/>
  <c r="L72" i="13"/>
  <c r="B72" i="13"/>
  <c r="C72" i="13" s="1"/>
  <c r="L71" i="13"/>
  <c r="B71" i="13"/>
  <c r="C71" i="13" s="1"/>
  <c r="L70" i="13"/>
  <c r="B70" i="13"/>
  <c r="C70" i="13" s="1"/>
  <c r="L69" i="13"/>
  <c r="B69" i="13"/>
  <c r="C69" i="13" s="1"/>
  <c r="L68" i="13"/>
  <c r="B68" i="13"/>
  <c r="C68" i="13" s="1"/>
  <c r="L67" i="13"/>
  <c r="B67" i="13"/>
  <c r="C67" i="13" s="1"/>
  <c r="L66" i="13"/>
  <c r="B66" i="13"/>
  <c r="C66" i="13" s="1"/>
  <c r="L65" i="13"/>
  <c r="B65" i="13"/>
  <c r="C65" i="13" s="1"/>
  <c r="L64" i="13"/>
  <c r="B64" i="13"/>
  <c r="C64" i="13" s="1"/>
  <c r="L63" i="13"/>
  <c r="B63" i="13"/>
  <c r="C63" i="13" s="1"/>
  <c r="L62" i="13"/>
  <c r="B62" i="13"/>
  <c r="C62" i="13" s="1"/>
  <c r="L61" i="13"/>
  <c r="B61" i="13"/>
  <c r="C61" i="13" s="1"/>
  <c r="L60" i="13"/>
  <c r="B60" i="13"/>
  <c r="C60" i="13" s="1"/>
  <c r="L59" i="13"/>
  <c r="B59" i="13"/>
  <c r="C59" i="13" s="1"/>
  <c r="L58" i="13"/>
  <c r="B58" i="13"/>
  <c r="C58" i="13" s="1"/>
  <c r="L57" i="13"/>
  <c r="B57" i="13"/>
  <c r="C57" i="13" s="1"/>
  <c r="L56" i="13"/>
  <c r="B56" i="13"/>
  <c r="C56" i="13" s="1"/>
  <c r="L55" i="13"/>
  <c r="B55" i="13"/>
  <c r="C55" i="13" s="1"/>
  <c r="L54" i="13"/>
  <c r="B54" i="13"/>
  <c r="C54" i="13" s="1"/>
  <c r="L53" i="13"/>
  <c r="B53" i="13"/>
  <c r="C53" i="13" s="1"/>
  <c r="L52" i="13"/>
  <c r="B52" i="13"/>
  <c r="C52" i="13" s="1"/>
  <c r="L51" i="13"/>
  <c r="B51" i="13"/>
  <c r="C51" i="13" s="1"/>
  <c r="L50" i="13"/>
  <c r="B50" i="13"/>
  <c r="C50" i="13" s="1"/>
  <c r="L49" i="13"/>
  <c r="B49" i="13"/>
  <c r="C49" i="13" s="1"/>
  <c r="L48" i="13"/>
  <c r="B48" i="13"/>
  <c r="C48" i="13" s="1"/>
  <c r="L47" i="13"/>
  <c r="B47" i="13"/>
  <c r="C47" i="13" s="1"/>
  <c r="L46" i="13"/>
  <c r="B46" i="13"/>
  <c r="C46" i="13" s="1"/>
  <c r="L45" i="13"/>
  <c r="B45" i="13"/>
  <c r="C45" i="13" s="1"/>
  <c r="L44" i="13"/>
  <c r="B44" i="13"/>
  <c r="C44" i="13" s="1"/>
  <c r="L43" i="13"/>
  <c r="B43" i="13"/>
  <c r="C43" i="13" s="1"/>
  <c r="L42" i="13"/>
  <c r="B42" i="13"/>
  <c r="C42" i="13" s="1"/>
  <c r="L41" i="13"/>
  <c r="B41" i="13"/>
  <c r="C41" i="13" s="1"/>
  <c r="L40" i="13"/>
  <c r="B40" i="13"/>
  <c r="C40" i="13" s="1"/>
  <c r="L39" i="13"/>
  <c r="B39" i="13"/>
  <c r="C39" i="13" s="1"/>
  <c r="L38" i="13"/>
  <c r="B38" i="13"/>
  <c r="C38" i="13" s="1"/>
  <c r="L37" i="13"/>
  <c r="B37" i="13"/>
  <c r="C37" i="13" s="1"/>
  <c r="L36" i="13"/>
  <c r="B36" i="13"/>
  <c r="C36" i="13" s="1"/>
  <c r="L35" i="13"/>
  <c r="B35" i="13"/>
  <c r="C35" i="13" s="1"/>
  <c r="L34" i="13"/>
  <c r="B34" i="13"/>
  <c r="C34" i="13" s="1"/>
  <c r="L33" i="13"/>
  <c r="B33" i="13"/>
  <c r="C33" i="13" s="1"/>
  <c r="L32" i="13"/>
  <c r="B32" i="13"/>
  <c r="C32" i="13" s="1"/>
  <c r="L31" i="13"/>
  <c r="B31" i="13"/>
  <c r="C31" i="13" s="1"/>
  <c r="L30" i="13"/>
  <c r="B30" i="13"/>
  <c r="C30" i="13" s="1"/>
  <c r="L29" i="13"/>
  <c r="B29" i="13"/>
  <c r="C29" i="13" s="1"/>
  <c r="L28" i="13"/>
  <c r="B28" i="13"/>
  <c r="C28" i="13" s="1"/>
  <c r="L27" i="13"/>
  <c r="B27" i="13"/>
  <c r="C27" i="13" s="1"/>
  <c r="L26" i="13"/>
  <c r="B26" i="13"/>
  <c r="C26" i="13" s="1"/>
  <c r="L25" i="13"/>
  <c r="B25" i="13"/>
  <c r="C25" i="13" s="1"/>
  <c r="L24" i="13"/>
  <c r="B24" i="13"/>
  <c r="C24" i="13" s="1"/>
  <c r="L23" i="13"/>
  <c r="B23" i="13"/>
  <c r="C23" i="13" s="1"/>
  <c r="L22" i="13"/>
  <c r="B22" i="13"/>
  <c r="C22" i="13" s="1"/>
  <c r="L21" i="13"/>
  <c r="B21" i="13"/>
  <c r="C21" i="13" s="1"/>
  <c r="L20" i="13"/>
  <c r="B20" i="13"/>
  <c r="C20" i="13" s="1"/>
  <c r="L19" i="13"/>
  <c r="B19" i="13"/>
  <c r="C19" i="13" s="1"/>
  <c r="L18" i="13"/>
  <c r="B18" i="13"/>
  <c r="C18" i="13" s="1"/>
  <c r="L17" i="13"/>
  <c r="B17" i="13"/>
  <c r="C17" i="13" s="1"/>
  <c r="L16" i="13"/>
  <c r="B16" i="13"/>
  <c r="C16" i="13" s="1"/>
  <c r="L15" i="13"/>
  <c r="B15" i="13"/>
  <c r="C15" i="13" s="1"/>
  <c r="L14" i="13"/>
  <c r="B14" i="13"/>
  <c r="C14" i="13" s="1"/>
  <c r="L13" i="13"/>
  <c r="B13" i="13"/>
  <c r="C13" i="13" s="1"/>
  <c r="L12" i="13"/>
  <c r="B12" i="13"/>
  <c r="C12" i="13" s="1"/>
  <c r="L11" i="13"/>
  <c r="B11" i="13"/>
  <c r="C11" i="13" s="1"/>
  <c r="L10" i="13"/>
  <c r="B10" i="13"/>
  <c r="C10" i="13" s="1"/>
  <c r="L9" i="13"/>
  <c r="B9" i="13"/>
  <c r="D6" i="13"/>
  <c r="D5" i="13"/>
  <c r="D4" i="13"/>
  <c r="D3" i="13"/>
  <c r="L999" i="12"/>
  <c r="B999" i="12"/>
  <c r="C999" i="12" s="1"/>
  <c r="L998" i="12"/>
  <c r="B998" i="12"/>
  <c r="C998" i="12" s="1"/>
  <c r="L997" i="12"/>
  <c r="B997" i="12"/>
  <c r="C997" i="12" s="1"/>
  <c r="L996" i="12"/>
  <c r="B996" i="12"/>
  <c r="C996" i="12" s="1"/>
  <c r="L995" i="12"/>
  <c r="B995" i="12"/>
  <c r="C995" i="12" s="1"/>
  <c r="L994" i="12"/>
  <c r="B994" i="12"/>
  <c r="C994" i="12" s="1"/>
  <c r="L993" i="12"/>
  <c r="B993" i="12"/>
  <c r="C993" i="12" s="1"/>
  <c r="L992" i="12"/>
  <c r="B992" i="12"/>
  <c r="C992" i="12" s="1"/>
  <c r="L991" i="12"/>
  <c r="B991" i="12"/>
  <c r="C991" i="12" s="1"/>
  <c r="L990" i="12"/>
  <c r="B990" i="12"/>
  <c r="C990" i="12" s="1"/>
  <c r="L989" i="12"/>
  <c r="B989" i="12"/>
  <c r="C989" i="12" s="1"/>
  <c r="L988" i="12"/>
  <c r="B988" i="12"/>
  <c r="C988" i="12" s="1"/>
  <c r="L987" i="12"/>
  <c r="B987" i="12"/>
  <c r="C987" i="12" s="1"/>
  <c r="L986" i="12"/>
  <c r="B986" i="12"/>
  <c r="C986" i="12" s="1"/>
  <c r="L985" i="12"/>
  <c r="B985" i="12"/>
  <c r="C985" i="12" s="1"/>
  <c r="L984" i="12"/>
  <c r="B984" i="12"/>
  <c r="C984" i="12" s="1"/>
  <c r="L983" i="12"/>
  <c r="B983" i="12"/>
  <c r="C983" i="12" s="1"/>
  <c r="L982" i="12"/>
  <c r="B982" i="12"/>
  <c r="C982" i="12" s="1"/>
  <c r="L981" i="12"/>
  <c r="B981" i="12"/>
  <c r="C981" i="12" s="1"/>
  <c r="L980" i="12"/>
  <c r="B980" i="12"/>
  <c r="C980" i="12" s="1"/>
  <c r="L979" i="12"/>
  <c r="B979" i="12"/>
  <c r="C979" i="12" s="1"/>
  <c r="L978" i="12"/>
  <c r="B978" i="12"/>
  <c r="C978" i="12" s="1"/>
  <c r="L977" i="12"/>
  <c r="B977" i="12"/>
  <c r="C977" i="12" s="1"/>
  <c r="L976" i="12"/>
  <c r="B976" i="12"/>
  <c r="C976" i="12" s="1"/>
  <c r="L975" i="12"/>
  <c r="B975" i="12"/>
  <c r="C975" i="12" s="1"/>
  <c r="L974" i="12"/>
  <c r="B974" i="12"/>
  <c r="C974" i="12" s="1"/>
  <c r="L973" i="12"/>
  <c r="B973" i="12"/>
  <c r="C973" i="12" s="1"/>
  <c r="L972" i="12"/>
  <c r="B972" i="12"/>
  <c r="C972" i="12" s="1"/>
  <c r="L971" i="12"/>
  <c r="B971" i="12"/>
  <c r="C971" i="12" s="1"/>
  <c r="L970" i="12"/>
  <c r="B970" i="12"/>
  <c r="C970" i="12" s="1"/>
  <c r="L969" i="12"/>
  <c r="B969" i="12"/>
  <c r="C969" i="12" s="1"/>
  <c r="L968" i="12"/>
  <c r="B968" i="12"/>
  <c r="C968" i="12" s="1"/>
  <c r="L967" i="12"/>
  <c r="B967" i="12"/>
  <c r="C967" i="12" s="1"/>
  <c r="L966" i="12"/>
  <c r="B966" i="12"/>
  <c r="C966" i="12" s="1"/>
  <c r="L965" i="12"/>
  <c r="B965" i="12"/>
  <c r="C965" i="12" s="1"/>
  <c r="L964" i="12"/>
  <c r="B964" i="12"/>
  <c r="C964" i="12" s="1"/>
  <c r="L963" i="12"/>
  <c r="B963" i="12"/>
  <c r="C963" i="12" s="1"/>
  <c r="L962" i="12"/>
  <c r="B962" i="12"/>
  <c r="C962" i="12" s="1"/>
  <c r="L961" i="12"/>
  <c r="B961" i="12"/>
  <c r="C961" i="12" s="1"/>
  <c r="L960" i="12"/>
  <c r="B960" i="12"/>
  <c r="C960" i="12" s="1"/>
  <c r="L959" i="12"/>
  <c r="B959" i="12"/>
  <c r="C959" i="12" s="1"/>
  <c r="L958" i="12"/>
  <c r="B958" i="12"/>
  <c r="C958" i="12" s="1"/>
  <c r="L957" i="12"/>
  <c r="B957" i="12"/>
  <c r="C957" i="12" s="1"/>
  <c r="L956" i="12"/>
  <c r="B956" i="12"/>
  <c r="C956" i="12" s="1"/>
  <c r="L955" i="12"/>
  <c r="B955" i="12"/>
  <c r="C955" i="12" s="1"/>
  <c r="L954" i="12"/>
  <c r="B954" i="12"/>
  <c r="C954" i="12" s="1"/>
  <c r="L953" i="12"/>
  <c r="B953" i="12"/>
  <c r="C953" i="12" s="1"/>
  <c r="L952" i="12"/>
  <c r="B952" i="12"/>
  <c r="C952" i="12" s="1"/>
  <c r="L951" i="12"/>
  <c r="B951" i="12"/>
  <c r="C951" i="12" s="1"/>
  <c r="L950" i="12"/>
  <c r="B950" i="12"/>
  <c r="C950" i="12" s="1"/>
  <c r="L949" i="12"/>
  <c r="B949" i="12"/>
  <c r="C949" i="12" s="1"/>
  <c r="L948" i="12"/>
  <c r="B948" i="12"/>
  <c r="C948" i="12" s="1"/>
  <c r="L947" i="12"/>
  <c r="B947" i="12"/>
  <c r="C947" i="12" s="1"/>
  <c r="L946" i="12"/>
  <c r="B946" i="12"/>
  <c r="C946" i="12" s="1"/>
  <c r="L945" i="12"/>
  <c r="B945" i="12"/>
  <c r="C945" i="12" s="1"/>
  <c r="L944" i="12"/>
  <c r="B944" i="12"/>
  <c r="C944" i="12" s="1"/>
  <c r="L943" i="12"/>
  <c r="B943" i="12"/>
  <c r="C943" i="12" s="1"/>
  <c r="L942" i="12"/>
  <c r="B942" i="12"/>
  <c r="C942" i="12" s="1"/>
  <c r="L941" i="12"/>
  <c r="B941" i="12"/>
  <c r="C941" i="12" s="1"/>
  <c r="L940" i="12"/>
  <c r="B940" i="12"/>
  <c r="C940" i="12" s="1"/>
  <c r="L939" i="12"/>
  <c r="B939" i="12"/>
  <c r="C939" i="12" s="1"/>
  <c r="L938" i="12"/>
  <c r="B938" i="12"/>
  <c r="C938" i="12" s="1"/>
  <c r="L937" i="12"/>
  <c r="B937" i="12"/>
  <c r="C937" i="12" s="1"/>
  <c r="L936" i="12"/>
  <c r="B936" i="12"/>
  <c r="C936" i="12" s="1"/>
  <c r="L935" i="12"/>
  <c r="B935" i="12"/>
  <c r="C935" i="12" s="1"/>
  <c r="L934" i="12"/>
  <c r="B934" i="12"/>
  <c r="C934" i="12" s="1"/>
  <c r="L933" i="12"/>
  <c r="B933" i="12"/>
  <c r="C933" i="12" s="1"/>
  <c r="L932" i="12"/>
  <c r="B932" i="12"/>
  <c r="C932" i="12" s="1"/>
  <c r="L931" i="12"/>
  <c r="B931" i="12"/>
  <c r="C931" i="12" s="1"/>
  <c r="L930" i="12"/>
  <c r="B930" i="12"/>
  <c r="C930" i="12" s="1"/>
  <c r="L929" i="12"/>
  <c r="B929" i="12"/>
  <c r="C929" i="12" s="1"/>
  <c r="L928" i="12"/>
  <c r="B928" i="12"/>
  <c r="C928" i="12" s="1"/>
  <c r="L927" i="12"/>
  <c r="B927" i="12"/>
  <c r="C927" i="12" s="1"/>
  <c r="L926" i="12"/>
  <c r="B926" i="12"/>
  <c r="C926" i="12" s="1"/>
  <c r="L925" i="12"/>
  <c r="B925" i="12"/>
  <c r="C925" i="12" s="1"/>
  <c r="L924" i="12"/>
  <c r="B924" i="12"/>
  <c r="C924" i="12" s="1"/>
  <c r="L923" i="12"/>
  <c r="B923" i="12"/>
  <c r="C923" i="12" s="1"/>
  <c r="L922" i="12"/>
  <c r="B922" i="12"/>
  <c r="C922" i="12" s="1"/>
  <c r="L921" i="12"/>
  <c r="B921" i="12"/>
  <c r="C921" i="12" s="1"/>
  <c r="L920" i="12"/>
  <c r="B920" i="12"/>
  <c r="C920" i="12" s="1"/>
  <c r="L919" i="12"/>
  <c r="B919" i="12"/>
  <c r="C919" i="12" s="1"/>
  <c r="L918" i="12"/>
  <c r="B918" i="12"/>
  <c r="C918" i="12" s="1"/>
  <c r="L917" i="12"/>
  <c r="B917" i="12"/>
  <c r="C917" i="12" s="1"/>
  <c r="L916" i="12"/>
  <c r="B916" i="12"/>
  <c r="C916" i="12" s="1"/>
  <c r="L915" i="12"/>
  <c r="B915" i="12"/>
  <c r="C915" i="12" s="1"/>
  <c r="L914" i="12"/>
  <c r="B914" i="12"/>
  <c r="C914" i="12" s="1"/>
  <c r="L913" i="12"/>
  <c r="B913" i="12"/>
  <c r="C913" i="12" s="1"/>
  <c r="L912" i="12"/>
  <c r="B912" i="12"/>
  <c r="C912" i="12" s="1"/>
  <c r="L911" i="12"/>
  <c r="B911" i="12"/>
  <c r="C911" i="12" s="1"/>
  <c r="L910" i="12"/>
  <c r="B910" i="12"/>
  <c r="C910" i="12" s="1"/>
  <c r="L909" i="12"/>
  <c r="B909" i="12"/>
  <c r="C909" i="12" s="1"/>
  <c r="L908" i="12"/>
  <c r="B908" i="12"/>
  <c r="C908" i="12" s="1"/>
  <c r="L907" i="12"/>
  <c r="B907" i="12"/>
  <c r="C907" i="12" s="1"/>
  <c r="L906" i="12"/>
  <c r="B906" i="12"/>
  <c r="C906" i="12" s="1"/>
  <c r="L905" i="12"/>
  <c r="B905" i="12"/>
  <c r="C905" i="12" s="1"/>
  <c r="L904" i="12"/>
  <c r="B904" i="12"/>
  <c r="C904" i="12" s="1"/>
  <c r="L903" i="12"/>
  <c r="B903" i="12"/>
  <c r="C903" i="12" s="1"/>
  <c r="L902" i="12"/>
  <c r="B902" i="12"/>
  <c r="C902" i="12" s="1"/>
  <c r="L901" i="12"/>
  <c r="B901" i="12"/>
  <c r="C901" i="12" s="1"/>
  <c r="L900" i="12"/>
  <c r="B900" i="12"/>
  <c r="C900" i="12" s="1"/>
  <c r="L899" i="12"/>
  <c r="B899" i="12"/>
  <c r="C899" i="12" s="1"/>
  <c r="L898" i="12"/>
  <c r="B898" i="12"/>
  <c r="C898" i="12" s="1"/>
  <c r="L897" i="12"/>
  <c r="B897" i="12"/>
  <c r="C897" i="12" s="1"/>
  <c r="L896" i="12"/>
  <c r="B896" i="12"/>
  <c r="C896" i="12" s="1"/>
  <c r="L895" i="12"/>
  <c r="B895" i="12"/>
  <c r="C895" i="12" s="1"/>
  <c r="L894" i="12"/>
  <c r="B894" i="12"/>
  <c r="C894" i="12" s="1"/>
  <c r="L893" i="12"/>
  <c r="B893" i="12"/>
  <c r="C893" i="12" s="1"/>
  <c r="L892" i="12"/>
  <c r="B892" i="12"/>
  <c r="C892" i="12" s="1"/>
  <c r="L891" i="12"/>
  <c r="B891" i="12"/>
  <c r="C891" i="12" s="1"/>
  <c r="L890" i="12"/>
  <c r="B890" i="12"/>
  <c r="C890" i="12" s="1"/>
  <c r="L889" i="12"/>
  <c r="B889" i="12"/>
  <c r="C889" i="12" s="1"/>
  <c r="L888" i="12"/>
  <c r="B888" i="12"/>
  <c r="C888" i="12" s="1"/>
  <c r="L887" i="12"/>
  <c r="B887" i="12"/>
  <c r="C887" i="12" s="1"/>
  <c r="L886" i="12"/>
  <c r="B886" i="12"/>
  <c r="C886" i="12" s="1"/>
  <c r="L885" i="12"/>
  <c r="B885" i="12"/>
  <c r="C885" i="12" s="1"/>
  <c r="L884" i="12"/>
  <c r="B884" i="12"/>
  <c r="C884" i="12" s="1"/>
  <c r="L883" i="12"/>
  <c r="B883" i="12"/>
  <c r="C883" i="12" s="1"/>
  <c r="L882" i="12"/>
  <c r="B882" i="12"/>
  <c r="C882" i="12" s="1"/>
  <c r="L881" i="12"/>
  <c r="B881" i="12"/>
  <c r="C881" i="12" s="1"/>
  <c r="L880" i="12"/>
  <c r="B880" i="12"/>
  <c r="C880" i="12" s="1"/>
  <c r="L879" i="12"/>
  <c r="B879" i="12"/>
  <c r="C879" i="12" s="1"/>
  <c r="L878" i="12"/>
  <c r="B878" i="12"/>
  <c r="C878" i="12" s="1"/>
  <c r="L877" i="12"/>
  <c r="B877" i="12"/>
  <c r="C877" i="12" s="1"/>
  <c r="L876" i="12"/>
  <c r="B876" i="12"/>
  <c r="C876" i="12" s="1"/>
  <c r="L875" i="12"/>
  <c r="B875" i="12"/>
  <c r="C875" i="12" s="1"/>
  <c r="L874" i="12"/>
  <c r="B874" i="12"/>
  <c r="C874" i="12" s="1"/>
  <c r="L873" i="12"/>
  <c r="B873" i="12"/>
  <c r="C873" i="12" s="1"/>
  <c r="L872" i="12"/>
  <c r="B872" i="12"/>
  <c r="C872" i="12" s="1"/>
  <c r="L871" i="12"/>
  <c r="B871" i="12"/>
  <c r="C871" i="12" s="1"/>
  <c r="L870" i="12"/>
  <c r="B870" i="12"/>
  <c r="C870" i="12" s="1"/>
  <c r="L869" i="12"/>
  <c r="B869" i="12"/>
  <c r="C869" i="12" s="1"/>
  <c r="L868" i="12"/>
  <c r="B868" i="12"/>
  <c r="C868" i="12" s="1"/>
  <c r="L867" i="12"/>
  <c r="B867" i="12"/>
  <c r="C867" i="12" s="1"/>
  <c r="L866" i="12"/>
  <c r="B866" i="12"/>
  <c r="C866" i="12" s="1"/>
  <c r="L865" i="12"/>
  <c r="B865" i="12"/>
  <c r="C865" i="12" s="1"/>
  <c r="L864" i="12"/>
  <c r="B864" i="12"/>
  <c r="C864" i="12" s="1"/>
  <c r="L863" i="12"/>
  <c r="B863" i="12"/>
  <c r="C863" i="12" s="1"/>
  <c r="L862" i="12"/>
  <c r="B862" i="12"/>
  <c r="C862" i="12" s="1"/>
  <c r="L861" i="12"/>
  <c r="B861" i="12"/>
  <c r="C861" i="12" s="1"/>
  <c r="L860" i="12"/>
  <c r="B860" i="12"/>
  <c r="C860" i="12" s="1"/>
  <c r="L859" i="12"/>
  <c r="B859" i="12"/>
  <c r="C859" i="12" s="1"/>
  <c r="L858" i="12"/>
  <c r="B858" i="12"/>
  <c r="C858" i="12" s="1"/>
  <c r="L857" i="12"/>
  <c r="B857" i="12"/>
  <c r="C857" i="12" s="1"/>
  <c r="L856" i="12"/>
  <c r="B856" i="12"/>
  <c r="C856" i="12" s="1"/>
  <c r="L855" i="12"/>
  <c r="B855" i="12"/>
  <c r="C855" i="12" s="1"/>
  <c r="L854" i="12"/>
  <c r="B854" i="12"/>
  <c r="C854" i="12" s="1"/>
  <c r="L853" i="12"/>
  <c r="B853" i="12"/>
  <c r="C853" i="12" s="1"/>
  <c r="L852" i="12"/>
  <c r="B852" i="12"/>
  <c r="C852" i="12" s="1"/>
  <c r="L851" i="12"/>
  <c r="B851" i="12"/>
  <c r="C851" i="12" s="1"/>
  <c r="L850" i="12"/>
  <c r="B850" i="12"/>
  <c r="C850" i="12" s="1"/>
  <c r="L849" i="12"/>
  <c r="B849" i="12"/>
  <c r="C849" i="12" s="1"/>
  <c r="L848" i="12"/>
  <c r="B848" i="12"/>
  <c r="C848" i="12" s="1"/>
  <c r="L847" i="12"/>
  <c r="B847" i="12"/>
  <c r="C847" i="12" s="1"/>
  <c r="L846" i="12"/>
  <c r="B846" i="12"/>
  <c r="C846" i="12" s="1"/>
  <c r="L845" i="12"/>
  <c r="B845" i="12"/>
  <c r="C845" i="12" s="1"/>
  <c r="L844" i="12"/>
  <c r="B844" i="12"/>
  <c r="C844" i="12" s="1"/>
  <c r="L843" i="12"/>
  <c r="B843" i="12"/>
  <c r="C843" i="12" s="1"/>
  <c r="L842" i="12"/>
  <c r="B842" i="12"/>
  <c r="C842" i="12" s="1"/>
  <c r="L841" i="12"/>
  <c r="B841" i="12"/>
  <c r="C841" i="12" s="1"/>
  <c r="L840" i="12"/>
  <c r="B840" i="12"/>
  <c r="C840" i="12" s="1"/>
  <c r="L839" i="12"/>
  <c r="B839" i="12"/>
  <c r="C839" i="12" s="1"/>
  <c r="L838" i="12"/>
  <c r="B838" i="12"/>
  <c r="C838" i="12" s="1"/>
  <c r="L837" i="12"/>
  <c r="B837" i="12"/>
  <c r="C837" i="12" s="1"/>
  <c r="L836" i="12"/>
  <c r="B836" i="12"/>
  <c r="C836" i="12" s="1"/>
  <c r="L835" i="12"/>
  <c r="B835" i="12"/>
  <c r="C835" i="12" s="1"/>
  <c r="L834" i="12"/>
  <c r="B834" i="12"/>
  <c r="C834" i="12" s="1"/>
  <c r="L833" i="12"/>
  <c r="B833" i="12"/>
  <c r="C833" i="12" s="1"/>
  <c r="L832" i="12"/>
  <c r="B832" i="12"/>
  <c r="C832" i="12" s="1"/>
  <c r="L831" i="12"/>
  <c r="B831" i="12"/>
  <c r="C831" i="12" s="1"/>
  <c r="L830" i="12"/>
  <c r="B830" i="12"/>
  <c r="C830" i="12" s="1"/>
  <c r="L829" i="12"/>
  <c r="B829" i="12"/>
  <c r="C829" i="12" s="1"/>
  <c r="L828" i="12"/>
  <c r="B828" i="12"/>
  <c r="C828" i="12" s="1"/>
  <c r="L827" i="12"/>
  <c r="B827" i="12"/>
  <c r="C827" i="12" s="1"/>
  <c r="L826" i="12"/>
  <c r="B826" i="12"/>
  <c r="C826" i="12" s="1"/>
  <c r="L825" i="12"/>
  <c r="B825" i="12"/>
  <c r="C825" i="12" s="1"/>
  <c r="L824" i="12"/>
  <c r="B824" i="12"/>
  <c r="C824" i="12" s="1"/>
  <c r="L823" i="12"/>
  <c r="B823" i="12"/>
  <c r="C823" i="12" s="1"/>
  <c r="L822" i="12"/>
  <c r="B822" i="12"/>
  <c r="C822" i="12" s="1"/>
  <c r="L821" i="12"/>
  <c r="B821" i="12"/>
  <c r="C821" i="12" s="1"/>
  <c r="L820" i="12"/>
  <c r="B820" i="12"/>
  <c r="C820" i="12" s="1"/>
  <c r="L819" i="12"/>
  <c r="B819" i="12"/>
  <c r="C819" i="12" s="1"/>
  <c r="L818" i="12"/>
  <c r="B818" i="12"/>
  <c r="C818" i="12" s="1"/>
  <c r="L817" i="12"/>
  <c r="B817" i="12"/>
  <c r="C817" i="12" s="1"/>
  <c r="L816" i="12"/>
  <c r="B816" i="12"/>
  <c r="C816" i="12" s="1"/>
  <c r="L815" i="12"/>
  <c r="B815" i="12"/>
  <c r="C815" i="12" s="1"/>
  <c r="L814" i="12"/>
  <c r="B814" i="12"/>
  <c r="C814" i="12" s="1"/>
  <c r="L813" i="12"/>
  <c r="B813" i="12"/>
  <c r="C813" i="12" s="1"/>
  <c r="L812" i="12"/>
  <c r="B812" i="12"/>
  <c r="C812" i="12" s="1"/>
  <c r="L811" i="12"/>
  <c r="B811" i="12"/>
  <c r="C811" i="12" s="1"/>
  <c r="L810" i="12"/>
  <c r="B810" i="12"/>
  <c r="C810" i="12" s="1"/>
  <c r="L809" i="12"/>
  <c r="B809" i="12"/>
  <c r="C809" i="12" s="1"/>
  <c r="L808" i="12"/>
  <c r="B808" i="12"/>
  <c r="C808" i="12" s="1"/>
  <c r="L807" i="12"/>
  <c r="B807" i="12"/>
  <c r="C807" i="12" s="1"/>
  <c r="L806" i="12"/>
  <c r="B806" i="12"/>
  <c r="C806" i="12" s="1"/>
  <c r="L805" i="12"/>
  <c r="B805" i="12"/>
  <c r="C805" i="12" s="1"/>
  <c r="L804" i="12"/>
  <c r="B804" i="12"/>
  <c r="C804" i="12" s="1"/>
  <c r="L803" i="12"/>
  <c r="B803" i="12"/>
  <c r="C803" i="12" s="1"/>
  <c r="L802" i="12"/>
  <c r="B802" i="12"/>
  <c r="C802" i="12" s="1"/>
  <c r="L801" i="12"/>
  <c r="B801" i="12"/>
  <c r="C801" i="12" s="1"/>
  <c r="L800" i="12"/>
  <c r="B800" i="12"/>
  <c r="C800" i="12" s="1"/>
  <c r="L799" i="12"/>
  <c r="B799" i="12"/>
  <c r="C799" i="12" s="1"/>
  <c r="L798" i="12"/>
  <c r="B798" i="12"/>
  <c r="C798" i="12" s="1"/>
  <c r="L797" i="12"/>
  <c r="B797" i="12"/>
  <c r="C797" i="12" s="1"/>
  <c r="L796" i="12"/>
  <c r="B796" i="12"/>
  <c r="C796" i="12" s="1"/>
  <c r="L795" i="12"/>
  <c r="B795" i="12"/>
  <c r="C795" i="12" s="1"/>
  <c r="L794" i="12"/>
  <c r="B794" i="12"/>
  <c r="C794" i="12" s="1"/>
  <c r="L793" i="12"/>
  <c r="B793" i="12"/>
  <c r="C793" i="12" s="1"/>
  <c r="L792" i="12"/>
  <c r="B792" i="12"/>
  <c r="C792" i="12" s="1"/>
  <c r="L791" i="12"/>
  <c r="B791" i="12"/>
  <c r="C791" i="12" s="1"/>
  <c r="L790" i="12"/>
  <c r="B790" i="12"/>
  <c r="C790" i="12" s="1"/>
  <c r="L789" i="12"/>
  <c r="B789" i="12"/>
  <c r="C789" i="12" s="1"/>
  <c r="L788" i="12"/>
  <c r="B788" i="12"/>
  <c r="C788" i="12" s="1"/>
  <c r="L787" i="12"/>
  <c r="B787" i="12"/>
  <c r="C787" i="12" s="1"/>
  <c r="L786" i="12"/>
  <c r="B786" i="12"/>
  <c r="C786" i="12" s="1"/>
  <c r="L785" i="12"/>
  <c r="B785" i="12"/>
  <c r="C785" i="12" s="1"/>
  <c r="L784" i="12"/>
  <c r="B784" i="12"/>
  <c r="C784" i="12" s="1"/>
  <c r="L783" i="12"/>
  <c r="B783" i="12"/>
  <c r="C783" i="12" s="1"/>
  <c r="L782" i="12"/>
  <c r="B782" i="12"/>
  <c r="C782" i="12" s="1"/>
  <c r="L781" i="12"/>
  <c r="B781" i="12"/>
  <c r="C781" i="12" s="1"/>
  <c r="L780" i="12"/>
  <c r="B780" i="12"/>
  <c r="C780" i="12" s="1"/>
  <c r="L779" i="12"/>
  <c r="B779" i="12"/>
  <c r="C779" i="12" s="1"/>
  <c r="L778" i="12"/>
  <c r="B778" i="12"/>
  <c r="C778" i="12" s="1"/>
  <c r="L777" i="12"/>
  <c r="B777" i="12"/>
  <c r="C777" i="12" s="1"/>
  <c r="L776" i="12"/>
  <c r="B776" i="12"/>
  <c r="C776" i="12" s="1"/>
  <c r="L775" i="12"/>
  <c r="B775" i="12"/>
  <c r="C775" i="12" s="1"/>
  <c r="L774" i="12"/>
  <c r="B774" i="12"/>
  <c r="C774" i="12" s="1"/>
  <c r="L773" i="12"/>
  <c r="B773" i="12"/>
  <c r="C773" i="12" s="1"/>
  <c r="L772" i="12"/>
  <c r="B772" i="12"/>
  <c r="C772" i="12" s="1"/>
  <c r="L771" i="12"/>
  <c r="B771" i="12"/>
  <c r="C771" i="12" s="1"/>
  <c r="L770" i="12"/>
  <c r="B770" i="12"/>
  <c r="C770" i="12" s="1"/>
  <c r="L769" i="12"/>
  <c r="B769" i="12"/>
  <c r="C769" i="12" s="1"/>
  <c r="L768" i="12"/>
  <c r="B768" i="12"/>
  <c r="C768" i="12" s="1"/>
  <c r="L767" i="12"/>
  <c r="B767" i="12"/>
  <c r="C767" i="12" s="1"/>
  <c r="L766" i="12"/>
  <c r="B766" i="12"/>
  <c r="C766" i="12" s="1"/>
  <c r="L765" i="12"/>
  <c r="B765" i="12"/>
  <c r="C765" i="12" s="1"/>
  <c r="L764" i="12"/>
  <c r="B764" i="12"/>
  <c r="C764" i="12" s="1"/>
  <c r="L763" i="12"/>
  <c r="B763" i="12"/>
  <c r="C763" i="12" s="1"/>
  <c r="L762" i="12"/>
  <c r="B762" i="12"/>
  <c r="C762" i="12" s="1"/>
  <c r="L761" i="12"/>
  <c r="B761" i="12"/>
  <c r="C761" i="12" s="1"/>
  <c r="L760" i="12"/>
  <c r="B760" i="12"/>
  <c r="C760" i="12" s="1"/>
  <c r="L759" i="12"/>
  <c r="B759" i="12"/>
  <c r="C759" i="12" s="1"/>
  <c r="L758" i="12"/>
  <c r="B758" i="12"/>
  <c r="C758" i="12" s="1"/>
  <c r="L757" i="12"/>
  <c r="B757" i="12"/>
  <c r="C757" i="12" s="1"/>
  <c r="L756" i="12"/>
  <c r="B756" i="12"/>
  <c r="C756" i="12" s="1"/>
  <c r="L755" i="12"/>
  <c r="B755" i="12"/>
  <c r="C755" i="12" s="1"/>
  <c r="L754" i="12"/>
  <c r="B754" i="12"/>
  <c r="C754" i="12" s="1"/>
  <c r="L753" i="12"/>
  <c r="B753" i="12"/>
  <c r="C753" i="12" s="1"/>
  <c r="L752" i="12"/>
  <c r="B752" i="12"/>
  <c r="C752" i="12" s="1"/>
  <c r="L751" i="12"/>
  <c r="B751" i="12"/>
  <c r="C751" i="12" s="1"/>
  <c r="L750" i="12"/>
  <c r="B750" i="12"/>
  <c r="C750" i="12" s="1"/>
  <c r="L749" i="12"/>
  <c r="B749" i="12"/>
  <c r="C749" i="12" s="1"/>
  <c r="L748" i="12"/>
  <c r="B748" i="12"/>
  <c r="C748" i="12" s="1"/>
  <c r="L747" i="12"/>
  <c r="B747" i="12"/>
  <c r="C747" i="12" s="1"/>
  <c r="L746" i="12"/>
  <c r="B746" i="12"/>
  <c r="C746" i="12" s="1"/>
  <c r="L745" i="12"/>
  <c r="B745" i="12"/>
  <c r="C745" i="12" s="1"/>
  <c r="L744" i="12"/>
  <c r="B744" i="12"/>
  <c r="C744" i="12" s="1"/>
  <c r="L743" i="12"/>
  <c r="B743" i="12"/>
  <c r="C743" i="12" s="1"/>
  <c r="L742" i="12"/>
  <c r="B742" i="12"/>
  <c r="C742" i="12" s="1"/>
  <c r="L741" i="12"/>
  <c r="B741" i="12"/>
  <c r="C741" i="12" s="1"/>
  <c r="L740" i="12"/>
  <c r="B740" i="12"/>
  <c r="C740" i="12" s="1"/>
  <c r="L739" i="12"/>
  <c r="B739" i="12"/>
  <c r="C739" i="12" s="1"/>
  <c r="L738" i="12"/>
  <c r="B738" i="12"/>
  <c r="C738" i="12" s="1"/>
  <c r="L737" i="12"/>
  <c r="B737" i="12"/>
  <c r="C737" i="12" s="1"/>
  <c r="L736" i="12"/>
  <c r="B736" i="12"/>
  <c r="C736" i="12" s="1"/>
  <c r="L735" i="12"/>
  <c r="B735" i="12"/>
  <c r="C735" i="12" s="1"/>
  <c r="L734" i="12"/>
  <c r="B734" i="12"/>
  <c r="C734" i="12" s="1"/>
  <c r="L733" i="12"/>
  <c r="B733" i="12"/>
  <c r="C733" i="12" s="1"/>
  <c r="L732" i="12"/>
  <c r="B732" i="12"/>
  <c r="C732" i="12" s="1"/>
  <c r="L731" i="12"/>
  <c r="B731" i="12"/>
  <c r="C731" i="12" s="1"/>
  <c r="L730" i="12"/>
  <c r="B730" i="12"/>
  <c r="C730" i="12" s="1"/>
  <c r="L729" i="12"/>
  <c r="B729" i="12"/>
  <c r="C729" i="12" s="1"/>
  <c r="L728" i="12"/>
  <c r="B728" i="12"/>
  <c r="C728" i="12" s="1"/>
  <c r="L727" i="12"/>
  <c r="B727" i="12"/>
  <c r="C727" i="12" s="1"/>
  <c r="L726" i="12"/>
  <c r="B726" i="12"/>
  <c r="C726" i="12" s="1"/>
  <c r="L725" i="12"/>
  <c r="B725" i="12"/>
  <c r="C725" i="12" s="1"/>
  <c r="L724" i="12"/>
  <c r="B724" i="12"/>
  <c r="C724" i="12" s="1"/>
  <c r="L723" i="12"/>
  <c r="B723" i="12"/>
  <c r="C723" i="12" s="1"/>
  <c r="L722" i="12"/>
  <c r="B722" i="12"/>
  <c r="C722" i="12" s="1"/>
  <c r="L721" i="12"/>
  <c r="B721" i="12"/>
  <c r="C721" i="12" s="1"/>
  <c r="L720" i="12"/>
  <c r="B720" i="12"/>
  <c r="C720" i="12" s="1"/>
  <c r="L719" i="12"/>
  <c r="B719" i="12"/>
  <c r="C719" i="12" s="1"/>
  <c r="L718" i="12"/>
  <c r="B718" i="12"/>
  <c r="C718" i="12" s="1"/>
  <c r="L717" i="12"/>
  <c r="B717" i="12"/>
  <c r="C717" i="12" s="1"/>
  <c r="L716" i="12"/>
  <c r="B716" i="12"/>
  <c r="C716" i="12" s="1"/>
  <c r="L715" i="12"/>
  <c r="B715" i="12"/>
  <c r="C715" i="12" s="1"/>
  <c r="L714" i="12"/>
  <c r="B714" i="12"/>
  <c r="C714" i="12" s="1"/>
  <c r="L713" i="12"/>
  <c r="B713" i="12"/>
  <c r="C713" i="12" s="1"/>
  <c r="L712" i="12"/>
  <c r="B712" i="12"/>
  <c r="C712" i="12" s="1"/>
  <c r="L711" i="12"/>
  <c r="B711" i="12"/>
  <c r="C711" i="12" s="1"/>
  <c r="L710" i="12"/>
  <c r="B710" i="12"/>
  <c r="C710" i="12" s="1"/>
  <c r="L709" i="12"/>
  <c r="B709" i="12"/>
  <c r="C709" i="12" s="1"/>
  <c r="L708" i="12"/>
  <c r="B708" i="12"/>
  <c r="C708" i="12" s="1"/>
  <c r="L707" i="12"/>
  <c r="B707" i="12"/>
  <c r="C707" i="12" s="1"/>
  <c r="L706" i="12"/>
  <c r="B706" i="12"/>
  <c r="C706" i="12" s="1"/>
  <c r="L705" i="12"/>
  <c r="B705" i="12"/>
  <c r="C705" i="12" s="1"/>
  <c r="L704" i="12"/>
  <c r="B704" i="12"/>
  <c r="C704" i="12" s="1"/>
  <c r="L703" i="12"/>
  <c r="B703" i="12"/>
  <c r="C703" i="12" s="1"/>
  <c r="L702" i="12"/>
  <c r="B702" i="12"/>
  <c r="C702" i="12" s="1"/>
  <c r="L701" i="12"/>
  <c r="B701" i="12"/>
  <c r="C701" i="12" s="1"/>
  <c r="L700" i="12"/>
  <c r="B700" i="12"/>
  <c r="C700" i="12" s="1"/>
  <c r="L699" i="12"/>
  <c r="B699" i="12"/>
  <c r="C699" i="12" s="1"/>
  <c r="L698" i="12"/>
  <c r="B698" i="12"/>
  <c r="C698" i="12" s="1"/>
  <c r="L697" i="12"/>
  <c r="B697" i="12"/>
  <c r="C697" i="12" s="1"/>
  <c r="L696" i="12"/>
  <c r="B696" i="12"/>
  <c r="C696" i="12" s="1"/>
  <c r="L695" i="12"/>
  <c r="B695" i="12"/>
  <c r="C695" i="12" s="1"/>
  <c r="L694" i="12"/>
  <c r="B694" i="12"/>
  <c r="C694" i="12" s="1"/>
  <c r="L693" i="12"/>
  <c r="B693" i="12"/>
  <c r="C693" i="12" s="1"/>
  <c r="L692" i="12"/>
  <c r="B692" i="12"/>
  <c r="C692" i="12" s="1"/>
  <c r="L691" i="12"/>
  <c r="B691" i="12"/>
  <c r="C691" i="12" s="1"/>
  <c r="L690" i="12"/>
  <c r="B690" i="12"/>
  <c r="C690" i="12" s="1"/>
  <c r="L689" i="12"/>
  <c r="B689" i="12"/>
  <c r="C689" i="12" s="1"/>
  <c r="L688" i="12"/>
  <c r="B688" i="12"/>
  <c r="C688" i="12" s="1"/>
  <c r="L687" i="12"/>
  <c r="B687" i="12"/>
  <c r="C687" i="12" s="1"/>
  <c r="L686" i="12"/>
  <c r="B686" i="12"/>
  <c r="C686" i="12" s="1"/>
  <c r="L685" i="12"/>
  <c r="B685" i="12"/>
  <c r="C685" i="12" s="1"/>
  <c r="L684" i="12"/>
  <c r="B684" i="12"/>
  <c r="C684" i="12" s="1"/>
  <c r="L683" i="12"/>
  <c r="B683" i="12"/>
  <c r="C683" i="12" s="1"/>
  <c r="L682" i="12"/>
  <c r="B682" i="12"/>
  <c r="C682" i="12" s="1"/>
  <c r="L681" i="12"/>
  <c r="B681" i="12"/>
  <c r="C681" i="12" s="1"/>
  <c r="L680" i="12"/>
  <c r="B680" i="12"/>
  <c r="C680" i="12" s="1"/>
  <c r="L679" i="12"/>
  <c r="B679" i="12"/>
  <c r="C679" i="12" s="1"/>
  <c r="L678" i="12"/>
  <c r="B678" i="12"/>
  <c r="C678" i="12" s="1"/>
  <c r="L677" i="12"/>
  <c r="B677" i="12"/>
  <c r="C677" i="12" s="1"/>
  <c r="L676" i="12"/>
  <c r="B676" i="12"/>
  <c r="C676" i="12" s="1"/>
  <c r="L675" i="12"/>
  <c r="B675" i="12"/>
  <c r="C675" i="12" s="1"/>
  <c r="L674" i="12"/>
  <c r="B674" i="12"/>
  <c r="C674" i="12" s="1"/>
  <c r="L673" i="12"/>
  <c r="B673" i="12"/>
  <c r="C673" i="12" s="1"/>
  <c r="L672" i="12"/>
  <c r="B672" i="12"/>
  <c r="C672" i="12" s="1"/>
  <c r="L671" i="12"/>
  <c r="B671" i="12"/>
  <c r="C671" i="12" s="1"/>
  <c r="L670" i="12"/>
  <c r="B670" i="12"/>
  <c r="C670" i="12" s="1"/>
  <c r="L669" i="12"/>
  <c r="B669" i="12"/>
  <c r="C669" i="12" s="1"/>
  <c r="L668" i="12"/>
  <c r="B668" i="12"/>
  <c r="C668" i="12" s="1"/>
  <c r="L667" i="12"/>
  <c r="B667" i="12"/>
  <c r="C667" i="12" s="1"/>
  <c r="L666" i="12"/>
  <c r="B666" i="12"/>
  <c r="C666" i="12" s="1"/>
  <c r="L665" i="12"/>
  <c r="B665" i="12"/>
  <c r="C665" i="12" s="1"/>
  <c r="L664" i="12"/>
  <c r="B664" i="12"/>
  <c r="C664" i="12" s="1"/>
  <c r="L663" i="12"/>
  <c r="B663" i="12"/>
  <c r="C663" i="12" s="1"/>
  <c r="L662" i="12"/>
  <c r="B662" i="12"/>
  <c r="C662" i="12" s="1"/>
  <c r="L661" i="12"/>
  <c r="B661" i="12"/>
  <c r="C661" i="12" s="1"/>
  <c r="L660" i="12"/>
  <c r="B660" i="12"/>
  <c r="C660" i="12" s="1"/>
  <c r="L659" i="12"/>
  <c r="B659" i="12"/>
  <c r="C659" i="12" s="1"/>
  <c r="L658" i="12"/>
  <c r="B658" i="12"/>
  <c r="C658" i="12" s="1"/>
  <c r="L657" i="12"/>
  <c r="B657" i="12"/>
  <c r="C657" i="12" s="1"/>
  <c r="L656" i="12"/>
  <c r="B656" i="12"/>
  <c r="C656" i="12" s="1"/>
  <c r="L655" i="12"/>
  <c r="B655" i="12"/>
  <c r="C655" i="12" s="1"/>
  <c r="L654" i="12"/>
  <c r="B654" i="12"/>
  <c r="C654" i="12" s="1"/>
  <c r="L653" i="12"/>
  <c r="B653" i="12"/>
  <c r="C653" i="12" s="1"/>
  <c r="L652" i="12"/>
  <c r="B652" i="12"/>
  <c r="C652" i="12" s="1"/>
  <c r="L651" i="12"/>
  <c r="B651" i="12"/>
  <c r="C651" i="12" s="1"/>
  <c r="L650" i="12"/>
  <c r="B650" i="12"/>
  <c r="C650" i="12" s="1"/>
  <c r="L649" i="12"/>
  <c r="B649" i="12"/>
  <c r="C649" i="12" s="1"/>
  <c r="L648" i="12"/>
  <c r="B648" i="12"/>
  <c r="C648" i="12" s="1"/>
  <c r="L647" i="12"/>
  <c r="B647" i="12"/>
  <c r="C647" i="12" s="1"/>
  <c r="L646" i="12"/>
  <c r="B646" i="12"/>
  <c r="C646" i="12" s="1"/>
  <c r="L645" i="12"/>
  <c r="B645" i="12"/>
  <c r="C645" i="12" s="1"/>
  <c r="L644" i="12"/>
  <c r="B644" i="12"/>
  <c r="C644" i="12" s="1"/>
  <c r="L643" i="12"/>
  <c r="B643" i="12"/>
  <c r="C643" i="12" s="1"/>
  <c r="L642" i="12"/>
  <c r="B642" i="12"/>
  <c r="C642" i="12" s="1"/>
  <c r="L641" i="12"/>
  <c r="B641" i="12"/>
  <c r="C641" i="12" s="1"/>
  <c r="L640" i="12"/>
  <c r="B640" i="12"/>
  <c r="C640" i="12" s="1"/>
  <c r="L639" i="12"/>
  <c r="B639" i="12"/>
  <c r="C639" i="12" s="1"/>
  <c r="L638" i="12"/>
  <c r="B638" i="12"/>
  <c r="C638" i="12" s="1"/>
  <c r="L637" i="12"/>
  <c r="B637" i="12"/>
  <c r="C637" i="12" s="1"/>
  <c r="L636" i="12"/>
  <c r="B636" i="12"/>
  <c r="C636" i="12" s="1"/>
  <c r="L635" i="12"/>
  <c r="B635" i="12"/>
  <c r="C635" i="12" s="1"/>
  <c r="L634" i="12"/>
  <c r="B634" i="12"/>
  <c r="C634" i="12" s="1"/>
  <c r="L633" i="12"/>
  <c r="B633" i="12"/>
  <c r="C633" i="12" s="1"/>
  <c r="L632" i="12"/>
  <c r="B632" i="12"/>
  <c r="C632" i="12" s="1"/>
  <c r="L631" i="12"/>
  <c r="B631" i="12"/>
  <c r="C631" i="12" s="1"/>
  <c r="L630" i="12"/>
  <c r="B630" i="12"/>
  <c r="C630" i="12" s="1"/>
  <c r="L629" i="12"/>
  <c r="B629" i="12"/>
  <c r="C629" i="12" s="1"/>
  <c r="L628" i="12"/>
  <c r="B628" i="12"/>
  <c r="C628" i="12" s="1"/>
  <c r="L627" i="12"/>
  <c r="B627" i="12"/>
  <c r="C627" i="12" s="1"/>
  <c r="L626" i="12"/>
  <c r="B626" i="12"/>
  <c r="C626" i="12" s="1"/>
  <c r="L625" i="12"/>
  <c r="B625" i="12"/>
  <c r="C625" i="12" s="1"/>
  <c r="L624" i="12"/>
  <c r="B624" i="12"/>
  <c r="C624" i="12" s="1"/>
  <c r="L623" i="12"/>
  <c r="B623" i="12"/>
  <c r="C623" i="12" s="1"/>
  <c r="L622" i="12"/>
  <c r="B622" i="12"/>
  <c r="C622" i="12" s="1"/>
  <c r="L621" i="12"/>
  <c r="B621" i="12"/>
  <c r="C621" i="12" s="1"/>
  <c r="L620" i="12"/>
  <c r="B620" i="12"/>
  <c r="C620" i="12" s="1"/>
  <c r="L619" i="12"/>
  <c r="B619" i="12"/>
  <c r="C619" i="12" s="1"/>
  <c r="L618" i="12"/>
  <c r="B618" i="12"/>
  <c r="C618" i="12" s="1"/>
  <c r="L617" i="12"/>
  <c r="B617" i="12"/>
  <c r="C617" i="12" s="1"/>
  <c r="L616" i="12"/>
  <c r="B616" i="12"/>
  <c r="C616" i="12" s="1"/>
  <c r="L615" i="12"/>
  <c r="B615" i="12"/>
  <c r="C615" i="12" s="1"/>
  <c r="L614" i="12"/>
  <c r="B614" i="12"/>
  <c r="C614" i="12" s="1"/>
  <c r="L613" i="12"/>
  <c r="B613" i="12"/>
  <c r="C613" i="12" s="1"/>
  <c r="L612" i="12"/>
  <c r="B612" i="12"/>
  <c r="C612" i="12" s="1"/>
  <c r="L611" i="12"/>
  <c r="B611" i="12"/>
  <c r="C611" i="12" s="1"/>
  <c r="L610" i="12"/>
  <c r="B610" i="12"/>
  <c r="C610" i="12" s="1"/>
  <c r="L609" i="12"/>
  <c r="B609" i="12"/>
  <c r="C609" i="12" s="1"/>
  <c r="L608" i="12"/>
  <c r="B608" i="12"/>
  <c r="C608" i="12" s="1"/>
  <c r="L607" i="12"/>
  <c r="B607" i="12"/>
  <c r="C607" i="12" s="1"/>
  <c r="L606" i="12"/>
  <c r="B606" i="12"/>
  <c r="C606" i="12" s="1"/>
  <c r="L605" i="12"/>
  <c r="B605" i="12"/>
  <c r="C605" i="12" s="1"/>
  <c r="L604" i="12"/>
  <c r="B604" i="12"/>
  <c r="C604" i="12" s="1"/>
  <c r="L603" i="12"/>
  <c r="B603" i="12"/>
  <c r="C603" i="12" s="1"/>
  <c r="L602" i="12"/>
  <c r="B602" i="12"/>
  <c r="C602" i="12" s="1"/>
  <c r="L601" i="12"/>
  <c r="B601" i="12"/>
  <c r="C601" i="12" s="1"/>
  <c r="L600" i="12"/>
  <c r="B600" i="12"/>
  <c r="C600" i="12" s="1"/>
  <c r="L599" i="12"/>
  <c r="B599" i="12"/>
  <c r="C599" i="12" s="1"/>
  <c r="L598" i="12"/>
  <c r="B598" i="12"/>
  <c r="C598" i="12" s="1"/>
  <c r="L597" i="12"/>
  <c r="B597" i="12"/>
  <c r="C597" i="12" s="1"/>
  <c r="L596" i="12"/>
  <c r="B596" i="12"/>
  <c r="C596" i="12" s="1"/>
  <c r="L595" i="12"/>
  <c r="B595" i="12"/>
  <c r="C595" i="12" s="1"/>
  <c r="L594" i="12"/>
  <c r="B594" i="12"/>
  <c r="C594" i="12" s="1"/>
  <c r="L593" i="12"/>
  <c r="B593" i="12"/>
  <c r="C593" i="12" s="1"/>
  <c r="L592" i="12"/>
  <c r="B592" i="12"/>
  <c r="C592" i="12" s="1"/>
  <c r="L591" i="12"/>
  <c r="B591" i="12"/>
  <c r="C591" i="12" s="1"/>
  <c r="L590" i="12"/>
  <c r="B590" i="12"/>
  <c r="C590" i="12" s="1"/>
  <c r="L589" i="12"/>
  <c r="B589" i="12"/>
  <c r="C589" i="12" s="1"/>
  <c r="L588" i="12"/>
  <c r="B588" i="12"/>
  <c r="C588" i="12" s="1"/>
  <c r="L587" i="12"/>
  <c r="B587" i="12"/>
  <c r="C587" i="12" s="1"/>
  <c r="L586" i="12"/>
  <c r="B586" i="12"/>
  <c r="C586" i="12" s="1"/>
  <c r="L585" i="12"/>
  <c r="B585" i="12"/>
  <c r="C585" i="12" s="1"/>
  <c r="L584" i="12"/>
  <c r="B584" i="12"/>
  <c r="C584" i="12" s="1"/>
  <c r="L583" i="12"/>
  <c r="B583" i="12"/>
  <c r="C583" i="12" s="1"/>
  <c r="L582" i="12"/>
  <c r="B582" i="12"/>
  <c r="C582" i="12" s="1"/>
  <c r="L581" i="12"/>
  <c r="B581" i="12"/>
  <c r="C581" i="12" s="1"/>
  <c r="L580" i="12"/>
  <c r="B580" i="12"/>
  <c r="C580" i="12" s="1"/>
  <c r="L579" i="12"/>
  <c r="B579" i="12"/>
  <c r="C579" i="12" s="1"/>
  <c r="L578" i="12"/>
  <c r="B578" i="12"/>
  <c r="C578" i="12" s="1"/>
  <c r="L577" i="12"/>
  <c r="B577" i="12"/>
  <c r="C577" i="12" s="1"/>
  <c r="L576" i="12"/>
  <c r="B576" i="12"/>
  <c r="C576" i="12" s="1"/>
  <c r="L575" i="12"/>
  <c r="B575" i="12"/>
  <c r="C575" i="12" s="1"/>
  <c r="L574" i="12"/>
  <c r="B574" i="12"/>
  <c r="C574" i="12" s="1"/>
  <c r="L573" i="12"/>
  <c r="B573" i="12"/>
  <c r="C573" i="12" s="1"/>
  <c r="L572" i="12"/>
  <c r="B572" i="12"/>
  <c r="C572" i="12" s="1"/>
  <c r="L571" i="12"/>
  <c r="B571" i="12"/>
  <c r="C571" i="12" s="1"/>
  <c r="L570" i="12"/>
  <c r="B570" i="12"/>
  <c r="C570" i="12" s="1"/>
  <c r="L569" i="12"/>
  <c r="B569" i="12"/>
  <c r="C569" i="12" s="1"/>
  <c r="L568" i="12"/>
  <c r="B568" i="12"/>
  <c r="C568" i="12" s="1"/>
  <c r="L567" i="12"/>
  <c r="B567" i="12"/>
  <c r="C567" i="12" s="1"/>
  <c r="L566" i="12"/>
  <c r="B566" i="12"/>
  <c r="C566" i="12" s="1"/>
  <c r="L565" i="12"/>
  <c r="B565" i="12"/>
  <c r="C565" i="12" s="1"/>
  <c r="L564" i="12"/>
  <c r="B564" i="12"/>
  <c r="C564" i="12" s="1"/>
  <c r="L563" i="12"/>
  <c r="B563" i="12"/>
  <c r="C563" i="12" s="1"/>
  <c r="L562" i="12"/>
  <c r="B562" i="12"/>
  <c r="C562" i="12" s="1"/>
  <c r="L561" i="12"/>
  <c r="B561" i="12"/>
  <c r="C561" i="12" s="1"/>
  <c r="L560" i="12"/>
  <c r="B560" i="12"/>
  <c r="C560" i="12" s="1"/>
  <c r="L559" i="12"/>
  <c r="B559" i="12"/>
  <c r="C559" i="12" s="1"/>
  <c r="L558" i="12"/>
  <c r="B558" i="12"/>
  <c r="C558" i="12" s="1"/>
  <c r="L557" i="12"/>
  <c r="B557" i="12"/>
  <c r="C557" i="12" s="1"/>
  <c r="L556" i="12"/>
  <c r="B556" i="12"/>
  <c r="C556" i="12" s="1"/>
  <c r="L555" i="12"/>
  <c r="B555" i="12"/>
  <c r="C555" i="12" s="1"/>
  <c r="L554" i="12"/>
  <c r="B554" i="12"/>
  <c r="C554" i="12" s="1"/>
  <c r="L553" i="12"/>
  <c r="B553" i="12"/>
  <c r="C553" i="12" s="1"/>
  <c r="L552" i="12"/>
  <c r="B552" i="12"/>
  <c r="C552" i="12" s="1"/>
  <c r="L551" i="12"/>
  <c r="B551" i="12"/>
  <c r="C551" i="12" s="1"/>
  <c r="L550" i="12"/>
  <c r="B550" i="12"/>
  <c r="C550" i="12" s="1"/>
  <c r="L549" i="12"/>
  <c r="B549" i="12"/>
  <c r="C549" i="12" s="1"/>
  <c r="L548" i="12"/>
  <c r="B548" i="12"/>
  <c r="C548" i="12" s="1"/>
  <c r="L547" i="12"/>
  <c r="B547" i="12"/>
  <c r="C547" i="12" s="1"/>
  <c r="L546" i="12"/>
  <c r="B546" i="12"/>
  <c r="C546" i="12" s="1"/>
  <c r="L545" i="12"/>
  <c r="B545" i="12"/>
  <c r="C545" i="12" s="1"/>
  <c r="L544" i="12"/>
  <c r="B544" i="12"/>
  <c r="C544" i="12" s="1"/>
  <c r="L543" i="12"/>
  <c r="B543" i="12"/>
  <c r="C543" i="12" s="1"/>
  <c r="L542" i="12"/>
  <c r="B542" i="12"/>
  <c r="C542" i="12" s="1"/>
  <c r="L541" i="12"/>
  <c r="B541" i="12"/>
  <c r="C541" i="12" s="1"/>
  <c r="L540" i="12"/>
  <c r="B540" i="12"/>
  <c r="C540" i="12" s="1"/>
  <c r="L539" i="12"/>
  <c r="B539" i="12"/>
  <c r="C539" i="12" s="1"/>
  <c r="L538" i="12"/>
  <c r="B538" i="12"/>
  <c r="C538" i="12" s="1"/>
  <c r="L537" i="12"/>
  <c r="B537" i="12"/>
  <c r="C537" i="12" s="1"/>
  <c r="L536" i="12"/>
  <c r="B536" i="12"/>
  <c r="C536" i="12" s="1"/>
  <c r="L535" i="12"/>
  <c r="B535" i="12"/>
  <c r="C535" i="12" s="1"/>
  <c r="L534" i="12"/>
  <c r="B534" i="12"/>
  <c r="C534" i="12" s="1"/>
  <c r="L533" i="12"/>
  <c r="B533" i="12"/>
  <c r="C533" i="12" s="1"/>
  <c r="L532" i="12"/>
  <c r="B532" i="12"/>
  <c r="C532" i="12" s="1"/>
  <c r="L531" i="12"/>
  <c r="B531" i="12"/>
  <c r="C531" i="12" s="1"/>
  <c r="L530" i="12"/>
  <c r="B530" i="12"/>
  <c r="C530" i="12" s="1"/>
  <c r="L529" i="12"/>
  <c r="B529" i="12"/>
  <c r="C529" i="12" s="1"/>
  <c r="L528" i="12"/>
  <c r="B528" i="12"/>
  <c r="C528" i="12" s="1"/>
  <c r="L527" i="12"/>
  <c r="B527" i="12"/>
  <c r="C527" i="12" s="1"/>
  <c r="L526" i="12"/>
  <c r="B526" i="12"/>
  <c r="C526" i="12" s="1"/>
  <c r="L525" i="12"/>
  <c r="B525" i="12"/>
  <c r="C525" i="12" s="1"/>
  <c r="L524" i="12"/>
  <c r="B524" i="12"/>
  <c r="C524" i="12" s="1"/>
  <c r="L523" i="12"/>
  <c r="B523" i="12"/>
  <c r="C523" i="12" s="1"/>
  <c r="L522" i="12"/>
  <c r="B522" i="12"/>
  <c r="C522" i="12" s="1"/>
  <c r="L521" i="12"/>
  <c r="B521" i="12"/>
  <c r="C521" i="12" s="1"/>
  <c r="L520" i="12"/>
  <c r="B520" i="12"/>
  <c r="C520" i="12" s="1"/>
  <c r="L519" i="12"/>
  <c r="B519" i="12"/>
  <c r="C519" i="12" s="1"/>
  <c r="L518" i="12"/>
  <c r="B518" i="12"/>
  <c r="C518" i="12" s="1"/>
  <c r="L517" i="12"/>
  <c r="B517" i="12"/>
  <c r="C517" i="12" s="1"/>
  <c r="L516" i="12"/>
  <c r="B516" i="12"/>
  <c r="C516" i="12" s="1"/>
  <c r="L515" i="12"/>
  <c r="B515" i="12"/>
  <c r="C515" i="12" s="1"/>
  <c r="L514" i="12"/>
  <c r="B514" i="12"/>
  <c r="C514" i="12" s="1"/>
  <c r="L513" i="12"/>
  <c r="B513" i="12"/>
  <c r="C513" i="12" s="1"/>
  <c r="L512" i="12"/>
  <c r="B512" i="12"/>
  <c r="C512" i="12" s="1"/>
  <c r="L511" i="12"/>
  <c r="B511" i="12"/>
  <c r="C511" i="12" s="1"/>
  <c r="L510" i="12"/>
  <c r="B510" i="12"/>
  <c r="C510" i="12" s="1"/>
  <c r="L509" i="12"/>
  <c r="B509" i="12"/>
  <c r="C509" i="12" s="1"/>
  <c r="L508" i="12"/>
  <c r="B508" i="12"/>
  <c r="C508" i="12" s="1"/>
  <c r="L507" i="12"/>
  <c r="B507" i="12"/>
  <c r="C507" i="12" s="1"/>
  <c r="L506" i="12"/>
  <c r="B506" i="12"/>
  <c r="C506" i="12" s="1"/>
  <c r="L505" i="12"/>
  <c r="B505" i="12"/>
  <c r="C505" i="12" s="1"/>
  <c r="L504" i="12"/>
  <c r="B504" i="12"/>
  <c r="C504" i="12" s="1"/>
  <c r="L503" i="12"/>
  <c r="B503" i="12"/>
  <c r="C503" i="12" s="1"/>
  <c r="L502" i="12"/>
  <c r="B502" i="12"/>
  <c r="C502" i="12" s="1"/>
  <c r="L501" i="12"/>
  <c r="B501" i="12"/>
  <c r="C501" i="12" s="1"/>
  <c r="L500" i="12"/>
  <c r="B500" i="12"/>
  <c r="C500" i="12" s="1"/>
  <c r="L499" i="12"/>
  <c r="B499" i="12"/>
  <c r="C499" i="12" s="1"/>
  <c r="L498" i="12"/>
  <c r="B498" i="12"/>
  <c r="C498" i="12" s="1"/>
  <c r="L497" i="12"/>
  <c r="B497" i="12"/>
  <c r="C497" i="12" s="1"/>
  <c r="L496" i="12"/>
  <c r="B496" i="12"/>
  <c r="C496" i="12" s="1"/>
  <c r="L495" i="12"/>
  <c r="B495" i="12"/>
  <c r="C495" i="12" s="1"/>
  <c r="L494" i="12"/>
  <c r="B494" i="12"/>
  <c r="C494" i="12" s="1"/>
  <c r="L493" i="12"/>
  <c r="B493" i="12"/>
  <c r="C493" i="12" s="1"/>
  <c r="L492" i="12"/>
  <c r="B492" i="12"/>
  <c r="C492" i="12" s="1"/>
  <c r="L491" i="12"/>
  <c r="B491" i="12"/>
  <c r="C491" i="12" s="1"/>
  <c r="L490" i="12"/>
  <c r="B490" i="12"/>
  <c r="C490" i="12" s="1"/>
  <c r="L489" i="12"/>
  <c r="B489" i="12"/>
  <c r="C489" i="12" s="1"/>
  <c r="L488" i="12"/>
  <c r="B488" i="12"/>
  <c r="C488" i="12" s="1"/>
  <c r="L487" i="12"/>
  <c r="B487" i="12"/>
  <c r="C487" i="12" s="1"/>
  <c r="L486" i="12"/>
  <c r="B486" i="12"/>
  <c r="C486" i="12" s="1"/>
  <c r="L485" i="12"/>
  <c r="B485" i="12"/>
  <c r="C485" i="12" s="1"/>
  <c r="L484" i="12"/>
  <c r="B484" i="12"/>
  <c r="C484" i="12" s="1"/>
  <c r="L483" i="12"/>
  <c r="B483" i="12"/>
  <c r="C483" i="12" s="1"/>
  <c r="L482" i="12"/>
  <c r="B482" i="12"/>
  <c r="C482" i="12" s="1"/>
  <c r="L481" i="12"/>
  <c r="B481" i="12"/>
  <c r="C481" i="12" s="1"/>
  <c r="L480" i="12"/>
  <c r="B480" i="12"/>
  <c r="C480" i="12" s="1"/>
  <c r="L479" i="12"/>
  <c r="B479" i="12"/>
  <c r="C479" i="12" s="1"/>
  <c r="L478" i="12"/>
  <c r="B478" i="12"/>
  <c r="C478" i="12" s="1"/>
  <c r="L477" i="12"/>
  <c r="B477" i="12"/>
  <c r="C477" i="12" s="1"/>
  <c r="L476" i="12"/>
  <c r="B476" i="12"/>
  <c r="C476" i="12" s="1"/>
  <c r="L475" i="12"/>
  <c r="B475" i="12"/>
  <c r="C475" i="12" s="1"/>
  <c r="L474" i="12"/>
  <c r="B474" i="12"/>
  <c r="C474" i="12" s="1"/>
  <c r="L473" i="12"/>
  <c r="B473" i="12"/>
  <c r="C473" i="12" s="1"/>
  <c r="L472" i="12"/>
  <c r="B472" i="12"/>
  <c r="C472" i="12" s="1"/>
  <c r="L471" i="12"/>
  <c r="B471" i="12"/>
  <c r="C471" i="12" s="1"/>
  <c r="L470" i="12"/>
  <c r="B470" i="12"/>
  <c r="C470" i="12" s="1"/>
  <c r="L469" i="12"/>
  <c r="B469" i="12"/>
  <c r="C469" i="12" s="1"/>
  <c r="L468" i="12"/>
  <c r="B468" i="12"/>
  <c r="C468" i="12" s="1"/>
  <c r="L467" i="12"/>
  <c r="B467" i="12"/>
  <c r="C467" i="12" s="1"/>
  <c r="L466" i="12"/>
  <c r="B466" i="12"/>
  <c r="C466" i="12" s="1"/>
  <c r="L465" i="12"/>
  <c r="B465" i="12"/>
  <c r="C465" i="12" s="1"/>
  <c r="L464" i="12"/>
  <c r="B464" i="12"/>
  <c r="C464" i="12" s="1"/>
  <c r="L463" i="12"/>
  <c r="B463" i="12"/>
  <c r="C463" i="12" s="1"/>
  <c r="L462" i="12"/>
  <c r="B462" i="12"/>
  <c r="C462" i="12" s="1"/>
  <c r="L461" i="12"/>
  <c r="B461" i="12"/>
  <c r="C461" i="12" s="1"/>
  <c r="L460" i="12"/>
  <c r="B460" i="12"/>
  <c r="C460" i="12" s="1"/>
  <c r="L459" i="12"/>
  <c r="B459" i="12"/>
  <c r="C459" i="12" s="1"/>
  <c r="L458" i="12"/>
  <c r="B458" i="12"/>
  <c r="C458" i="12" s="1"/>
  <c r="L457" i="12"/>
  <c r="B457" i="12"/>
  <c r="C457" i="12" s="1"/>
  <c r="L456" i="12"/>
  <c r="B456" i="12"/>
  <c r="C456" i="12" s="1"/>
  <c r="L455" i="12"/>
  <c r="B455" i="12"/>
  <c r="C455" i="12" s="1"/>
  <c r="L454" i="12"/>
  <c r="B454" i="12"/>
  <c r="C454" i="12" s="1"/>
  <c r="L453" i="12"/>
  <c r="B453" i="12"/>
  <c r="C453" i="12" s="1"/>
  <c r="L452" i="12"/>
  <c r="B452" i="12"/>
  <c r="C452" i="12" s="1"/>
  <c r="L451" i="12"/>
  <c r="B451" i="12"/>
  <c r="C451" i="12" s="1"/>
  <c r="L450" i="12"/>
  <c r="B450" i="12"/>
  <c r="C450" i="12" s="1"/>
  <c r="L449" i="12"/>
  <c r="B449" i="12"/>
  <c r="C449" i="12" s="1"/>
  <c r="L448" i="12"/>
  <c r="B448" i="12"/>
  <c r="C448" i="12" s="1"/>
  <c r="L447" i="12"/>
  <c r="B447" i="12"/>
  <c r="C447" i="12" s="1"/>
  <c r="L446" i="12"/>
  <c r="B446" i="12"/>
  <c r="C446" i="12" s="1"/>
  <c r="L445" i="12"/>
  <c r="B445" i="12"/>
  <c r="C445" i="12" s="1"/>
  <c r="L444" i="12"/>
  <c r="B444" i="12"/>
  <c r="C444" i="12" s="1"/>
  <c r="L443" i="12"/>
  <c r="B443" i="12"/>
  <c r="C443" i="12" s="1"/>
  <c r="L442" i="12"/>
  <c r="B442" i="12"/>
  <c r="C442" i="12" s="1"/>
  <c r="L441" i="12"/>
  <c r="B441" i="12"/>
  <c r="C441" i="12" s="1"/>
  <c r="L440" i="12"/>
  <c r="B440" i="12"/>
  <c r="C440" i="12" s="1"/>
  <c r="L439" i="12"/>
  <c r="B439" i="12"/>
  <c r="C439" i="12" s="1"/>
  <c r="L438" i="12"/>
  <c r="B438" i="12"/>
  <c r="C438" i="12" s="1"/>
  <c r="L437" i="12"/>
  <c r="B437" i="12"/>
  <c r="C437" i="12" s="1"/>
  <c r="L436" i="12"/>
  <c r="B436" i="12"/>
  <c r="C436" i="12" s="1"/>
  <c r="L435" i="12"/>
  <c r="B435" i="12"/>
  <c r="C435" i="12" s="1"/>
  <c r="L434" i="12"/>
  <c r="B434" i="12"/>
  <c r="C434" i="12" s="1"/>
  <c r="L433" i="12"/>
  <c r="B433" i="12"/>
  <c r="C433" i="12" s="1"/>
  <c r="L432" i="12"/>
  <c r="B432" i="12"/>
  <c r="C432" i="12" s="1"/>
  <c r="L431" i="12"/>
  <c r="B431" i="12"/>
  <c r="C431" i="12" s="1"/>
  <c r="L430" i="12"/>
  <c r="B430" i="12"/>
  <c r="C430" i="12" s="1"/>
  <c r="L429" i="12"/>
  <c r="B429" i="12"/>
  <c r="C429" i="12" s="1"/>
  <c r="L428" i="12"/>
  <c r="B428" i="12"/>
  <c r="C428" i="12" s="1"/>
  <c r="L427" i="12"/>
  <c r="B427" i="12"/>
  <c r="C427" i="12" s="1"/>
  <c r="L426" i="12"/>
  <c r="B426" i="12"/>
  <c r="C426" i="12" s="1"/>
  <c r="L425" i="12"/>
  <c r="B425" i="12"/>
  <c r="C425" i="12" s="1"/>
  <c r="L424" i="12"/>
  <c r="B424" i="12"/>
  <c r="C424" i="12" s="1"/>
  <c r="L423" i="12"/>
  <c r="B423" i="12"/>
  <c r="C423" i="12" s="1"/>
  <c r="L422" i="12"/>
  <c r="B422" i="12"/>
  <c r="C422" i="12" s="1"/>
  <c r="L421" i="12"/>
  <c r="B421" i="12"/>
  <c r="C421" i="12" s="1"/>
  <c r="L420" i="12"/>
  <c r="B420" i="12"/>
  <c r="C420" i="12" s="1"/>
  <c r="L419" i="12"/>
  <c r="B419" i="12"/>
  <c r="C419" i="12" s="1"/>
  <c r="L418" i="12"/>
  <c r="B418" i="12"/>
  <c r="C418" i="12" s="1"/>
  <c r="L417" i="12"/>
  <c r="B417" i="12"/>
  <c r="C417" i="12" s="1"/>
  <c r="L416" i="12"/>
  <c r="B416" i="12"/>
  <c r="C416" i="12" s="1"/>
  <c r="L415" i="12"/>
  <c r="B415" i="12"/>
  <c r="C415" i="12" s="1"/>
  <c r="L414" i="12"/>
  <c r="B414" i="12"/>
  <c r="C414" i="12" s="1"/>
  <c r="L413" i="12"/>
  <c r="B413" i="12"/>
  <c r="C413" i="12" s="1"/>
  <c r="L412" i="12"/>
  <c r="B412" i="12"/>
  <c r="C412" i="12" s="1"/>
  <c r="L411" i="12"/>
  <c r="B411" i="12"/>
  <c r="C411" i="12" s="1"/>
  <c r="L410" i="12"/>
  <c r="B410" i="12"/>
  <c r="C410" i="12" s="1"/>
  <c r="L409" i="12"/>
  <c r="B409" i="12"/>
  <c r="C409" i="12" s="1"/>
  <c r="L408" i="12"/>
  <c r="B408" i="12"/>
  <c r="C408" i="12" s="1"/>
  <c r="L407" i="12"/>
  <c r="B407" i="12"/>
  <c r="C407" i="12" s="1"/>
  <c r="L406" i="12"/>
  <c r="B406" i="12"/>
  <c r="C406" i="12" s="1"/>
  <c r="L405" i="12"/>
  <c r="B405" i="12"/>
  <c r="C405" i="12" s="1"/>
  <c r="L404" i="12"/>
  <c r="B404" i="12"/>
  <c r="C404" i="12" s="1"/>
  <c r="L403" i="12"/>
  <c r="B403" i="12"/>
  <c r="C403" i="12" s="1"/>
  <c r="L402" i="12"/>
  <c r="B402" i="12"/>
  <c r="C402" i="12" s="1"/>
  <c r="L401" i="12"/>
  <c r="B401" i="12"/>
  <c r="C401" i="12" s="1"/>
  <c r="L400" i="12"/>
  <c r="B400" i="12"/>
  <c r="C400" i="12" s="1"/>
  <c r="L399" i="12"/>
  <c r="B399" i="12"/>
  <c r="C399" i="12" s="1"/>
  <c r="L398" i="12"/>
  <c r="B398" i="12"/>
  <c r="C398" i="12" s="1"/>
  <c r="L397" i="12"/>
  <c r="B397" i="12"/>
  <c r="C397" i="12" s="1"/>
  <c r="L396" i="12"/>
  <c r="B396" i="12"/>
  <c r="C396" i="12" s="1"/>
  <c r="L395" i="12"/>
  <c r="B395" i="12"/>
  <c r="C395" i="12" s="1"/>
  <c r="L394" i="12"/>
  <c r="B394" i="12"/>
  <c r="C394" i="12" s="1"/>
  <c r="L393" i="12"/>
  <c r="B393" i="12"/>
  <c r="C393" i="12" s="1"/>
  <c r="L392" i="12"/>
  <c r="B392" i="12"/>
  <c r="C392" i="12" s="1"/>
  <c r="L391" i="12"/>
  <c r="B391" i="12"/>
  <c r="C391" i="12" s="1"/>
  <c r="L390" i="12"/>
  <c r="B390" i="12"/>
  <c r="C390" i="12" s="1"/>
  <c r="L389" i="12"/>
  <c r="B389" i="12"/>
  <c r="C389" i="12" s="1"/>
  <c r="L388" i="12"/>
  <c r="B388" i="12"/>
  <c r="C388" i="12" s="1"/>
  <c r="L387" i="12"/>
  <c r="B387" i="12"/>
  <c r="C387" i="12" s="1"/>
  <c r="L386" i="12"/>
  <c r="B386" i="12"/>
  <c r="C386" i="12" s="1"/>
  <c r="L385" i="12"/>
  <c r="B385" i="12"/>
  <c r="C385" i="12" s="1"/>
  <c r="L384" i="12"/>
  <c r="B384" i="12"/>
  <c r="C384" i="12" s="1"/>
  <c r="L383" i="12"/>
  <c r="B383" i="12"/>
  <c r="C383" i="12" s="1"/>
  <c r="L382" i="12"/>
  <c r="B382" i="12"/>
  <c r="C382" i="12" s="1"/>
  <c r="L381" i="12"/>
  <c r="B381" i="12"/>
  <c r="C381" i="12" s="1"/>
  <c r="L380" i="12"/>
  <c r="B380" i="12"/>
  <c r="C380" i="12" s="1"/>
  <c r="L379" i="12"/>
  <c r="B379" i="12"/>
  <c r="C379" i="12" s="1"/>
  <c r="L378" i="12"/>
  <c r="B378" i="12"/>
  <c r="C378" i="12" s="1"/>
  <c r="L377" i="12"/>
  <c r="B377" i="12"/>
  <c r="C377" i="12" s="1"/>
  <c r="L376" i="12"/>
  <c r="B376" i="12"/>
  <c r="C376" i="12" s="1"/>
  <c r="L375" i="12"/>
  <c r="B375" i="12"/>
  <c r="C375" i="12" s="1"/>
  <c r="L374" i="12"/>
  <c r="B374" i="12"/>
  <c r="C374" i="12" s="1"/>
  <c r="L373" i="12"/>
  <c r="B373" i="12"/>
  <c r="C373" i="12" s="1"/>
  <c r="L372" i="12"/>
  <c r="B372" i="12"/>
  <c r="C372" i="12" s="1"/>
  <c r="L371" i="12"/>
  <c r="B371" i="12"/>
  <c r="C371" i="12" s="1"/>
  <c r="L370" i="12"/>
  <c r="B370" i="12"/>
  <c r="C370" i="12" s="1"/>
  <c r="L369" i="12"/>
  <c r="B369" i="12"/>
  <c r="C369" i="12" s="1"/>
  <c r="L368" i="12"/>
  <c r="B368" i="12"/>
  <c r="C368" i="12" s="1"/>
  <c r="L367" i="12"/>
  <c r="B367" i="12"/>
  <c r="C367" i="12" s="1"/>
  <c r="L366" i="12"/>
  <c r="B366" i="12"/>
  <c r="C366" i="12" s="1"/>
  <c r="L365" i="12"/>
  <c r="B365" i="12"/>
  <c r="C365" i="12" s="1"/>
  <c r="L364" i="12"/>
  <c r="B364" i="12"/>
  <c r="C364" i="12" s="1"/>
  <c r="L363" i="12"/>
  <c r="B363" i="12"/>
  <c r="C363" i="12" s="1"/>
  <c r="L362" i="12"/>
  <c r="B362" i="12"/>
  <c r="C362" i="12" s="1"/>
  <c r="L361" i="12"/>
  <c r="B361" i="12"/>
  <c r="C361" i="12" s="1"/>
  <c r="L360" i="12"/>
  <c r="B360" i="12"/>
  <c r="C360" i="12" s="1"/>
  <c r="L359" i="12"/>
  <c r="B359" i="12"/>
  <c r="C359" i="12" s="1"/>
  <c r="L358" i="12"/>
  <c r="B358" i="12"/>
  <c r="C358" i="12" s="1"/>
  <c r="L357" i="12"/>
  <c r="B357" i="12"/>
  <c r="C357" i="12" s="1"/>
  <c r="L356" i="12"/>
  <c r="B356" i="12"/>
  <c r="C356" i="12" s="1"/>
  <c r="L355" i="12"/>
  <c r="B355" i="12"/>
  <c r="C355" i="12" s="1"/>
  <c r="L354" i="12"/>
  <c r="B354" i="12"/>
  <c r="C354" i="12" s="1"/>
  <c r="L353" i="12"/>
  <c r="B353" i="12"/>
  <c r="C353" i="12" s="1"/>
  <c r="L352" i="12"/>
  <c r="B352" i="12"/>
  <c r="C352" i="12" s="1"/>
  <c r="L351" i="12"/>
  <c r="B351" i="12"/>
  <c r="C351" i="12" s="1"/>
  <c r="L350" i="12"/>
  <c r="B350" i="12"/>
  <c r="C350" i="12" s="1"/>
  <c r="L349" i="12"/>
  <c r="B349" i="12"/>
  <c r="C349" i="12" s="1"/>
  <c r="L348" i="12"/>
  <c r="B348" i="12"/>
  <c r="C348" i="12" s="1"/>
  <c r="L347" i="12"/>
  <c r="B347" i="12"/>
  <c r="C347" i="12" s="1"/>
  <c r="L346" i="12"/>
  <c r="B346" i="12"/>
  <c r="C346" i="12" s="1"/>
  <c r="L345" i="12"/>
  <c r="B345" i="12"/>
  <c r="C345" i="12" s="1"/>
  <c r="L344" i="12"/>
  <c r="B344" i="12"/>
  <c r="C344" i="12" s="1"/>
  <c r="L343" i="12"/>
  <c r="B343" i="12"/>
  <c r="C343" i="12" s="1"/>
  <c r="L342" i="12"/>
  <c r="B342" i="12"/>
  <c r="C342" i="12" s="1"/>
  <c r="L341" i="12"/>
  <c r="B341" i="12"/>
  <c r="C341" i="12" s="1"/>
  <c r="L340" i="12"/>
  <c r="B340" i="12"/>
  <c r="C340" i="12" s="1"/>
  <c r="L339" i="12"/>
  <c r="B339" i="12"/>
  <c r="C339" i="12" s="1"/>
  <c r="L338" i="12"/>
  <c r="B338" i="12"/>
  <c r="C338" i="12" s="1"/>
  <c r="L337" i="12"/>
  <c r="B337" i="12"/>
  <c r="C337" i="12" s="1"/>
  <c r="L336" i="12"/>
  <c r="B336" i="12"/>
  <c r="C336" i="12" s="1"/>
  <c r="L335" i="12"/>
  <c r="B335" i="12"/>
  <c r="C335" i="12" s="1"/>
  <c r="L334" i="12"/>
  <c r="B334" i="12"/>
  <c r="C334" i="12" s="1"/>
  <c r="L333" i="12"/>
  <c r="B333" i="12"/>
  <c r="C333" i="12" s="1"/>
  <c r="L332" i="12"/>
  <c r="B332" i="12"/>
  <c r="C332" i="12" s="1"/>
  <c r="L331" i="12"/>
  <c r="B331" i="12"/>
  <c r="C331" i="12" s="1"/>
  <c r="L330" i="12"/>
  <c r="B330" i="12"/>
  <c r="C330" i="12" s="1"/>
  <c r="L329" i="12"/>
  <c r="B329" i="12"/>
  <c r="C329" i="12" s="1"/>
  <c r="L328" i="12"/>
  <c r="B328" i="12"/>
  <c r="C328" i="12" s="1"/>
  <c r="L327" i="12"/>
  <c r="B327" i="12"/>
  <c r="C327" i="12" s="1"/>
  <c r="L326" i="12"/>
  <c r="B326" i="12"/>
  <c r="C326" i="12" s="1"/>
  <c r="L325" i="12"/>
  <c r="B325" i="12"/>
  <c r="C325" i="12" s="1"/>
  <c r="L324" i="12"/>
  <c r="B324" i="12"/>
  <c r="C324" i="12" s="1"/>
  <c r="L323" i="12"/>
  <c r="B323" i="12"/>
  <c r="C323" i="12" s="1"/>
  <c r="L322" i="12"/>
  <c r="B322" i="12"/>
  <c r="C322" i="12" s="1"/>
  <c r="L321" i="12"/>
  <c r="B321" i="12"/>
  <c r="C321" i="12" s="1"/>
  <c r="L320" i="12"/>
  <c r="B320" i="12"/>
  <c r="C320" i="12" s="1"/>
  <c r="L319" i="12"/>
  <c r="B319" i="12"/>
  <c r="C319" i="12" s="1"/>
  <c r="L318" i="12"/>
  <c r="B318" i="12"/>
  <c r="C318" i="12" s="1"/>
  <c r="L317" i="12"/>
  <c r="B317" i="12"/>
  <c r="C317" i="12" s="1"/>
  <c r="L316" i="12"/>
  <c r="B316" i="12"/>
  <c r="C316" i="12" s="1"/>
  <c r="L315" i="12"/>
  <c r="B315" i="12"/>
  <c r="C315" i="12" s="1"/>
  <c r="L314" i="12"/>
  <c r="B314" i="12"/>
  <c r="C314" i="12" s="1"/>
  <c r="L313" i="12"/>
  <c r="B313" i="12"/>
  <c r="C313" i="12" s="1"/>
  <c r="L312" i="12"/>
  <c r="B312" i="12"/>
  <c r="C312" i="12" s="1"/>
  <c r="L311" i="12"/>
  <c r="B311" i="12"/>
  <c r="C311" i="12" s="1"/>
  <c r="L310" i="12"/>
  <c r="B310" i="12"/>
  <c r="C310" i="12" s="1"/>
  <c r="L309" i="12"/>
  <c r="B309" i="12"/>
  <c r="C309" i="12" s="1"/>
  <c r="L308" i="12"/>
  <c r="B308" i="12"/>
  <c r="C308" i="12" s="1"/>
  <c r="L307" i="12"/>
  <c r="B307" i="12"/>
  <c r="C307" i="12" s="1"/>
  <c r="L306" i="12"/>
  <c r="B306" i="12"/>
  <c r="C306" i="12" s="1"/>
  <c r="L305" i="12"/>
  <c r="B305" i="12"/>
  <c r="C305" i="12" s="1"/>
  <c r="L304" i="12"/>
  <c r="B304" i="12"/>
  <c r="C304" i="12" s="1"/>
  <c r="L303" i="12"/>
  <c r="B303" i="12"/>
  <c r="C303" i="12" s="1"/>
  <c r="L302" i="12"/>
  <c r="B302" i="12"/>
  <c r="C302" i="12" s="1"/>
  <c r="L301" i="12"/>
  <c r="B301" i="12"/>
  <c r="C301" i="12" s="1"/>
  <c r="L300" i="12"/>
  <c r="B300" i="12"/>
  <c r="C300" i="12" s="1"/>
  <c r="L299" i="12"/>
  <c r="B299" i="12"/>
  <c r="C299" i="12" s="1"/>
  <c r="L298" i="12"/>
  <c r="B298" i="12"/>
  <c r="C298" i="12" s="1"/>
  <c r="L297" i="12"/>
  <c r="B297" i="12"/>
  <c r="C297" i="12" s="1"/>
  <c r="L296" i="12"/>
  <c r="B296" i="12"/>
  <c r="C296" i="12" s="1"/>
  <c r="L295" i="12"/>
  <c r="B295" i="12"/>
  <c r="C295" i="12" s="1"/>
  <c r="L294" i="12"/>
  <c r="B294" i="12"/>
  <c r="C294" i="12" s="1"/>
  <c r="L293" i="12"/>
  <c r="B293" i="12"/>
  <c r="C293" i="12" s="1"/>
  <c r="L292" i="12"/>
  <c r="B292" i="12"/>
  <c r="C292" i="12" s="1"/>
  <c r="L291" i="12"/>
  <c r="B291" i="12"/>
  <c r="C291" i="12" s="1"/>
  <c r="L290" i="12"/>
  <c r="B290" i="12"/>
  <c r="C290" i="12" s="1"/>
  <c r="L289" i="12"/>
  <c r="B289" i="12"/>
  <c r="C289" i="12" s="1"/>
  <c r="L288" i="12"/>
  <c r="B288" i="12"/>
  <c r="C288" i="12" s="1"/>
  <c r="L287" i="12"/>
  <c r="B287" i="12"/>
  <c r="C287" i="12" s="1"/>
  <c r="L286" i="12"/>
  <c r="B286" i="12"/>
  <c r="C286" i="12" s="1"/>
  <c r="L285" i="12"/>
  <c r="B285" i="12"/>
  <c r="C285" i="12" s="1"/>
  <c r="L284" i="12"/>
  <c r="B284" i="12"/>
  <c r="C284" i="12" s="1"/>
  <c r="L283" i="12"/>
  <c r="B283" i="12"/>
  <c r="C283" i="12" s="1"/>
  <c r="L282" i="12"/>
  <c r="B282" i="12"/>
  <c r="C282" i="12" s="1"/>
  <c r="L281" i="12"/>
  <c r="B281" i="12"/>
  <c r="C281" i="12" s="1"/>
  <c r="L280" i="12"/>
  <c r="B280" i="12"/>
  <c r="C280" i="12" s="1"/>
  <c r="L279" i="12"/>
  <c r="B279" i="12"/>
  <c r="C279" i="12" s="1"/>
  <c r="L278" i="12"/>
  <c r="B278" i="12"/>
  <c r="C278" i="12" s="1"/>
  <c r="L277" i="12"/>
  <c r="B277" i="12"/>
  <c r="C277" i="12" s="1"/>
  <c r="L276" i="12"/>
  <c r="B276" i="12"/>
  <c r="C276" i="12" s="1"/>
  <c r="L275" i="12"/>
  <c r="B275" i="12"/>
  <c r="C275" i="12" s="1"/>
  <c r="L274" i="12"/>
  <c r="B274" i="12"/>
  <c r="C274" i="12" s="1"/>
  <c r="L273" i="12"/>
  <c r="B273" i="12"/>
  <c r="C273" i="12" s="1"/>
  <c r="L272" i="12"/>
  <c r="B272" i="12"/>
  <c r="C272" i="12" s="1"/>
  <c r="L271" i="12"/>
  <c r="B271" i="12"/>
  <c r="C271" i="12" s="1"/>
  <c r="L270" i="12"/>
  <c r="B270" i="12"/>
  <c r="C270" i="12" s="1"/>
  <c r="L269" i="12"/>
  <c r="B269" i="12"/>
  <c r="C269" i="12" s="1"/>
  <c r="L268" i="12"/>
  <c r="B268" i="12"/>
  <c r="C268" i="12" s="1"/>
  <c r="L267" i="12"/>
  <c r="B267" i="12"/>
  <c r="C267" i="12" s="1"/>
  <c r="L266" i="12"/>
  <c r="B266" i="12"/>
  <c r="C266" i="12" s="1"/>
  <c r="L265" i="12"/>
  <c r="B265" i="12"/>
  <c r="C265" i="12" s="1"/>
  <c r="L264" i="12"/>
  <c r="B264" i="12"/>
  <c r="C264" i="12" s="1"/>
  <c r="L263" i="12"/>
  <c r="B263" i="12"/>
  <c r="C263" i="12" s="1"/>
  <c r="L262" i="12"/>
  <c r="B262" i="12"/>
  <c r="C262" i="12" s="1"/>
  <c r="L261" i="12"/>
  <c r="B261" i="12"/>
  <c r="C261" i="12" s="1"/>
  <c r="L260" i="12"/>
  <c r="B260" i="12"/>
  <c r="C260" i="12" s="1"/>
  <c r="L259" i="12"/>
  <c r="B259" i="12"/>
  <c r="C259" i="12" s="1"/>
  <c r="L258" i="12"/>
  <c r="B258" i="12"/>
  <c r="C258" i="12" s="1"/>
  <c r="L257" i="12"/>
  <c r="B257" i="12"/>
  <c r="C257" i="12" s="1"/>
  <c r="L256" i="12"/>
  <c r="B256" i="12"/>
  <c r="C256" i="12" s="1"/>
  <c r="L255" i="12"/>
  <c r="B255" i="12"/>
  <c r="C255" i="12" s="1"/>
  <c r="L254" i="12"/>
  <c r="B254" i="12"/>
  <c r="C254" i="12" s="1"/>
  <c r="L253" i="12"/>
  <c r="B253" i="12"/>
  <c r="C253" i="12" s="1"/>
  <c r="L252" i="12"/>
  <c r="B252" i="12"/>
  <c r="C252" i="12" s="1"/>
  <c r="L251" i="12"/>
  <c r="B251" i="12"/>
  <c r="C251" i="12" s="1"/>
  <c r="L250" i="12"/>
  <c r="B250" i="12"/>
  <c r="C250" i="12" s="1"/>
  <c r="L249" i="12"/>
  <c r="B249" i="12"/>
  <c r="C249" i="12" s="1"/>
  <c r="L248" i="12"/>
  <c r="B248" i="12"/>
  <c r="C248" i="12" s="1"/>
  <c r="L247" i="12"/>
  <c r="B247" i="12"/>
  <c r="C247" i="12" s="1"/>
  <c r="L246" i="12"/>
  <c r="B246" i="12"/>
  <c r="C246" i="12" s="1"/>
  <c r="L245" i="12"/>
  <c r="B245" i="12"/>
  <c r="C245" i="12" s="1"/>
  <c r="L244" i="12"/>
  <c r="B244" i="12"/>
  <c r="C244" i="12" s="1"/>
  <c r="L243" i="12"/>
  <c r="B243" i="12"/>
  <c r="C243" i="12" s="1"/>
  <c r="L242" i="12"/>
  <c r="B242" i="12"/>
  <c r="C242" i="12" s="1"/>
  <c r="L241" i="12"/>
  <c r="B241" i="12"/>
  <c r="C241" i="12" s="1"/>
  <c r="L240" i="12"/>
  <c r="B240" i="12"/>
  <c r="C240" i="12" s="1"/>
  <c r="L239" i="12"/>
  <c r="B239" i="12"/>
  <c r="C239" i="12" s="1"/>
  <c r="L238" i="12"/>
  <c r="B238" i="12"/>
  <c r="C238" i="12" s="1"/>
  <c r="L237" i="12"/>
  <c r="B237" i="12"/>
  <c r="C237" i="12" s="1"/>
  <c r="L236" i="12"/>
  <c r="B236" i="12"/>
  <c r="C236" i="12" s="1"/>
  <c r="L235" i="12"/>
  <c r="B235" i="12"/>
  <c r="C235" i="12" s="1"/>
  <c r="L234" i="12"/>
  <c r="B234" i="12"/>
  <c r="C234" i="12" s="1"/>
  <c r="L233" i="12"/>
  <c r="B233" i="12"/>
  <c r="C233" i="12" s="1"/>
  <c r="L232" i="12"/>
  <c r="B232" i="12"/>
  <c r="C232" i="12" s="1"/>
  <c r="L231" i="12"/>
  <c r="B231" i="12"/>
  <c r="C231" i="12" s="1"/>
  <c r="L230" i="12"/>
  <c r="B230" i="12"/>
  <c r="C230" i="12" s="1"/>
  <c r="L229" i="12"/>
  <c r="B229" i="12"/>
  <c r="C229" i="12" s="1"/>
  <c r="L228" i="12"/>
  <c r="B228" i="12"/>
  <c r="C228" i="12" s="1"/>
  <c r="L227" i="12"/>
  <c r="B227" i="12"/>
  <c r="C227" i="12" s="1"/>
  <c r="L226" i="12"/>
  <c r="B226" i="12"/>
  <c r="C226" i="12" s="1"/>
  <c r="L225" i="12"/>
  <c r="B225" i="12"/>
  <c r="C225" i="12" s="1"/>
  <c r="L224" i="12"/>
  <c r="B224" i="12"/>
  <c r="C224" i="12" s="1"/>
  <c r="L223" i="12"/>
  <c r="B223" i="12"/>
  <c r="C223" i="12" s="1"/>
  <c r="L222" i="12"/>
  <c r="B222" i="12"/>
  <c r="C222" i="12" s="1"/>
  <c r="L221" i="12"/>
  <c r="B221" i="12"/>
  <c r="C221" i="12" s="1"/>
  <c r="L220" i="12"/>
  <c r="B220" i="12"/>
  <c r="C220" i="12" s="1"/>
  <c r="L219" i="12"/>
  <c r="B219" i="12"/>
  <c r="C219" i="12" s="1"/>
  <c r="L218" i="12"/>
  <c r="B218" i="12"/>
  <c r="C218" i="12" s="1"/>
  <c r="L217" i="12"/>
  <c r="B217" i="12"/>
  <c r="C217" i="12" s="1"/>
  <c r="L216" i="12"/>
  <c r="B216" i="12"/>
  <c r="C216" i="12" s="1"/>
  <c r="L215" i="12"/>
  <c r="B215" i="12"/>
  <c r="C215" i="12" s="1"/>
  <c r="L214" i="12"/>
  <c r="B214" i="12"/>
  <c r="C214" i="12" s="1"/>
  <c r="L213" i="12"/>
  <c r="B213" i="12"/>
  <c r="C213" i="12" s="1"/>
  <c r="L212" i="12"/>
  <c r="B212" i="12"/>
  <c r="C212" i="12" s="1"/>
  <c r="L211" i="12"/>
  <c r="B211" i="12"/>
  <c r="C211" i="12" s="1"/>
  <c r="L210" i="12"/>
  <c r="B210" i="12"/>
  <c r="C210" i="12" s="1"/>
  <c r="L209" i="12"/>
  <c r="B209" i="12"/>
  <c r="C209" i="12" s="1"/>
  <c r="L208" i="12"/>
  <c r="B208" i="12"/>
  <c r="C208" i="12" s="1"/>
  <c r="L207" i="12"/>
  <c r="B207" i="12"/>
  <c r="C207" i="12" s="1"/>
  <c r="L206" i="12"/>
  <c r="B206" i="12"/>
  <c r="C206" i="12" s="1"/>
  <c r="L205" i="12"/>
  <c r="B205" i="12"/>
  <c r="C205" i="12" s="1"/>
  <c r="L204" i="12"/>
  <c r="B204" i="12"/>
  <c r="C204" i="12" s="1"/>
  <c r="L203" i="12"/>
  <c r="B203" i="12"/>
  <c r="C203" i="12" s="1"/>
  <c r="L202" i="12"/>
  <c r="B202" i="12"/>
  <c r="C202" i="12" s="1"/>
  <c r="L201" i="12"/>
  <c r="B201" i="12"/>
  <c r="C201" i="12" s="1"/>
  <c r="L200" i="12"/>
  <c r="B200" i="12"/>
  <c r="C200" i="12" s="1"/>
  <c r="L199" i="12"/>
  <c r="B199" i="12"/>
  <c r="C199" i="12" s="1"/>
  <c r="L198" i="12"/>
  <c r="B198" i="12"/>
  <c r="C198" i="12" s="1"/>
  <c r="L197" i="12"/>
  <c r="B197" i="12"/>
  <c r="C197" i="12" s="1"/>
  <c r="L196" i="12"/>
  <c r="B196" i="12"/>
  <c r="C196" i="12" s="1"/>
  <c r="L195" i="12"/>
  <c r="B195" i="12"/>
  <c r="C195" i="12" s="1"/>
  <c r="L194" i="12"/>
  <c r="B194" i="12"/>
  <c r="C194" i="12" s="1"/>
  <c r="L193" i="12"/>
  <c r="B193" i="12"/>
  <c r="C193" i="12" s="1"/>
  <c r="L192" i="12"/>
  <c r="B192" i="12"/>
  <c r="C192" i="12" s="1"/>
  <c r="L191" i="12"/>
  <c r="B191" i="12"/>
  <c r="C191" i="12" s="1"/>
  <c r="L190" i="12"/>
  <c r="B190" i="12"/>
  <c r="C190" i="12" s="1"/>
  <c r="L189" i="12"/>
  <c r="B189" i="12"/>
  <c r="C189" i="12" s="1"/>
  <c r="L188" i="12"/>
  <c r="B188" i="12"/>
  <c r="C188" i="12" s="1"/>
  <c r="L187" i="12"/>
  <c r="B187" i="12"/>
  <c r="C187" i="12" s="1"/>
  <c r="L186" i="12"/>
  <c r="B186" i="12"/>
  <c r="C186" i="12" s="1"/>
  <c r="L185" i="12"/>
  <c r="B185" i="12"/>
  <c r="C185" i="12" s="1"/>
  <c r="L184" i="12"/>
  <c r="B184" i="12"/>
  <c r="C184" i="12" s="1"/>
  <c r="L183" i="12"/>
  <c r="B183" i="12"/>
  <c r="C183" i="12" s="1"/>
  <c r="L182" i="12"/>
  <c r="B182" i="12"/>
  <c r="C182" i="12" s="1"/>
  <c r="L181" i="12"/>
  <c r="B181" i="12"/>
  <c r="C181" i="12" s="1"/>
  <c r="L180" i="12"/>
  <c r="B180" i="12"/>
  <c r="C180" i="12" s="1"/>
  <c r="L179" i="12"/>
  <c r="B179" i="12"/>
  <c r="C179" i="12" s="1"/>
  <c r="L178" i="12"/>
  <c r="B178" i="12"/>
  <c r="C178" i="12" s="1"/>
  <c r="L177" i="12"/>
  <c r="B177" i="12"/>
  <c r="C177" i="12" s="1"/>
  <c r="L176" i="12"/>
  <c r="B176" i="12"/>
  <c r="C176" i="12" s="1"/>
  <c r="L175" i="12"/>
  <c r="B175" i="12"/>
  <c r="C175" i="12" s="1"/>
  <c r="L174" i="12"/>
  <c r="B174" i="12"/>
  <c r="C174" i="12" s="1"/>
  <c r="L173" i="12"/>
  <c r="B173" i="12"/>
  <c r="C173" i="12" s="1"/>
  <c r="L172" i="12"/>
  <c r="B172" i="12"/>
  <c r="C172" i="12" s="1"/>
  <c r="L171" i="12"/>
  <c r="B171" i="12"/>
  <c r="C171" i="12" s="1"/>
  <c r="L170" i="12"/>
  <c r="B170" i="12"/>
  <c r="C170" i="12" s="1"/>
  <c r="L169" i="12"/>
  <c r="B169" i="12"/>
  <c r="C169" i="12" s="1"/>
  <c r="L168" i="12"/>
  <c r="B168" i="12"/>
  <c r="C168" i="12" s="1"/>
  <c r="L167" i="12"/>
  <c r="B167" i="12"/>
  <c r="C167" i="12" s="1"/>
  <c r="L166" i="12"/>
  <c r="B166" i="12"/>
  <c r="C166" i="12" s="1"/>
  <c r="L165" i="12"/>
  <c r="B165" i="12"/>
  <c r="C165" i="12" s="1"/>
  <c r="L164" i="12"/>
  <c r="B164" i="12"/>
  <c r="C164" i="12" s="1"/>
  <c r="L163" i="12"/>
  <c r="B163" i="12"/>
  <c r="C163" i="12" s="1"/>
  <c r="L162" i="12"/>
  <c r="B162" i="12"/>
  <c r="C162" i="12" s="1"/>
  <c r="L161" i="12"/>
  <c r="B161" i="12"/>
  <c r="C161" i="12" s="1"/>
  <c r="L160" i="12"/>
  <c r="B160" i="12"/>
  <c r="C160" i="12" s="1"/>
  <c r="L159" i="12"/>
  <c r="B159" i="12"/>
  <c r="C159" i="12" s="1"/>
  <c r="L158" i="12"/>
  <c r="B158" i="12"/>
  <c r="C158" i="12" s="1"/>
  <c r="L157" i="12"/>
  <c r="B157" i="12"/>
  <c r="C157" i="12" s="1"/>
  <c r="L156" i="12"/>
  <c r="B156" i="12"/>
  <c r="C156" i="12" s="1"/>
  <c r="L155" i="12"/>
  <c r="B155" i="12"/>
  <c r="C155" i="12" s="1"/>
  <c r="L154" i="12"/>
  <c r="B154" i="12"/>
  <c r="C154" i="12" s="1"/>
  <c r="L153" i="12"/>
  <c r="B153" i="12"/>
  <c r="C153" i="12" s="1"/>
  <c r="L152" i="12"/>
  <c r="B152" i="12"/>
  <c r="C152" i="12" s="1"/>
  <c r="L151" i="12"/>
  <c r="B151" i="12"/>
  <c r="C151" i="12" s="1"/>
  <c r="L150" i="12"/>
  <c r="B150" i="12"/>
  <c r="C150" i="12" s="1"/>
  <c r="L149" i="12"/>
  <c r="B149" i="12"/>
  <c r="C149" i="12" s="1"/>
  <c r="L148" i="12"/>
  <c r="B148" i="12"/>
  <c r="C148" i="12" s="1"/>
  <c r="L147" i="12"/>
  <c r="B147" i="12"/>
  <c r="C147" i="12" s="1"/>
  <c r="L146" i="12"/>
  <c r="B146" i="12"/>
  <c r="C146" i="12" s="1"/>
  <c r="L145" i="12"/>
  <c r="B145" i="12"/>
  <c r="C145" i="12" s="1"/>
  <c r="L144" i="12"/>
  <c r="B144" i="12"/>
  <c r="C144" i="12" s="1"/>
  <c r="L143" i="12"/>
  <c r="B143" i="12"/>
  <c r="C143" i="12" s="1"/>
  <c r="L142" i="12"/>
  <c r="B142" i="12"/>
  <c r="C142" i="12" s="1"/>
  <c r="L141" i="12"/>
  <c r="B141" i="12"/>
  <c r="C141" i="12" s="1"/>
  <c r="L140" i="12"/>
  <c r="B140" i="12"/>
  <c r="C140" i="12" s="1"/>
  <c r="L139" i="12"/>
  <c r="B139" i="12"/>
  <c r="C139" i="12" s="1"/>
  <c r="L138" i="12"/>
  <c r="B138" i="12"/>
  <c r="C138" i="12" s="1"/>
  <c r="L137" i="12"/>
  <c r="B137" i="12"/>
  <c r="C137" i="12" s="1"/>
  <c r="L136" i="12"/>
  <c r="B136" i="12"/>
  <c r="C136" i="12" s="1"/>
  <c r="L135" i="12"/>
  <c r="B135" i="12"/>
  <c r="C135" i="12" s="1"/>
  <c r="L134" i="12"/>
  <c r="B134" i="12"/>
  <c r="C134" i="12" s="1"/>
  <c r="L133" i="12"/>
  <c r="B133" i="12"/>
  <c r="C133" i="12" s="1"/>
  <c r="L132" i="12"/>
  <c r="B132" i="12"/>
  <c r="C132" i="12" s="1"/>
  <c r="L131" i="12"/>
  <c r="B131" i="12"/>
  <c r="C131" i="12" s="1"/>
  <c r="L130" i="12"/>
  <c r="B130" i="12"/>
  <c r="C130" i="12" s="1"/>
  <c r="L129" i="12"/>
  <c r="B129" i="12"/>
  <c r="C129" i="12" s="1"/>
  <c r="L128" i="12"/>
  <c r="B128" i="12"/>
  <c r="C128" i="12" s="1"/>
  <c r="L127" i="12"/>
  <c r="B127" i="12"/>
  <c r="C127" i="12" s="1"/>
  <c r="L126" i="12"/>
  <c r="B126" i="12"/>
  <c r="C126" i="12" s="1"/>
  <c r="L125" i="12"/>
  <c r="B125" i="12"/>
  <c r="C125" i="12" s="1"/>
  <c r="L124" i="12"/>
  <c r="B124" i="12"/>
  <c r="C124" i="12" s="1"/>
  <c r="L123" i="12"/>
  <c r="B123" i="12"/>
  <c r="C123" i="12" s="1"/>
  <c r="L122" i="12"/>
  <c r="B122" i="12"/>
  <c r="C122" i="12" s="1"/>
  <c r="L121" i="12"/>
  <c r="B121" i="12"/>
  <c r="C121" i="12" s="1"/>
  <c r="L120" i="12"/>
  <c r="B120" i="12"/>
  <c r="C120" i="12" s="1"/>
  <c r="L119" i="12"/>
  <c r="B119" i="12"/>
  <c r="C119" i="12" s="1"/>
  <c r="L118" i="12"/>
  <c r="B118" i="12"/>
  <c r="C118" i="12" s="1"/>
  <c r="L117" i="12"/>
  <c r="B117" i="12"/>
  <c r="C117" i="12" s="1"/>
  <c r="L116" i="12"/>
  <c r="B116" i="12"/>
  <c r="C116" i="12" s="1"/>
  <c r="L115" i="12"/>
  <c r="B115" i="12"/>
  <c r="C115" i="12" s="1"/>
  <c r="L114" i="12"/>
  <c r="B114" i="12"/>
  <c r="C114" i="12" s="1"/>
  <c r="L113" i="12"/>
  <c r="B113" i="12"/>
  <c r="C113" i="12" s="1"/>
  <c r="L112" i="12"/>
  <c r="B112" i="12"/>
  <c r="C112" i="12" s="1"/>
  <c r="L111" i="12"/>
  <c r="B111" i="12"/>
  <c r="C111" i="12" s="1"/>
  <c r="L110" i="12"/>
  <c r="B110" i="12"/>
  <c r="C110" i="12" s="1"/>
  <c r="L109" i="12"/>
  <c r="B109" i="12"/>
  <c r="C109" i="12" s="1"/>
  <c r="L108" i="12"/>
  <c r="B108" i="12"/>
  <c r="C108" i="12" s="1"/>
  <c r="L107" i="12"/>
  <c r="B107" i="12"/>
  <c r="C107" i="12" s="1"/>
  <c r="L106" i="12"/>
  <c r="B106" i="12"/>
  <c r="C106" i="12" s="1"/>
  <c r="L105" i="12"/>
  <c r="B105" i="12"/>
  <c r="C105" i="12" s="1"/>
  <c r="L104" i="12"/>
  <c r="B104" i="12"/>
  <c r="C104" i="12" s="1"/>
  <c r="L103" i="12"/>
  <c r="B103" i="12"/>
  <c r="C103" i="12" s="1"/>
  <c r="L102" i="12"/>
  <c r="B102" i="12"/>
  <c r="C102" i="12" s="1"/>
  <c r="L101" i="12"/>
  <c r="B101" i="12"/>
  <c r="C101" i="12" s="1"/>
  <c r="L100" i="12"/>
  <c r="B100" i="12"/>
  <c r="C100" i="12" s="1"/>
  <c r="L99" i="12"/>
  <c r="B99" i="12"/>
  <c r="C99" i="12" s="1"/>
  <c r="L98" i="12"/>
  <c r="B98" i="12"/>
  <c r="C98" i="12" s="1"/>
  <c r="L97" i="12"/>
  <c r="B97" i="12"/>
  <c r="C97" i="12" s="1"/>
  <c r="L96" i="12"/>
  <c r="B96" i="12"/>
  <c r="C96" i="12" s="1"/>
  <c r="L95" i="12"/>
  <c r="B95" i="12"/>
  <c r="C95" i="12" s="1"/>
  <c r="L94" i="12"/>
  <c r="B94" i="12"/>
  <c r="C94" i="12" s="1"/>
  <c r="L93" i="12"/>
  <c r="B93" i="12"/>
  <c r="C93" i="12" s="1"/>
  <c r="L92" i="12"/>
  <c r="B92" i="12"/>
  <c r="C92" i="12" s="1"/>
  <c r="L91" i="12"/>
  <c r="B91" i="12"/>
  <c r="C91" i="12" s="1"/>
  <c r="L90" i="12"/>
  <c r="B90" i="12"/>
  <c r="C90" i="12" s="1"/>
  <c r="L89" i="12"/>
  <c r="B89" i="12"/>
  <c r="C89" i="12" s="1"/>
  <c r="L88" i="12"/>
  <c r="B88" i="12"/>
  <c r="C88" i="12" s="1"/>
  <c r="L87" i="12"/>
  <c r="B87" i="12"/>
  <c r="C87" i="12" s="1"/>
  <c r="L86" i="12"/>
  <c r="B86" i="12"/>
  <c r="C86" i="12" s="1"/>
  <c r="L85" i="12"/>
  <c r="B85" i="12"/>
  <c r="C85" i="12" s="1"/>
  <c r="L84" i="12"/>
  <c r="B84" i="12"/>
  <c r="C84" i="12" s="1"/>
  <c r="L83" i="12"/>
  <c r="B83" i="12"/>
  <c r="C83" i="12" s="1"/>
  <c r="L82" i="12"/>
  <c r="B82" i="12"/>
  <c r="C82" i="12" s="1"/>
  <c r="L81" i="12"/>
  <c r="B81" i="12"/>
  <c r="C81" i="12" s="1"/>
  <c r="L80" i="12"/>
  <c r="B80" i="12"/>
  <c r="C80" i="12" s="1"/>
  <c r="L79" i="12"/>
  <c r="B79" i="12"/>
  <c r="C79" i="12" s="1"/>
  <c r="L78" i="12"/>
  <c r="B78" i="12"/>
  <c r="C78" i="12" s="1"/>
  <c r="L77" i="12"/>
  <c r="B77" i="12"/>
  <c r="C77" i="12" s="1"/>
  <c r="L76" i="12"/>
  <c r="B76" i="12"/>
  <c r="C76" i="12" s="1"/>
  <c r="L75" i="12"/>
  <c r="B75" i="12"/>
  <c r="C75" i="12" s="1"/>
  <c r="L74" i="12"/>
  <c r="B74" i="12"/>
  <c r="C74" i="12" s="1"/>
  <c r="L73" i="12"/>
  <c r="B73" i="12"/>
  <c r="C73" i="12" s="1"/>
  <c r="L72" i="12"/>
  <c r="B72" i="12"/>
  <c r="C72" i="12" s="1"/>
  <c r="L71" i="12"/>
  <c r="B71" i="12"/>
  <c r="C71" i="12" s="1"/>
  <c r="L70" i="12"/>
  <c r="B70" i="12"/>
  <c r="C70" i="12" s="1"/>
  <c r="L69" i="12"/>
  <c r="B69" i="12"/>
  <c r="C69" i="12" s="1"/>
  <c r="L68" i="12"/>
  <c r="B68" i="12"/>
  <c r="C68" i="12" s="1"/>
  <c r="L67" i="12"/>
  <c r="B67" i="12"/>
  <c r="C67" i="12" s="1"/>
  <c r="L66" i="12"/>
  <c r="B66" i="12"/>
  <c r="C66" i="12" s="1"/>
  <c r="L65" i="12"/>
  <c r="B65" i="12"/>
  <c r="C65" i="12" s="1"/>
  <c r="L64" i="12"/>
  <c r="B64" i="12"/>
  <c r="C64" i="12" s="1"/>
  <c r="L63" i="12"/>
  <c r="B63" i="12"/>
  <c r="C63" i="12" s="1"/>
  <c r="L62" i="12"/>
  <c r="B62" i="12"/>
  <c r="C62" i="12" s="1"/>
  <c r="L61" i="12"/>
  <c r="B61" i="12"/>
  <c r="C61" i="12" s="1"/>
  <c r="L60" i="12"/>
  <c r="B60" i="12"/>
  <c r="C60" i="12" s="1"/>
  <c r="L59" i="12"/>
  <c r="B59" i="12"/>
  <c r="C59" i="12" s="1"/>
  <c r="L58" i="12"/>
  <c r="B58" i="12"/>
  <c r="C58" i="12" s="1"/>
  <c r="L57" i="12"/>
  <c r="B57" i="12"/>
  <c r="C57" i="12" s="1"/>
  <c r="L56" i="12"/>
  <c r="B56" i="12"/>
  <c r="C56" i="12" s="1"/>
  <c r="L55" i="12"/>
  <c r="B55" i="12"/>
  <c r="C55" i="12" s="1"/>
  <c r="L54" i="12"/>
  <c r="B54" i="12"/>
  <c r="C54" i="12" s="1"/>
  <c r="L53" i="12"/>
  <c r="B53" i="12"/>
  <c r="C53" i="12" s="1"/>
  <c r="L52" i="12"/>
  <c r="B52" i="12"/>
  <c r="C52" i="12" s="1"/>
  <c r="L51" i="12"/>
  <c r="B51" i="12"/>
  <c r="C51" i="12" s="1"/>
  <c r="L50" i="12"/>
  <c r="B50" i="12"/>
  <c r="C50" i="12" s="1"/>
  <c r="L49" i="12"/>
  <c r="B49" i="12"/>
  <c r="C49" i="12" s="1"/>
  <c r="L48" i="12"/>
  <c r="B48" i="12"/>
  <c r="C48" i="12" s="1"/>
  <c r="L47" i="12"/>
  <c r="B47" i="12"/>
  <c r="C47" i="12" s="1"/>
  <c r="L46" i="12"/>
  <c r="B46" i="12"/>
  <c r="C46" i="12" s="1"/>
  <c r="L45" i="12"/>
  <c r="B45" i="12"/>
  <c r="C45" i="12" s="1"/>
  <c r="L44" i="12"/>
  <c r="B44" i="12"/>
  <c r="C44" i="12" s="1"/>
  <c r="L43" i="12"/>
  <c r="B43" i="12"/>
  <c r="C43" i="12" s="1"/>
  <c r="L42" i="12"/>
  <c r="B42" i="12"/>
  <c r="C42" i="12" s="1"/>
  <c r="L41" i="12"/>
  <c r="B41" i="12"/>
  <c r="C41" i="12" s="1"/>
  <c r="L40" i="12"/>
  <c r="B40" i="12"/>
  <c r="C40" i="12" s="1"/>
  <c r="L39" i="12"/>
  <c r="B39" i="12"/>
  <c r="C39" i="12" s="1"/>
  <c r="L38" i="12"/>
  <c r="B38" i="12"/>
  <c r="C38" i="12" s="1"/>
  <c r="L37" i="12"/>
  <c r="B37" i="12"/>
  <c r="C37" i="12" s="1"/>
  <c r="L36" i="12"/>
  <c r="B36" i="12"/>
  <c r="C36" i="12" s="1"/>
  <c r="L35" i="12"/>
  <c r="B35" i="12"/>
  <c r="C35" i="12" s="1"/>
  <c r="L34" i="12"/>
  <c r="B34" i="12"/>
  <c r="C34" i="12" s="1"/>
  <c r="L33" i="12"/>
  <c r="B33" i="12"/>
  <c r="C33" i="12" s="1"/>
  <c r="L32" i="12"/>
  <c r="B32" i="12"/>
  <c r="C32" i="12" s="1"/>
  <c r="L31" i="12"/>
  <c r="B31" i="12"/>
  <c r="C31" i="12" s="1"/>
  <c r="L30" i="12"/>
  <c r="B30" i="12"/>
  <c r="C30" i="12" s="1"/>
  <c r="L29" i="12"/>
  <c r="B29" i="12"/>
  <c r="C29" i="12" s="1"/>
  <c r="L28" i="12"/>
  <c r="B28" i="12"/>
  <c r="C28" i="12" s="1"/>
  <c r="L27" i="12"/>
  <c r="B27" i="12"/>
  <c r="C27" i="12" s="1"/>
  <c r="L26" i="12"/>
  <c r="B26" i="12"/>
  <c r="C26" i="12" s="1"/>
  <c r="L25" i="12"/>
  <c r="B25" i="12"/>
  <c r="C25" i="12" s="1"/>
  <c r="L24" i="12"/>
  <c r="B24" i="12"/>
  <c r="C24" i="12" s="1"/>
  <c r="L23" i="12"/>
  <c r="B23" i="12"/>
  <c r="C23" i="12" s="1"/>
  <c r="L22" i="12"/>
  <c r="B22" i="12"/>
  <c r="C22" i="12" s="1"/>
  <c r="L21" i="12"/>
  <c r="B21" i="12"/>
  <c r="C21" i="12" s="1"/>
  <c r="L20" i="12"/>
  <c r="B20" i="12"/>
  <c r="C20" i="12" s="1"/>
  <c r="L19" i="12"/>
  <c r="B19" i="12"/>
  <c r="C19" i="12" s="1"/>
  <c r="L18" i="12"/>
  <c r="B18" i="12"/>
  <c r="C18" i="12" s="1"/>
  <c r="L17" i="12"/>
  <c r="B17" i="12"/>
  <c r="C17" i="12" s="1"/>
  <c r="L16" i="12"/>
  <c r="B16" i="12"/>
  <c r="C16" i="12" s="1"/>
  <c r="L15" i="12"/>
  <c r="B15" i="12"/>
  <c r="C15" i="12" s="1"/>
  <c r="L14" i="12"/>
  <c r="B14" i="12"/>
  <c r="C14" i="12" s="1"/>
  <c r="L13" i="12"/>
  <c r="B13" i="12"/>
  <c r="C13" i="12" s="1"/>
  <c r="L12" i="12"/>
  <c r="B12" i="12"/>
  <c r="C12" i="12" s="1"/>
  <c r="L11" i="12"/>
  <c r="B11" i="12"/>
  <c r="C11" i="12" s="1"/>
  <c r="L10" i="12"/>
  <c r="B10" i="12"/>
  <c r="C10" i="12" s="1"/>
  <c r="L9" i="12"/>
  <c r="B9" i="12"/>
  <c r="D6" i="12"/>
  <c r="D5" i="12"/>
  <c r="D4" i="12"/>
  <c r="D3" i="12"/>
  <c r="L999" i="11"/>
  <c r="B999" i="11"/>
  <c r="C999" i="11" s="1"/>
  <c r="L998" i="11"/>
  <c r="B998" i="11"/>
  <c r="C998" i="11" s="1"/>
  <c r="L997" i="11"/>
  <c r="B997" i="11"/>
  <c r="C997" i="11" s="1"/>
  <c r="L996" i="11"/>
  <c r="B996" i="11"/>
  <c r="C996" i="11" s="1"/>
  <c r="L995" i="11"/>
  <c r="B995" i="11"/>
  <c r="C995" i="11" s="1"/>
  <c r="L994" i="11"/>
  <c r="B994" i="11"/>
  <c r="C994" i="11" s="1"/>
  <c r="L993" i="11"/>
  <c r="B993" i="11"/>
  <c r="C993" i="11" s="1"/>
  <c r="L992" i="11"/>
  <c r="B992" i="11"/>
  <c r="C992" i="11" s="1"/>
  <c r="L991" i="11"/>
  <c r="B991" i="11"/>
  <c r="C991" i="11" s="1"/>
  <c r="L990" i="11"/>
  <c r="B990" i="11"/>
  <c r="C990" i="11" s="1"/>
  <c r="L989" i="11"/>
  <c r="B989" i="11"/>
  <c r="C989" i="11" s="1"/>
  <c r="L988" i="11"/>
  <c r="B988" i="11"/>
  <c r="C988" i="11" s="1"/>
  <c r="L987" i="11"/>
  <c r="B987" i="11"/>
  <c r="C987" i="11" s="1"/>
  <c r="L986" i="11"/>
  <c r="B986" i="11"/>
  <c r="C986" i="11" s="1"/>
  <c r="L985" i="11"/>
  <c r="B985" i="11"/>
  <c r="C985" i="11" s="1"/>
  <c r="L984" i="11"/>
  <c r="B984" i="11"/>
  <c r="C984" i="11" s="1"/>
  <c r="L983" i="11"/>
  <c r="B983" i="11"/>
  <c r="C983" i="11" s="1"/>
  <c r="L982" i="11"/>
  <c r="B982" i="11"/>
  <c r="C982" i="11" s="1"/>
  <c r="L981" i="11"/>
  <c r="B981" i="11"/>
  <c r="C981" i="11" s="1"/>
  <c r="L980" i="11"/>
  <c r="B980" i="11"/>
  <c r="C980" i="11" s="1"/>
  <c r="L979" i="11"/>
  <c r="B979" i="11"/>
  <c r="C979" i="11" s="1"/>
  <c r="L978" i="11"/>
  <c r="B978" i="11"/>
  <c r="C978" i="11" s="1"/>
  <c r="L977" i="11"/>
  <c r="B977" i="11"/>
  <c r="C977" i="11" s="1"/>
  <c r="L976" i="11"/>
  <c r="B976" i="11"/>
  <c r="C976" i="11" s="1"/>
  <c r="L975" i="11"/>
  <c r="B975" i="11"/>
  <c r="C975" i="11" s="1"/>
  <c r="L974" i="11"/>
  <c r="B974" i="11"/>
  <c r="C974" i="11" s="1"/>
  <c r="L973" i="11"/>
  <c r="B973" i="11"/>
  <c r="C973" i="11" s="1"/>
  <c r="L972" i="11"/>
  <c r="B972" i="11"/>
  <c r="C972" i="11" s="1"/>
  <c r="L971" i="11"/>
  <c r="B971" i="11"/>
  <c r="C971" i="11" s="1"/>
  <c r="L970" i="11"/>
  <c r="B970" i="11"/>
  <c r="C970" i="11" s="1"/>
  <c r="L969" i="11"/>
  <c r="B969" i="11"/>
  <c r="C969" i="11" s="1"/>
  <c r="L968" i="11"/>
  <c r="B968" i="11"/>
  <c r="C968" i="11" s="1"/>
  <c r="L967" i="11"/>
  <c r="B967" i="11"/>
  <c r="C967" i="11" s="1"/>
  <c r="L966" i="11"/>
  <c r="B966" i="11"/>
  <c r="C966" i="11" s="1"/>
  <c r="L965" i="11"/>
  <c r="B965" i="11"/>
  <c r="C965" i="11" s="1"/>
  <c r="L964" i="11"/>
  <c r="B964" i="11"/>
  <c r="C964" i="11" s="1"/>
  <c r="L963" i="11"/>
  <c r="B963" i="11"/>
  <c r="C963" i="11" s="1"/>
  <c r="L962" i="11"/>
  <c r="B962" i="11"/>
  <c r="C962" i="11" s="1"/>
  <c r="L961" i="11"/>
  <c r="B961" i="11"/>
  <c r="C961" i="11" s="1"/>
  <c r="L960" i="11"/>
  <c r="B960" i="11"/>
  <c r="C960" i="11" s="1"/>
  <c r="L959" i="11"/>
  <c r="B959" i="11"/>
  <c r="C959" i="11" s="1"/>
  <c r="L958" i="11"/>
  <c r="B958" i="11"/>
  <c r="C958" i="11" s="1"/>
  <c r="L957" i="11"/>
  <c r="B957" i="11"/>
  <c r="C957" i="11" s="1"/>
  <c r="L956" i="11"/>
  <c r="B956" i="11"/>
  <c r="C956" i="11" s="1"/>
  <c r="L955" i="11"/>
  <c r="B955" i="11"/>
  <c r="C955" i="11" s="1"/>
  <c r="L954" i="11"/>
  <c r="B954" i="11"/>
  <c r="C954" i="11" s="1"/>
  <c r="L953" i="11"/>
  <c r="B953" i="11"/>
  <c r="C953" i="11" s="1"/>
  <c r="L952" i="11"/>
  <c r="B952" i="11"/>
  <c r="C952" i="11" s="1"/>
  <c r="L951" i="11"/>
  <c r="B951" i="11"/>
  <c r="C951" i="11" s="1"/>
  <c r="L950" i="11"/>
  <c r="B950" i="11"/>
  <c r="C950" i="11" s="1"/>
  <c r="L949" i="11"/>
  <c r="B949" i="11"/>
  <c r="C949" i="11" s="1"/>
  <c r="L948" i="11"/>
  <c r="B948" i="11"/>
  <c r="C948" i="11" s="1"/>
  <c r="L947" i="11"/>
  <c r="B947" i="11"/>
  <c r="C947" i="11" s="1"/>
  <c r="L946" i="11"/>
  <c r="B946" i="11"/>
  <c r="C946" i="11" s="1"/>
  <c r="L945" i="11"/>
  <c r="B945" i="11"/>
  <c r="C945" i="11" s="1"/>
  <c r="L944" i="11"/>
  <c r="B944" i="11"/>
  <c r="C944" i="11" s="1"/>
  <c r="L943" i="11"/>
  <c r="B943" i="11"/>
  <c r="C943" i="11" s="1"/>
  <c r="L942" i="11"/>
  <c r="B942" i="11"/>
  <c r="C942" i="11" s="1"/>
  <c r="L941" i="11"/>
  <c r="B941" i="11"/>
  <c r="C941" i="11" s="1"/>
  <c r="L940" i="11"/>
  <c r="B940" i="11"/>
  <c r="C940" i="11" s="1"/>
  <c r="L939" i="11"/>
  <c r="B939" i="11"/>
  <c r="C939" i="11" s="1"/>
  <c r="L938" i="11"/>
  <c r="B938" i="11"/>
  <c r="C938" i="11" s="1"/>
  <c r="L937" i="11"/>
  <c r="B937" i="11"/>
  <c r="C937" i="11" s="1"/>
  <c r="L936" i="11"/>
  <c r="B936" i="11"/>
  <c r="C936" i="11" s="1"/>
  <c r="L935" i="11"/>
  <c r="B935" i="11"/>
  <c r="C935" i="11" s="1"/>
  <c r="L934" i="11"/>
  <c r="B934" i="11"/>
  <c r="C934" i="11" s="1"/>
  <c r="L933" i="11"/>
  <c r="B933" i="11"/>
  <c r="C933" i="11" s="1"/>
  <c r="L932" i="11"/>
  <c r="B932" i="11"/>
  <c r="C932" i="11" s="1"/>
  <c r="L931" i="11"/>
  <c r="B931" i="11"/>
  <c r="C931" i="11" s="1"/>
  <c r="L930" i="11"/>
  <c r="B930" i="11"/>
  <c r="C930" i="11" s="1"/>
  <c r="L929" i="11"/>
  <c r="B929" i="11"/>
  <c r="C929" i="11" s="1"/>
  <c r="L928" i="11"/>
  <c r="B928" i="11"/>
  <c r="C928" i="11" s="1"/>
  <c r="L927" i="11"/>
  <c r="B927" i="11"/>
  <c r="C927" i="11" s="1"/>
  <c r="L926" i="11"/>
  <c r="B926" i="11"/>
  <c r="C926" i="11" s="1"/>
  <c r="L925" i="11"/>
  <c r="B925" i="11"/>
  <c r="C925" i="11" s="1"/>
  <c r="L924" i="11"/>
  <c r="B924" i="11"/>
  <c r="C924" i="11" s="1"/>
  <c r="L923" i="11"/>
  <c r="B923" i="11"/>
  <c r="C923" i="11" s="1"/>
  <c r="L922" i="11"/>
  <c r="B922" i="11"/>
  <c r="C922" i="11" s="1"/>
  <c r="L921" i="11"/>
  <c r="B921" i="11"/>
  <c r="C921" i="11" s="1"/>
  <c r="L920" i="11"/>
  <c r="B920" i="11"/>
  <c r="C920" i="11" s="1"/>
  <c r="L919" i="11"/>
  <c r="B919" i="11"/>
  <c r="C919" i="11" s="1"/>
  <c r="L918" i="11"/>
  <c r="B918" i="11"/>
  <c r="C918" i="11" s="1"/>
  <c r="L917" i="11"/>
  <c r="B917" i="11"/>
  <c r="C917" i="11" s="1"/>
  <c r="L916" i="11"/>
  <c r="B916" i="11"/>
  <c r="C916" i="11" s="1"/>
  <c r="L915" i="11"/>
  <c r="B915" i="11"/>
  <c r="C915" i="11" s="1"/>
  <c r="L914" i="11"/>
  <c r="B914" i="11"/>
  <c r="C914" i="11" s="1"/>
  <c r="L913" i="11"/>
  <c r="B913" i="11"/>
  <c r="C913" i="11" s="1"/>
  <c r="L912" i="11"/>
  <c r="B912" i="11"/>
  <c r="C912" i="11" s="1"/>
  <c r="L911" i="11"/>
  <c r="B911" i="11"/>
  <c r="C911" i="11" s="1"/>
  <c r="L910" i="11"/>
  <c r="B910" i="11"/>
  <c r="C910" i="11" s="1"/>
  <c r="L909" i="11"/>
  <c r="B909" i="11"/>
  <c r="C909" i="11" s="1"/>
  <c r="L908" i="11"/>
  <c r="B908" i="11"/>
  <c r="C908" i="11" s="1"/>
  <c r="L907" i="11"/>
  <c r="B907" i="11"/>
  <c r="C907" i="11" s="1"/>
  <c r="L906" i="11"/>
  <c r="B906" i="11"/>
  <c r="C906" i="11" s="1"/>
  <c r="L905" i="11"/>
  <c r="B905" i="11"/>
  <c r="C905" i="11" s="1"/>
  <c r="L904" i="11"/>
  <c r="B904" i="11"/>
  <c r="C904" i="11" s="1"/>
  <c r="L903" i="11"/>
  <c r="B903" i="11"/>
  <c r="C903" i="11" s="1"/>
  <c r="L902" i="11"/>
  <c r="B902" i="11"/>
  <c r="C902" i="11" s="1"/>
  <c r="L901" i="11"/>
  <c r="B901" i="11"/>
  <c r="C901" i="11" s="1"/>
  <c r="L900" i="11"/>
  <c r="B900" i="11"/>
  <c r="C900" i="11" s="1"/>
  <c r="L899" i="11"/>
  <c r="B899" i="11"/>
  <c r="C899" i="11" s="1"/>
  <c r="L898" i="11"/>
  <c r="B898" i="11"/>
  <c r="C898" i="11" s="1"/>
  <c r="L897" i="11"/>
  <c r="B897" i="11"/>
  <c r="C897" i="11" s="1"/>
  <c r="L896" i="11"/>
  <c r="B896" i="11"/>
  <c r="C896" i="11" s="1"/>
  <c r="L895" i="11"/>
  <c r="B895" i="11"/>
  <c r="C895" i="11" s="1"/>
  <c r="L894" i="11"/>
  <c r="B894" i="11"/>
  <c r="C894" i="11" s="1"/>
  <c r="L893" i="11"/>
  <c r="B893" i="11"/>
  <c r="C893" i="11" s="1"/>
  <c r="L892" i="11"/>
  <c r="B892" i="11"/>
  <c r="C892" i="11" s="1"/>
  <c r="L891" i="11"/>
  <c r="B891" i="11"/>
  <c r="C891" i="11" s="1"/>
  <c r="L890" i="11"/>
  <c r="B890" i="11"/>
  <c r="C890" i="11" s="1"/>
  <c r="L889" i="11"/>
  <c r="B889" i="11"/>
  <c r="C889" i="11" s="1"/>
  <c r="L888" i="11"/>
  <c r="B888" i="11"/>
  <c r="C888" i="11" s="1"/>
  <c r="L887" i="11"/>
  <c r="B887" i="11"/>
  <c r="C887" i="11" s="1"/>
  <c r="L886" i="11"/>
  <c r="B886" i="11"/>
  <c r="C886" i="11" s="1"/>
  <c r="L885" i="11"/>
  <c r="B885" i="11"/>
  <c r="C885" i="11" s="1"/>
  <c r="L884" i="11"/>
  <c r="B884" i="11"/>
  <c r="C884" i="11" s="1"/>
  <c r="L883" i="11"/>
  <c r="B883" i="11"/>
  <c r="C883" i="11" s="1"/>
  <c r="L882" i="11"/>
  <c r="B882" i="11"/>
  <c r="C882" i="11" s="1"/>
  <c r="L881" i="11"/>
  <c r="B881" i="11"/>
  <c r="C881" i="11" s="1"/>
  <c r="L880" i="11"/>
  <c r="B880" i="11"/>
  <c r="C880" i="11" s="1"/>
  <c r="L879" i="11"/>
  <c r="B879" i="11"/>
  <c r="C879" i="11" s="1"/>
  <c r="L878" i="11"/>
  <c r="B878" i="11"/>
  <c r="C878" i="11" s="1"/>
  <c r="L877" i="11"/>
  <c r="B877" i="11"/>
  <c r="C877" i="11" s="1"/>
  <c r="L876" i="11"/>
  <c r="B876" i="11"/>
  <c r="C876" i="11" s="1"/>
  <c r="L875" i="11"/>
  <c r="B875" i="11"/>
  <c r="C875" i="11" s="1"/>
  <c r="L874" i="11"/>
  <c r="B874" i="11"/>
  <c r="C874" i="11" s="1"/>
  <c r="L873" i="11"/>
  <c r="B873" i="11"/>
  <c r="C873" i="11" s="1"/>
  <c r="L872" i="11"/>
  <c r="B872" i="11"/>
  <c r="C872" i="11" s="1"/>
  <c r="L871" i="11"/>
  <c r="B871" i="11"/>
  <c r="C871" i="11" s="1"/>
  <c r="L870" i="11"/>
  <c r="B870" i="11"/>
  <c r="C870" i="11" s="1"/>
  <c r="L869" i="11"/>
  <c r="B869" i="11"/>
  <c r="C869" i="11" s="1"/>
  <c r="L868" i="11"/>
  <c r="B868" i="11"/>
  <c r="C868" i="11" s="1"/>
  <c r="L867" i="11"/>
  <c r="B867" i="11"/>
  <c r="C867" i="11" s="1"/>
  <c r="L866" i="11"/>
  <c r="B866" i="11"/>
  <c r="C866" i="11" s="1"/>
  <c r="L865" i="11"/>
  <c r="B865" i="11"/>
  <c r="C865" i="11" s="1"/>
  <c r="L864" i="11"/>
  <c r="B864" i="11"/>
  <c r="C864" i="11" s="1"/>
  <c r="L863" i="11"/>
  <c r="B863" i="11"/>
  <c r="C863" i="11" s="1"/>
  <c r="L862" i="11"/>
  <c r="B862" i="11"/>
  <c r="C862" i="11" s="1"/>
  <c r="L861" i="11"/>
  <c r="B861" i="11"/>
  <c r="C861" i="11" s="1"/>
  <c r="L860" i="11"/>
  <c r="B860" i="11"/>
  <c r="C860" i="11" s="1"/>
  <c r="L859" i="11"/>
  <c r="B859" i="11"/>
  <c r="C859" i="11" s="1"/>
  <c r="L858" i="11"/>
  <c r="B858" i="11"/>
  <c r="C858" i="11" s="1"/>
  <c r="L857" i="11"/>
  <c r="B857" i="11"/>
  <c r="C857" i="11" s="1"/>
  <c r="L856" i="11"/>
  <c r="B856" i="11"/>
  <c r="C856" i="11" s="1"/>
  <c r="L855" i="11"/>
  <c r="B855" i="11"/>
  <c r="C855" i="11" s="1"/>
  <c r="L854" i="11"/>
  <c r="B854" i="11"/>
  <c r="C854" i="11" s="1"/>
  <c r="L853" i="11"/>
  <c r="B853" i="11"/>
  <c r="C853" i="11" s="1"/>
  <c r="L852" i="11"/>
  <c r="B852" i="11"/>
  <c r="C852" i="11" s="1"/>
  <c r="L851" i="11"/>
  <c r="B851" i="11"/>
  <c r="C851" i="11" s="1"/>
  <c r="L850" i="11"/>
  <c r="B850" i="11"/>
  <c r="C850" i="11" s="1"/>
  <c r="L849" i="11"/>
  <c r="B849" i="11"/>
  <c r="C849" i="11" s="1"/>
  <c r="L848" i="11"/>
  <c r="B848" i="11"/>
  <c r="C848" i="11" s="1"/>
  <c r="L847" i="11"/>
  <c r="B847" i="11"/>
  <c r="C847" i="11" s="1"/>
  <c r="L846" i="11"/>
  <c r="B846" i="11"/>
  <c r="C846" i="11" s="1"/>
  <c r="L845" i="11"/>
  <c r="B845" i="11"/>
  <c r="C845" i="11" s="1"/>
  <c r="L844" i="11"/>
  <c r="B844" i="11"/>
  <c r="C844" i="11" s="1"/>
  <c r="L843" i="11"/>
  <c r="B843" i="11"/>
  <c r="C843" i="11" s="1"/>
  <c r="L842" i="11"/>
  <c r="B842" i="11"/>
  <c r="C842" i="11" s="1"/>
  <c r="L841" i="11"/>
  <c r="B841" i="11"/>
  <c r="C841" i="11" s="1"/>
  <c r="L840" i="11"/>
  <c r="B840" i="11"/>
  <c r="C840" i="11" s="1"/>
  <c r="L839" i="11"/>
  <c r="B839" i="11"/>
  <c r="C839" i="11" s="1"/>
  <c r="L838" i="11"/>
  <c r="B838" i="11"/>
  <c r="C838" i="11" s="1"/>
  <c r="L837" i="11"/>
  <c r="B837" i="11"/>
  <c r="C837" i="11" s="1"/>
  <c r="L836" i="11"/>
  <c r="B836" i="11"/>
  <c r="C836" i="11" s="1"/>
  <c r="L835" i="11"/>
  <c r="B835" i="11"/>
  <c r="C835" i="11" s="1"/>
  <c r="L834" i="11"/>
  <c r="B834" i="11"/>
  <c r="C834" i="11" s="1"/>
  <c r="L833" i="11"/>
  <c r="B833" i="11"/>
  <c r="C833" i="11" s="1"/>
  <c r="L832" i="11"/>
  <c r="B832" i="11"/>
  <c r="C832" i="11" s="1"/>
  <c r="L831" i="11"/>
  <c r="B831" i="11"/>
  <c r="C831" i="11" s="1"/>
  <c r="L830" i="11"/>
  <c r="B830" i="11"/>
  <c r="C830" i="11" s="1"/>
  <c r="L829" i="11"/>
  <c r="B829" i="11"/>
  <c r="C829" i="11" s="1"/>
  <c r="L828" i="11"/>
  <c r="B828" i="11"/>
  <c r="C828" i="11" s="1"/>
  <c r="L827" i="11"/>
  <c r="B827" i="11"/>
  <c r="C827" i="11" s="1"/>
  <c r="L826" i="11"/>
  <c r="B826" i="11"/>
  <c r="C826" i="11" s="1"/>
  <c r="L825" i="11"/>
  <c r="B825" i="11"/>
  <c r="C825" i="11" s="1"/>
  <c r="L824" i="11"/>
  <c r="B824" i="11"/>
  <c r="C824" i="11" s="1"/>
  <c r="L823" i="11"/>
  <c r="B823" i="11"/>
  <c r="C823" i="11" s="1"/>
  <c r="L822" i="11"/>
  <c r="B822" i="11"/>
  <c r="C822" i="11" s="1"/>
  <c r="L821" i="11"/>
  <c r="B821" i="11"/>
  <c r="C821" i="11" s="1"/>
  <c r="L820" i="11"/>
  <c r="B820" i="11"/>
  <c r="C820" i="11" s="1"/>
  <c r="L819" i="11"/>
  <c r="B819" i="11"/>
  <c r="C819" i="11" s="1"/>
  <c r="L818" i="11"/>
  <c r="B818" i="11"/>
  <c r="C818" i="11" s="1"/>
  <c r="L817" i="11"/>
  <c r="B817" i="11"/>
  <c r="C817" i="11" s="1"/>
  <c r="L816" i="11"/>
  <c r="B816" i="11"/>
  <c r="C816" i="11" s="1"/>
  <c r="L815" i="11"/>
  <c r="B815" i="11"/>
  <c r="C815" i="11" s="1"/>
  <c r="L814" i="11"/>
  <c r="B814" i="11"/>
  <c r="C814" i="11" s="1"/>
  <c r="L813" i="11"/>
  <c r="B813" i="11"/>
  <c r="C813" i="11" s="1"/>
  <c r="L812" i="11"/>
  <c r="B812" i="11"/>
  <c r="C812" i="11" s="1"/>
  <c r="L811" i="11"/>
  <c r="B811" i="11"/>
  <c r="C811" i="11" s="1"/>
  <c r="L810" i="11"/>
  <c r="B810" i="11"/>
  <c r="C810" i="11" s="1"/>
  <c r="L809" i="11"/>
  <c r="B809" i="11"/>
  <c r="C809" i="11" s="1"/>
  <c r="L808" i="11"/>
  <c r="B808" i="11"/>
  <c r="C808" i="11" s="1"/>
  <c r="L807" i="11"/>
  <c r="B807" i="11"/>
  <c r="C807" i="11" s="1"/>
  <c r="L806" i="11"/>
  <c r="B806" i="11"/>
  <c r="C806" i="11" s="1"/>
  <c r="L805" i="11"/>
  <c r="B805" i="11"/>
  <c r="C805" i="11" s="1"/>
  <c r="L804" i="11"/>
  <c r="B804" i="11"/>
  <c r="C804" i="11" s="1"/>
  <c r="L803" i="11"/>
  <c r="B803" i="11"/>
  <c r="C803" i="11" s="1"/>
  <c r="L802" i="11"/>
  <c r="B802" i="11"/>
  <c r="C802" i="11" s="1"/>
  <c r="L801" i="11"/>
  <c r="B801" i="11"/>
  <c r="C801" i="11" s="1"/>
  <c r="L800" i="11"/>
  <c r="B800" i="11"/>
  <c r="C800" i="11" s="1"/>
  <c r="L799" i="11"/>
  <c r="B799" i="11"/>
  <c r="C799" i="11" s="1"/>
  <c r="L798" i="11"/>
  <c r="B798" i="11"/>
  <c r="C798" i="11" s="1"/>
  <c r="L797" i="11"/>
  <c r="B797" i="11"/>
  <c r="C797" i="11" s="1"/>
  <c r="L796" i="11"/>
  <c r="B796" i="11"/>
  <c r="C796" i="11" s="1"/>
  <c r="L795" i="11"/>
  <c r="B795" i="11"/>
  <c r="C795" i="11" s="1"/>
  <c r="L794" i="11"/>
  <c r="B794" i="11"/>
  <c r="C794" i="11" s="1"/>
  <c r="L793" i="11"/>
  <c r="B793" i="11"/>
  <c r="C793" i="11" s="1"/>
  <c r="L792" i="11"/>
  <c r="B792" i="11"/>
  <c r="C792" i="11" s="1"/>
  <c r="L791" i="11"/>
  <c r="B791" i="11"/>
  <c r="C791" i="11" s="1"/>
  <c r="L790" i="11"/>
  <c r="B790" i="11"/>
  <c r="C790" i="11" s="1"/>
  <c r="L789" i="11"/>
  <c r="B789" i="11"/>
  <c r="C789" i="11" s="1"/>
  <c r="L788" i="11"/>
  <c r="B788" i="11"/>
  <c r="C788" i="11" s="1"/>
  <c r="L787" i="11"/>
  <c r="B787" i="11"/>
  <c r="C787" i="11" s="1"/>
  <c r="L786" i="11"/>
  <c r="B786" i="11"/>
  <c r="C786" i="11" s="1"/>
  <c r="L785" i="11"/>
  <c r="B785" i="11"/>
  <c r="C785" i="11" s="1"/>
  <c r="L784" i="11"/>
  <c r="B784" i="11"/>
  <c r="C784" i="11" s="1"/>
  <c r="L783" i="11"/>
  <c r="B783" i="11"/>
  <c r="C783" i="11" s="1"/>
  <c r="L782" i="11"/>
  <c r="B782" i="11"/>
  <c r="C782" i="11" s="1"/>
  <c r="L781" i="11"/>
  <c r="B781" i="11"/>
  <c r="C781" i="11" s="1"/>
  <c r="L780" i="11"/>
  <c r="B780" i="11"/>
  <c r="C780" i="11" s="1"/>
  <c r="L779" i="11"/>
  <c r="B779" i="11"/>
  <c r="C779" i="11" s="1"/>
  <c r="L778" i="11"/>
  <c r="B778" i="11"/>
  <c r="C778" i="11" s="1"/>
  <c r="L777" i="11"/>
  <c r="B777" i="11"/>
  <c r="C777" i="11" s="1"/>
  <c r="L776" i="11"/>
  <c r="B776" i="11"/>
  <c r="C776" i="11" s="1"/>
  <c r="L775" i="11"/>
  <c r="B775" i="11"/>
  <c r="C775" i="11" s="1"/>
  <c r="L774" i="11"/>
  <c r="B774" i="11"/>
  <c r="C774" i="11" s="1"/>
  <c r="L773" i="11"/>
  <c r="B773" i="11"/>
  <c r="C773" i="11" s="1"/>
  <c r="L772" i="11"/>
  <c r="B772" i="11"/>
  <c r="C772" i="11" s="1"/>
  <c r="L771" i="11"/>
  <c r="B771" i="11"/>
  <c r="C771" i="11" s="1"/>
  <c r="L770" i="11"/>
  <c r="B770" i="11"/>
  <c r="C770" i="11" s="1"/>
  <c r="L769" i="11"/>
  <c r="B769" i="11"/>
  <c r="C769" i="11" s="1"/>
  <c r="L768" i="11"/>
  <c r="B768" i="11"/>
  <c r="C768" i="11" s="1"/>
  <c r="L767" i="11"/>
  <c r="B767" i="11"/>
  <c r="C767" i="11" s="1"/>
  <c r="L766" i="11"/>
  <c r="B766" i="11"/>
  <c r="C766" i="11" s="1"/>
  <c r="L765" i="11"/>
  <c r="B765" i="11"/>
  <c r="C765" i="11" s="1"/>
  <c r="L764" i="11"/>
  <c r="B764" i="11"/>
  <c r="C764" i="11" s="1"/>
  <c r="L763" i="11"/>
  <c r="B763" i="11"/>
  <c r="C763" i="11" s="1"/>
  <c r="L762" i="11"/>
  <c r="B762" i="11"/>
  <c r="C762" i="11" s="1"/>
  <c r="L761" i="11"/>
  <c r="B761" i="11"/>
  <c r="C761" i="11" s="1"/>
  <c r="L760" i="11"/>
  <c r="B760" i="11"/>
  <c r="C760" i="11" s="1"/>
  <c r="L759" i="11"/>
  <c r="B759" i="11"/>
  <c r="C759" i="11" s="1"/>
  <c r="L758" i="11"/>
  <c r="B758" i="11"/>
  <c r="C758" i="11" s="1"/>
  <c r="L757" i="11"/>
  <c r="B757" i="11"/>
  <c r="C757" i="11" s="1"/>
  <c r="L756" i="11"/>
  <c r="B756" i="11"/>
  <c r="C756" i="11" s="1"/>
  <c r="L755" i="11"/>
  <c r="B755" i="11"/>
  <c r="C755" i="11" s="1"/>
  <c r="L754" i="11"/>
  <c r="B754" i="11"/>
  <c r="C754" i="11" s="1"/>
  <c r="L753" i="11"/>
  <c r="B753" i="11"/>
  <c r="C753" i="11" s="1"/>
  <c r="L752" i="11"/>
  <c r="B752" i="11"/>
  <c r="C752" i="11" s="1"/>
  <c r="L751" i="11"/>
  <c r="B751" i="11"/>
  <c r="C751" i="11" s="1"/>
  <c r="L750" i="11"/>
  <c r="B750" i="11"/>
  <c r="C750" i="11" s="1"/>
  <c r="L749" i="11"/>
  <c r="B749" i="11"/>
  <c r="C749" i="11" s="1"/>
  <c r="L748" i="11"/>
  <c r="B748" i="11"/>
  <c r="C748" i="11" s="1"/>
  <c r="L747" i="11"/>
  <c r="B747" i="11"/>
  <c r="C747" i="11" s="1"/>
  <c r="L746" i="11"/>
  <c r="B746" i="11"/>
  <c r="C746" i="11" s="1"/>
  <c r="L745" i="11"/>
  <c r="B745" i="11"/>
  <c r="C745" i="11" s="1"/>
  <c r="L744" i="11"/>
  <c r="B744" i="11"/>
  <c r="C744" i="11" s="1"/>
  <c r="L743" i="11"/>
  <c r="B743" i="11"/>
  <c r="C743" i="11" s="1"/>
  <c r="L742" i="11"/>
  <c r="B742" i="11"/>
  <c r="C742" i="11" s="1"/>
  <c r="L741" i="11"/>
  <c r="B741" i="11"/>
  <c r="C741" i="11" s="1"/>
  <c r="L740" i="11"/>
  <c r="B740" i="11"/>
  <c r="C740" i="11" s="1"/>
  <c r="L739" i="11"/>
  <c r="B739" i="11"/>
  <c r="C739" i="11" s="1"/>
  <c r="L738" i="11"/>
  <c r="B738" i="11"/>
  <c r="C738" i="11" s="1"/>
  <c r="L737" i="11"/>
  <c r="B737" i="11"/>
  <c r="C737" i="11" s="1"/>
  <c r="L736" i="11"/>
  <c r="B736" i="11"/>
  <c r="C736" i="11" s="1"/>
  <c r="L735" i="11"/>
  <c r="B735" i="11"/>
  <c r="C735" i="11" s="1"/>
  <c r="L734" i="11"/>
  <c r="B734" i="11"/>
  <c r="C734" i="11" s="1"/>
  <c r="L733" i="11"/>
  <c r="B733" i="11"/>
  <c r="C733" i="11" s="1"/>
  <c r="L732" i="11"/>
  <c r="B732" i="11"/>
  <c r="C732" i="11" s="1"/>
  <c r="L731" i="11"/>
  <c r="B731" i="11"/>
  <c r="C731" i="11" s="1"/>
  <c r="L730" i="11"/>
  <c r="B730" i="11"/>
  <c r="C730" i="11" s="1"/>
  <c r="L729" i="11"/>
  <c r="B729" i="11"/>
  <c r="C729" i="11" s="1"/>
  <c r="L728" i="11"/>
  <c r="B728" i="11"/>
  <c r="C728" i="11" s="1"/>
  <c r="L727" i="11"/>
  <c r="B727" i="11"/>
  <c r="C727" i="11" s="1"/>
  <c r="L726" i="11"/>
  <c r="B726" i="11"/>
  <c r="C726" i="11" s="1"/>
  <c r="L725" i="11"/>
  <c r="B725" i="11"/>
  <c r="C725" i="11" s="1"/>
  <c r="L724" i="11"/>
  <c r="B724" i="11"/>
  <c r="C724" i="11" s="1"/>
  <c r="L723" i="11"/>
  <c r="B723" i="11"/>
  <c r="C723" i="11" s="1"/>
  <c r="L722" i="11"/>
  <c r="B722" i="11"/>
  <c r="C722" i="11" s="1"/>
  <c r="L721" i="11"/>
  <c r="B721" i="11"/>
  <c r="C721" i="11" s="1"/>
  <c r="L720" i="11"/>
  <c r="B720" i="11"/>
  <c r="C720" i="11" s="1"/>
  <c r="L719" i="11"/>
  <c r="B719" i="11"/>
  <c r="C719" i="11" s="1"/>
  <c r="L718" i="11"/>
  <c r="B718" i="11"/>
  <c r="C718" i="11" s="1"/>
  <c r="L717" i="11"/>
  <c r="B717" i="11"/>
  <c r="C717" i="11" s="1"/>
  <c r="L716" i="11"/>
  <c r="B716" i="11"/>
  <c r="C716" i="11" s="1"/>
  <c r="L715" i="11"/>
  <c r="B715" i="11"/>
  <c r="C715" i="11" s="1"/>
  <c r="L714" i="11"/>
  <c r="B714" i="11"/>
  <c r="C714" i="11" s="1"/>
  <c r="L713" i="11"/>
  <c r="B713" i="11"/>
  <c r="C713" i="11" s="1"/>
  <c r="L712" i="11"/>
  <c r="B712" i="11"/>
  <c r="C712" i="11" s="1"/>
  <c r="L711" i="11"/>
  <c r="B711" i="11"/>
  <c r="C711" i="11" s="1"/>
  <c r="L710" i="11"/>
  <c r="B710" i="11"/>
  <c r="C710" i="11" s="1"/>
  <c r="L709" i="11"/>
  <c r="B709" i="11"/>
  <c r="C709" i="11" s="1"/>
  <c r="L708" i="11"/>
  <c r="B708" i="11"/>
  <c r="C708" i="11" s="1"/>
  <c r="L707" i="11"/>
  <c r="B707" i="11"/>
  <c r="C707" i="11" s="1"/>
  <c r="L706" i="11"/>
  <c r="B706" i="11"/>
  <c r="C706" i="11" s="1"/>
  <c r="L705" i="11"/>
  <c r="B705" i="11"/>
  <c r="C705" i="11" s="1"/>
  <c r="L704" i="11"/>
  <c r="B704" i="11"/>
  <c r="C704" i="11" s="1"/>
  <c r="L703" i="11"/>
  <c r="B703" i="11"/>
  <c r="C703" i="11" s="1"/>
  <c r="L702" i="11"/>
  <c r="B702" i="11"/>
  <c r="C702" i="11" s="1"/>
  <c r="L701" i="11"/>
  <c r="B701" i="11"/>
  <c r="C701" i="11" s="1"/>
  <c r="L700" i="11"/>
  <c r="B700" i="11"/>
  <c r="C700" i="11" s="1"/>
  <c r="L699" i="11"/>
  <c r="B699" i="11"/>
  <c r="C699" i="11" s="1"/>
  <c r="L698" i="11"/>
  <c r="B698" i="11"/>
  <c r="C698" i="11" s="1"/>
  <c r="L697" i="11"/>
  <c r="B697" i="11"/>
  <c r="C697" i="11" s="1"/>
  <c r="L696" i="11"/>
  <c r="B696" i="11"/>
  <c r="C696" i="11" s="1"/>
  <c r="L695" i="11"/>
  <c r="B695" i="11"/>
  <c r="C695" i="11" s="1"/>
  <c r="L694" i="11"/>
  <c r="B694" i="11"/>
  <c r="C694" i="11" s="1"/>
  <c r="L693" i="11"/>
  <c r="B693" i="11"/>
  <c r="C693" i="11" s="1"/>
  <c r="L692" i="11"/>
  <c r="B692" i="11"/>
  <c r="C692" i="11" s="1"/>
  <c r="L691" i="11"/>
  <c r="B691" i="11"/>
  <c r="C691" i="11" s="1"/>
  <c r="L690" i="11"/>
  <c r="B690" i="11"/>
  <c r="C690" i="11" s="1"/>
  <c r="L689" i="11"/>
  <c r="B689" i="11"/>
  <c r="C689" i="11" s="1"/>
  <c r="L688" i="11"/>
  <c r="B688" i="11"/>
  <c r="C688" i="11" s="1"/>
  <c r="L687" i="11"/>
  <c r="B687" i="11"/>
  <c r="C687" i="11" s="1"/>
  <c r="L686" i="11"/>
  <c r="B686" i="11"/>
  <c r="C686" i="11" s="1"/>
  <c r="L685" i="11"/>
  <c r="B685" i="11"/>
  <c r="C685" i="11" s="1"/>
  <c r="L684" i="11"/>
  <c r="B684" i="11"/>
  <c r="C684" i="11" s="1"/>
  <c r="L683" i="11"/>
  <c r="B683" i="11"/>
  <c r="C683" i="11" s="1"/>
  <c r="L682" i="11"/>
  <c r="B682" i="11"/>
  <c r="C682" i="11" s="1"/>
  <c r="L681" i="11"/>
  <c r="B681" i="11"/>
  <c r="C681" i="11" s="1"/>
  <c r="L680" i="11"/>
  <c r="B680" i="11"/>
  <c r="C680" i="11" s="1"/>
  <c r="L679" i="11"/>
  <c r="B679" i="11"/>
  <c r="C679" i="11" s="1"/>
  <c r="L678" i="11"/>
  <c r="B678" i="11"/>
  <c r="C678" i="11" s="1"/>
  <c r="L677" i="11"/>
  <c r="B677" i="11"/>
  <c r="C677" i="11" s="1"/>
  <c r="L676" i="11"/>
  <c r="B676" i="11"/>
  <c r="C676" i="11" s="1"/>
  <c r="L675" i="11"/>
  <c r="B675" i="11"/>
  <c r="C675" i="11" s="1"/>
  <c r="L674" i="11"/>
  <c r="B674" i="11"/>
  <c r="C674" i="11" s="1"/>
  <c r="L673" i="11"/>
  <c r="B673" i="11"/>
  <c r="C673" i="11" s="1"/>
  <c r="L672" i="11"/>
  <c r="B672" i="11"/>
  <c r="C672" i="11" s="1"/>
  <c r="L671" i="11"/>
  <c r="B671" i="11"/>
  <c r="C671" i="11" s="1"/>
  <c r="L670" i="11"/>
  <c r="B670" i="11"/>
  <c r="C670" i="11" s="1"/>
  <c r="L669" i="11"/>
  <c r="B669" i="11"/>
  <c r="C669" i="11" s="1"/>
  <c r="L668" i="11"/>
  <c r="B668" i="11"/>
  <c r="C668" i="11" s="1"/>
  <c r="L667" i="11"/>
  <c r="B667" i="11"/>
  <c r="C667" i="11" s="1"/>
  <c r="L666" i="11"/>
  <c r="B666" i="11"/>
  <c r="C666" i="11" s="1"/>
  <c r="L665" i="11"/>
  <c r="B665" i="11"/>
  <c r="C665" i="11" s="1"/>
  <c r="L664" i="11"/>
  <c r="B664" i="11"/>
  <c r="C664" i="11" s="1"/>
  <c r="L663" i="11"/>
  <c r="B663" i="11"/>
  <c r="C663" i="11" s="1"/>
  <c r="L662" i="11"/>
  <c r="B662" i="11"/>
  <c r="C662" i="11" s="1"/>
  <c r="L661" i="11"/>
  <c r="B661" i="11"/>
  <c r="C661" i="11" s="1"/>
  <c r="L660" i="11"/>
  <c r="B660" i="11"/>
  <c r="C660" i="11" s="1"/>
  <c r="L659" i="11"/>
  <c r="B659" i="11"/>
  <c r="C659" i="11" s="1"/>
  <c r="L658" i="11"/>
  <c r="B658" i="11"/>
  <c r="C658" i="11" s="1"/>
  <c r="L657" i="11"/>
  <c r="B657" i="11"/>
  <c r="C657" i="11" s="1"/>
  <c r="L656" i="11"/>
  <c r="B656" i="11"/>
  <c r="C656" i="11" s="1"/>
  <c r="L655" i="11"/>
  <c r="B655" i="11"/>
  <c r="C655" i="11" s="1"/>
  <c r="L654" i="11"/>
  <c r="B654" i="11"/>
  <c r="C654" i="11" s="1"/>
  <c r="L653" i="11"/>
  <c r="B653" i="11"/>
  <c r="C653" i="11" s="1"/>
  <c r="L652" i="11"/>
  <c r="B652" i="11"/>
  <c r="C652" i="11" s="1"/>
  <c r="L651" i="11"/>
  <c r="B651" i="11"/>
  <c r="C651" i="11" s="1"/>
  <c r="L650" i="11"/>
  <c r="B650" i="11"/>
  <c r="C650" i="11" s="1"/>
  <c r="L649" i="11"/>
  <c r="B649" i="11"/>
  <c r="C649" i="11" s="1"/>
  <c r="L648" i="11"/>
  <c r="B648" i="11"/>
  <c r="C648" i="11" s="1"/>
  <c r="L647" i="11"/>
  <c r="B647" i="11"/>
  <c r="C647" i="11" s="1"/>
  <c r="L646" i="11"/>
  <c r="B646" i="11"/>
  <c r="C646" i="11" s="1"/>
  <c r="L645" i="11"/>
  <c r="B645" i="11"/>
  <c r="C645" i="11" s="1"/>
  <c r="L644" i="11"/>
  <c r="B644" i="11"/>
  <c r="C644" i="11" s="1"/>
  <c r="L643" i="11"/>
  <c r="B643" i="11"/>
  <c r="C643" i="11" s="1"/>
  <c r="L642" i="11"/>
  <c r="B642" i="11"/>
  <c r="C642" i="11" s="1"/>
  <c r="L641" i="11"/>
  <c r="B641" i="11"/>
  <c r="C641" i="11" s="1"/>
  <c r="L640" i="11"/>
  <c r="B640" i="11"/>
  <c r="C640" i="11" s="1"/>
  <c r="L639" i="11"/>
  <c r="B639" i="11"/>
  <c r="C639" i="11" s="1"/>
  <c r="L638" i="11"/>
  <c r="B638" i="11"/>
  <c r="C638" i="11" s="1"/>
  <c r="L637" i="11"/>
  <c r="B637" i="11"/>
  <c r="C637" i="11" s="1"/>
  <c r="L636" i="11"/>
  <c r="B636" i="11"/>
  <c r="C636" i="11" s="1"/>
  <c r="L635" i="11"/>
  <c r="B635" i="11"/>
  <c r="C635" i="11" s="1"/>
  <c r="L634" i="11"/>
  <c r="B634" i="11"/>
  <c r="C634" i="11" s="1"/>
  <c r="L633" i="11"/>
  <c r="B633" i="11"/>
  <c r="C633" i="11" s="1"/>
  <c r="L632" i="11"/>
  <c r="B632" i="11"/>
  <c r="C632" i="11" s="1"/>
  <c r="L631" i="11"/>
  <c r="B631" i="11"/>
  <c r="C631" i="11" s="1"/>
  <c r="L630" i="11"/>
  <c r="B630" i="11"/>
  <c r="C630" i="11" s="1"/>
  <c r="L629" i="11"/>
  <c r="B629" i="11"/>
  <c r="C629" i="11" s="1"/>
  <c r="L628" i="11"/>
  <c r="B628" i="11"/>
  <c r="C628" i="11" s="1"/>
  <c r="L627" i="11"/>
  <c r="B627" i="11"/>
  <c r="C627" i="11" s="1"/>
  <c r="L626" i="11"/>
  <c r="B626" i="11"/>
  <c r="C626" i="11" s="1"/>
  <c r="L625" i="11"/>
  <c r="B625" i="11"/>
  <c r="C625" i="11" s="1"/>
  <c r="L624" i="11"/>
  <c r="B624" i="11"/>
  <c r="C624" i="11" s="1"/>
  <c r="L623" i="11"/>
  <c r="B623" i="11"/>
  <c r="C623" i="11" s="1"/>
  <c r="L622" i="11"/>
  <c r="B622" i="11"/>
  <c r="C622" i="11" s="1"/>
  <c r="L621" i="11"/>
  <c r="B621" i="11"/>
  <c r="C621" i="11" s="1"/>
  <c r="L620" i="11"/>
  <c r="B620" i="11"/>
  <c r="C620" i="11" s="1"/>
  <c r="L619" i="11"/>
  <c r="B619" i="11"/>
  <c r="C619" i="11" s="1"/>
  <c r="L618" i="11"/>
  <c r="B618" i="11"/>
  <c r="C618" i="11" s="1"/>
  <c r="L617" i="11"/>
  <c r="B617" i="11"/>
  <c r="C617" i="11" s="1"/>
  <c r="L616" i="11"/>
  <c r="B616" i="11"/>
  <c r="C616" i="11" s="1"/>
  <c r="L615" i="11"/>
  <c r="B615" i="11"/>
  <c r="C615" i="11" s="1"/>
  <c r="L614" i="11"/>
  <c r="B614" i="11"/>
  <c r="C614" i="11" s="1"/>
  <c r="L613" i="11"/>
  <c r="B613" i="11"/>
  <c r="C613" i="11" s="1"/>
  <c r="L612" i="11"/>
  <c r="B612" i="11"/>
  <c r="C612" i="11" s="1"/>
  <c r="L611" i="11"/>
  <c r="B611" i="11"/>
  <c r="C611" i="11" s="1"/>
  <c r="L610" i="11"/>
  <c r="B610" i="11"/>
  <c r="C610" i="11" s="1"/>
  <c r="L609" i="11"/>
  <c r="B609" i="11"/>
  <c r="C609" i="11" s="1"/>
  <c r="L608" i="11"/>
  <c r="B608" i="11"/>
  <c r="C608" i="11" s="1"/>
  <c r="L607" i="11"/>
  <c r="B607" i="11"/>
  <c r="C607" i="11" s="1"/>
  <c r="L606" i="11"/>
  <c r="B606" i="11"/>
  <c r="C606" i="11" s="1"/>
  <c r="L605" i="11"/>
  <c r="B605" i="11"/>
  <c r="C605" i="11" s="1"/>
  <c r="L604" i="11"/>
  <c r="B604" i="11"/>
  <c r="C604" i="11" s="1"/>
  <c r="L603" i="11"/>
  <c r="B603" i="11"/>
  <c r="C603" i="11" s="1"/>
  <c r="L602" i="11"/>
  <c r="B602" i="11"/>
  <c r="C602" i="11" s="1"/>
  <c r="L601" i="11"/>
  <c r="B601" i="11"/>
  <c r="C601" i="11" s="1"/>
  <c r="L600" i="11"/>
  <c r="B600" i="11"/>
  <c r="C600" i="11" s="1"/>
  <c r="L599" i="11"/>
  <c r="B599" i="11"/>
  <c r="C599" i="11" s="1"/>
  <c r="L598" i="11"/>
  <c r="B598" i="11"/>
  <c r="C598" i="11" s="1"/>
  <c r="L597" i="11"/>
  <c r="B597" i="11"/>
  <c r="C597" i="11" s="1"/>
  <c r="L596" i="11"/>
  <c r="B596" i="11"/>
  <c r="C596" i="11" s="1"/>
  <c r="L595" i="11"/>
  <c r="B595" i="11"/>
  <c r="C595" i="11" s="1"/>
  <c r="L594" i="11"/>
  <c r="B594" i="11"/>
  <c r="C594" i="11" s="1"/>
  <c r="L593" i="11"/>
  <c r="B593" i="11"/>
  <c r="C593" i="11" s="1"/>
  <c r="L592" i="11"/>
  <c r="B592" i="11"/>
  <c r="C592" i="11" s="1"/>
  <c r="L591" i="11"/>
  <c r="B591" i="11"/>
  <c r="C591" i="11" s="1"/>
  <c r="L590" i="11"/>
  <c r="B590" i="11"/>
  <c r="C590" i="11" s="1"/>
  <c r="L589" i="11"/>
  <c r="B589" i="11"/>
  <c r="C589" i="11" s="1"/>
  <c r="L588" i="11"/>
  <c r="B588" i="11"/>
  <c r="C588" i="11" s="1"/>
  <c r="L587" i="11"/>
  <c r="B587" i="11"/>
  <c r="C587" i="11" s="1"/>
  <c r="L586" i="11"/>
  <c r="B586" i="11"/>
  <c r="C586" i="11" s="1"/>
  <c r="L585" i="11"/>
  <c r="B585" i="11"/>
  <c r="C585" i="11" s="1"/>
  <c r="L584" i="11"/>
  <c r="B584" i="11"/>
  <c r="C584" i="11" s="1"/>
  <c r="L583" i="11"/>
  <c r="B583" i="11"/>
  <c r="C583" i="11" s="1"/>
  <c r="L582" i="11"/>
  <c r="B582" i="11"/>
  <c r="C582" i="11" s="1"/>
  <c r="L581" i="11"/>
  <c r="B581" i="11"/>
  <c r="C581" i="11" s="1"/>
  <c r="L580" i="11"/>
  <c r="B580" i="11"/>
  <c r="C580" i="11" s="1"/>
  <c r="L579" i="11"/>
  <c r="B579" i="11"/>
  <c r="C579" i="11" s="1"/>
  <c r="L578" i="11"/>
  <c r="B578" i="11"/>
  <c r="C578" i="11" s="1"/>
  <c r="L577" i="11"/>
  <c r="B577" i="11"/>
  <c r="C577" i="11" s="1"/>
  <c r="L576" i="11"/>
  <c r="B576" i="11"/>
  <c r="C576" i="11" s="1"/>
  <c r="L575" i="11"/>
  <c r="B575" i="11"/>
  <c r="C575" i="11" s="1"/>
  <c r="L574" i="11"/>
  <c r="B574" i="11"/>
  <c r="C574" i="11" s="1"/>
  <c r="L573" i="11"/>
  <c r="B573" i="11"/>
  <c r="C573" i="11" s="1"/>
  <c r="L572" i="11"/>
  <c r="B572" i="11"/>
  <c r="C572" i="11" s="1"/>
  <c r="L571" i="11"/>
  <c r="B571" i="11"/>
  <c r="C571" i="11" s="1"/>
  <c r="L570" i="11"/>
  <c r="B570" i="11"/>
  <c r="C570" i="11" s="1"/>
  <c r="L569" i="11"/>
  <c r="B569" i="11"/>
  <c r="C569" i="11" s="1"/>
  <c r="L568" i="11"/>
  <c r="B568" i="11"/>
  <c r="C568" i="11" s="1"/>
  <c r="L567" i="11"/>
  <c r="B567" i="11"/>
  <c r="C567" i="11" s="1"/>
  <c r="L566" i="11"/>
  <c r="B566" i="11"/>
  <c r="C566" i="11" s="1"/>
  <c r="L565" i="11"/>
  <c r="B565" i="11"/>
  <c r="C565" i="11" s="1"/>
  <c r="L564" i="11"/>
  <c r="B564" i="11"/>
  <c r="C564" i="11" s="1"/>
  <c r="L563" i="11"/>
  <c r="B563" i="11"/>
  <c r="C563" i="11" s="1"/>
  <c r="L562" i="11"/>
  <c r="B562" i="11"/>
  <c r="C562" i="11" s="1"/>
  <c r="L561" i="11"/>
  <c r="B561" i="11"/>
  <c r="C561" i="11" s="1"/>
  <c r="L560" i="11"/>
  <c r="B560" i="11"/>
  <c r="C560" i="11" s="1"/>
  <c r="L559" i="11"/>
  <c r="B559" i="11"/>
  <c r="C559" i="11" s="1"/>
  <c r="L558" i="11"/>
  <c r="B558" i="11"/>
  <c r="C558" i="11" s="1"/>
  <c r="L557" i="11"/>
  <c r="B557" i="11"/>
  <c r="C557" i="11" s="1"/>
  <c r="L556" i="11"/>
  <c r="B556" i="11"/>
  <c r="C556" i="11" s="1"/>
  <c r="L555" i="11"/>
  <c r="B555" i="11"/>
  <c r="C555" i="11" s="1"/>
  <c r="L554" i="11"/>
  <c r="B554" i="11"/>
  <c r="C554" i="11" s="1"/>
  <c r="L553" i="11"/>
  <c r="B553" i="11"/>
  <c r="C553" i="11" s="1"/>
  <c r="L552" i="11"/>
  <c r="B552" i="11"/>
  <c r="C552" i="11" s="1"/>
  <c r="L551" i="11"/>
  <c r="B551" i="11"/>
  <c r="C551" i="11" s="1"/>
  <c r="L550" i="11"/>
  <c r="B550" i="11"/>
  <c r="C550" i="11" s="1"/>
  <c r="L549" i="11"/>
  <c r="B549" i="11"/>
  <c r="C549" i="11" s="1"/>
  <c r="L548" i="11"/>
  <c r="B548" i="11"/>
  <c r="C548" i="11" s="1"/>
  <c r="L547" i="11"/>
  <c r="B547" i="11"/>
  <c r="C547" i="11" s="1"/>
  <c r="L546" i="11"/>
  <c r="B546" i="11"/>
  <c r="C546" i="11" s="1"/>
  <c r="L545" i="11"/>
  <c r="B545" i="11"/>
  <c r="C545" i="11" s="1"/>
  <c r="L544" i="11"/>
  <c r="B544" i="11"/>
  <c r="C544" i="11" s="1"/>
  <c r="L543" i="11"/>
  <c r="B543" i="11"/>
  <c r="C543" i="11" s="1"/>
  <c r="L542" i="11"/>
  <c r="B542" i="11"/>
  <c r="C542" i="11" s="1"/>
  <c r="L541" i="11"/>
  <c r="B541" i="11"/>
  <c r="C541" i="11" s="1"/>
  <c r="L540" i="11"/>
  <c r="B540" i="11"/>
  <c r="C540" i="11" s="1"/>
  <c r="L539" i="11"/>
  <c r="B539" i="11"/>
  <c r="C539" i="11" s="1"/>
  <c r="L538" i="11"/>
  <c r="B538" i="11"/>
  <c r="C538" i="11" s="1"/>
  <c r="L537" i="11"/>
  <c r="B537" i="11"/>
  <c r="C537" i="11" s="1"/>
  <c r="L536" i="11"/>
  <c r="B536" i="11"/>
  <c r="C536" i="11" s="1"/>
  <c r="L535" i="11"/>
  <c r="B535" i="11"/>
  <c r="C535" i="11" s="1"/>
  <c r="L534" i="11"/>
  <c r="B534" i="11"/>
  <c r="C534" i="11" s="1"/>
  <c r="L533" i="11"/>
  <c r="B533" i="11"/>
  <c r="C533" i="11" s="1"/>
  <c r="L532" i="11"/>
  <c r="B532" i="11"/>
  <c r="C532" i="11" s="1"/>
  <c r="L531" i="11"/>
  <c r="B531" i="11"/>
  <c r="C531" i="11" s="1"/>
  <c r="L530" i="11"/>
  <c r="B530" i="11"/>
  <c r="C530" i="11" s="1"/>
  <c r="L529" i="11"/>
  <c r="B529" i="11"/>
  <c r="C529" i="11" s="1"/>
  <c r="L528" i="11"/>
  <c r="B528" i="11"/>
  <c r="C528" i="11" s="1"/>
  <c r="L527" i="11"/>
  <c r="B527" i="11"/>
  <c r="C527" i="11" s="1"/>
  <c r="L526" i="11"/>
  <c r="B526" i="11"/>
  <c r="C526" i="11" s="1"/>
  <c r="L525" i="11"/>
  <c r="B525" i="11"/>
  <c r="C525" i="11" s="1"/>
  <c r="L524" i="11"/>
  <c r="B524" i="11"/>
  <c r="C524" i="11" s="1"/>
  <c r="L523" i="11"/>
  <c r="B523" i="11"/>
  <c r="C523" i="11" s="1"/>
  <c r="L522" i="11"/>
  <c r="B522" i="11"/>
  <c r="C522" i="11" s="1"/>
  <c r="L521" i="11"/>
  <c r="B521" i="11"/>
  <c r="C521" i="11" s="1"/>
  <c r="L520" i="11"/>
  <c r="B520" i="11"/>
  <c r="C520" i="11" s="1"/>
  <c r="L519" i="11"/>
  <c r="B519" i="11"/>
  <c r="C519" i="11" s="1"/>
  <c r="L518" i="11"/>
  <c r="B518" i="11"/>
  <c r="C518" i="11" s="1"/>
  <c r="L517" i="11"/>
  <c r="B517" i="11"/>
  <c r="C517" i="11" s="1"/>
  <c r="L516" i="11"/>
  <c r="B516" i="11"/>
  <c r="C516" i="11" s="1"/>
  <c r="L515" i="11"/>
  <c r="B515" i="11"/>
  <c r="C515" i="11" s="1"/>
  <c r="L514" i="11"/>
  <c r="B514" i="11"/>
  <c r="C514" i="11" s="1"/>
  <c r="L513" i="11"/>
  <c r="B513" i="11"/>
  <c r="C513" i="11" s="1"/>
  <c r="L512" i="11"/>
  <c r="B512" i="11"/>
  <c r="C512" i="11" s="1"/>
  <c r="L511" i="11"/>
  <c r="B511" i="11"/>
  <c r="C511" i="11" s="1"/>
  <c r="L510" i="11"/>
  <c r="B510" i="11"/>
  <c r="C510" i="11" s="1"/>
  <c r="L509" i="11"/>
  <c r="B509" i="11"/>
  <c r="C509" i="11" s="1"/>
  <c r="L508" i="11"/>
  <c r="B508" i="11"/>
  <c r="C508" i="11" s="1"/>
  <c r="L507" i="11"/>
  <c r="B507" i="11"/>
  <c r="C507" i="11" s="1"/>
  <c r="L506" i="11"/>
  <c r="B506" i="11"/>
  <c r="C506" i="11" s="1"/>
  <c r="L505" i="11"/>
  <c r="B505" i="11"/>
  <c r="C505" i="11" s="1"/>
  <c r="L504" i="11"/>
  <c r="B504" i="11"/>
  <c r="C504" i="11" s="1"/>
  <c r="L503" i="11"/>
  <c r="B503" i="11"/>
  <c r="C503" i="11" s="1"/>
  <c r="L502" i="11"/>
  <c r="B502" i="11"/>
  <c r="C502" i="11" s="1"/>
  <c r="L501" i="11"/>
  <c r="B501" i="11"/>
  <c r="C501" i="11" s="1"/>
  <c r="L500" i="11"/>
  <c r="B500" i="11"/>
  <c r="C500" i="11" s="1"/>
  <c r="L499" i="11"/>
  <c r="B499" i="11"/>
  <c r="C499" i="11" s="1"/>
  <c r="L498" i="11"/>
  <c r="B498" i="11"/>
  <c r="C498" i="11" s="1"/>
  <c r="L497" i="11"/>
  <c r="B497" i="11"/>
  <c r="C497" i="11" s="1"/>
  <c r="L496" i="11"/>
  <c r="B496" i="11"/>
  <c r="C496" i="11" s="1"/>
  <c r="L495" i="11"/>
  <c r="B495" i="11"/>
  <c r="C495" i="11" s="1"/>
  <c r="L494" i="11"/>
  <c r="B494" i="11"/>
  <c r="C494" i="11" s="1"/>
  <c r="L493" i="11"/>
  <c r="B493" i="11"/>
  <c r="C493" i="11" s="1"/>
  <c r="L492" i="11"/>
  <c r="B492" i="11"/>
  <c r="C492" i="11" s="1"/>
  <c r="L491" i="11"/>
  <c r="B491" i="11"/>
  <c r="C491" i="11" s="1"/>
  <c r="L490" i="11"/>
  <c r="B490" i="11"/>
  <c r="C490" i="11" s="1"/>
  <c r="L489" i="11"/>
  <c r="B489" i="11"/>
  <c r="C489" i="11" s="1"/>
  <c r="L488" i="11"/>
  <c r="B488" i="11"/>
  <c r="C488" i="11" s="1"/>
  <c r="L487" i="11"/>
  <c r="B487" i="11"/>
  <c r="C487" i="11" s="1"/>
  <c r="L486" i="11"/>
  <c r="B486" i="11"/>
  <c r="C486" i="11" s="1"/>
  <c r="L485" i="11"/>
  <c r="B485" i="11"/>
  <c r="C485" i="11" s="1"/>
  <c r="L484" i="11"/>
  <c r="B484" i="11"/>
  <c r="C484" i="11" s="1"/>
  <c r="L483" i="11"/>
  <c r="B483" i="11"/>
  <c r="C483" i="11" s="1"/>
  <c r="L482" i="11"/>
  <c r="B482" i="11"/>
  <c r="C482" i="11" s="1"/>
  <c r="L481" i="11"/>
  <c r="B481" i="11"/>
  <c r="C481" i="11" s="1"/>
  <c r="L480" i="11"/>
  <c r="B480" i="11"/>
  <c r="C480" i="11" s="1"/>
  <c r="L479" i="11"/>
  <c r="B479" i="11"/>
  <c r="C479" i="11" s="1"/>
  <c r="L478" i="11"/>
  <c r="B478" i="11"/>
  <c r="C478" i="11" s="1"/>
  <c r="L477" i="11"/>
  <c r="B477" i="11"/>
  <c r="C477" i="11" s="1"/>
  <c r="L476" i="11"/>
  <c r="B476" i="11"/>
  <c r="C476" i="11" s="1"/>
  <c r="L475" i="11"/>
  <c r="B475" i="11"/>
  <c r="C475" i="11" s="1"/>
  <c r="L474" i="11"/>
  <c r="B474" i="11"/>
  <c r="C474" i="11" s="1"/>
  <c r="L473" i="11"/>
  <c r="B473" i="11"/>
  <c r="C473" i="11" s="1"/>
  <c r="L472" i="11"/>
  <c r="B472" i="11"/>
  <c r="C472" i="11" s="1"/>
  <c r="L471" i="11"/>
  <c r="B471" i="11"/>
  <c r="C471" i="11" s="1"/>
  <c r="L470" i="11"/>
  <c r="B470" i="11"/>
  <c r="C470" i="11" s="1"/>
  <c r="L469" i="11"/>
  <c r="B469" i="11"/>
  <c r="C469" i="11" s="1"/>
  <c r="L468" i="11"/>
  <c r="B468" i="11"/>
  <c r="C468" i="11" s="1"/>
  <c r="L467" i="11"/>
  <c r="B467" i="11"/>
  <c r="C467" i="11" s="1"/>
  <c r="L466" i="11"/>
  <c r="B466" i="11"/>
  <c r="C466" i="11" s="1"/>
  <c r="L465" i="11"/>
  <c r="B465" i="11"/>
  <c r="C465" i="11" s="1"/>
  <c r="L464" i="11"/>
  <c r="B464" i="11"/>
  <c r="C464" i="11" s="1"/>
  <c r="L463" i="11"/>
  <c r="B463" i="11"/>
  <c r="C463" i="11" s="1"/>
  <c r="L462" i="11"/>
  <c r="B462" i="11"/>
  <c r="C462" i="11" s="1"/>
  <c r="L461" i="11"/>
  <c r="B461" i="11"/>
  <c r="C461" i="11" s="1"/>
  <c r="L460" i="11"/>
  <c r="B460" i="11"/>
  <c r="C460" i="11" s="1"/>
  <c r="L459" i="11"/>
  <c r="B459" i="11"/>
  <c r="C459" i="11" s="1"/>
  <c r="L458" i="11"/>
  <c r="B458" i="11"/>
  <c r="C458" i="11" s="1"/>
  <c r="L457" i="11"/>
  <c r="B457" i="11"/>
  <c r="C457" i="11" s="1"/>
  <c r="L456" i="11"/>
  <c r="B456" i="11"/>
  <c r="C456" i="11" s="1"/>
  <c r="L455" i="11"/>
  <c r="B455" i="11"/>
  <c r="C455" i="11" s="1"/>
  <c r="L454" i="11"/>
  <c r="B454" i="11"/>
  <c r="C454" i="11" s="1"/>
  <c r="L453" i="11"/>
  <c r="B453" i="11"/>
  <c r="C453" i="11" s="1"/>
  <c r="L452" i="11"/>
  <c r="B452" i="11"/>
  <c r="C452" i="11" s="1"/>
  <c r="L451" i="11"/>
  <c r="B451" i="11"/>
  <c r="C451" i="11" s="1"/>
  <c r="L450" i="11"/>
  <c r="B450" i="11"/>
  <c r="C450" i="11" s="1"/>
  <c r="L449" i="11"/>
  <c r="B449" i="11"/>
  <c r="C449" i="11" s="1"/>
  <c r="L448" i="11"/>
  <c r="B448" i="11"/>
  <c r="C448" i="11" s="1"/>
  <c r="L447" i="11"/>
  <c r="B447" i="11"/>
  <c r="C447" i="11" s="1"/>
  <c r="L446" i="11"/>
  <c r="B446" i="11"/>
  <c r="C446" i="11" s="1"/>
  <c r="L445" i="11"/>
  <c r="B445" i="11"/>
  <c r="C445" i="11" s="1"/>
  <c r="L444" i="11"/>
  <c r="B444" i="11"/>
  <c r="C444" i="11" s="1"/>
  <c r="L443" i="11"/>
  <c r="B443" i="11"/>
  <c r="C443" i="11" s="1"/>
  <c r="L442" i="11"/>
  <c r="B442" i="11"/>
  <c r="C442" i="11" s="1"/>
  <c r="L441" i="11"/>
  <c r="B441" i="11"/>
  <c r="C441" i="11" s="1"/>
  <c r="L440" i="11"/>
  <c r="B440" i="11"/>
  <c r="C440" i="11" s="1"/>
  <c r="L439" i="11"/>
  <c r="B439" i="11"/>
  <c r="C439" i="11" s="1"/>
  <c r="L438" i="11"/>
  <c r="B438" i="11"/>
  <c r="C438" i="11" s="1"/>
  <c r="L437" i="11"/>
  <c r="B437" i="11"/>
  <c r="C437" i="11" s="1"/>
  <c r="L436" i="11"/>
  <c r="B436" i="11"/>
  <c r="C436" i="11" s="1"/>
  <c r="L435" i="11"/>
  <c r="B435" i="11"/>
  <c r="C435" i="11" s="1"/>
  <c r="L434" i="11"/>
  <c r="B434" i="11"/>
  <c r="C434" i="11" s="1"/>
  <c r="L433" i="11"/>
  <c r="B433" i="11"/>
  <c r="C433" i="11" s="1"/>
  <c r="L432" i="11"/>
  <c r="B432" i="11"/>
  <c r="C432" i="11" s="1"/>
  <c r="L431" i="11"/>
  <c r="B431" i="11"/>
  <c r="C431" i="11" s="1"/>
  <c r="L430" i="11"/>
  <c r="B430" i="11"/>
  <c r="C430" i="11" s="1"/>
  <c r="L429" i="11"/>
  <c r="B429" i="11"/>
  <c r="C429" i="11" s="1"/>
  <c r="L428" i="11"/>
  <c r="B428" i="11"/>
  <c r="C428" i="11" s="1"/>
  <c r="L427" i="11"/>
  <c r="B427" i="11"/>
  <c r="C427" i="11" s="1"/>
  <c r="L426" i="11"/>
  <c r="B426" i="11"/>
  <c r="C426" i="11" s="1"/>
  <c r="L425" i="11"/>
  <c r="B425" i="11"/>
  <c r="C425" i="11" s="1"/>
  <c r="L424" i="11"/>
  <c r="B424" i="11"/>
  <c r="C424" i="11" s="1"/>
  <c r="L423" i="11"/>
  <c r="B423" i="11"/>
  <c r="C423" i="11" s="1"/>
  <c r="L422" i="11"/>
  <c r="B422" i="11"/>
  <c r="C422" i="11" s="1"/>
  <c r="L421" i="11"/>
  <c r="B421" i="11"/>
  <c r="C421" i="11" s="1"/>
  <c r="L420" i="11"/>
  <c r="B420" i="11"/>
  <c r="C420" i="11" s="1"/>
  <c r="L419" i="11"/>
  <c r="B419" i="11"/>
  <c r="C419" i="11" s="1"/>
  <c r="L418" i="11"/>
  <c r="B418" i="11"/>
  <c r="C418" i="11" s="1"/>
  <c r="L417" i="11"/>
  <c r="B417" i="11"/>
  <c r="C417" i="11" s="1"/>
  <c r="L416" i="11"/>
  <c r="B416" i="11"/>
  <c r="C416" i="11" s="1"/>
  <c r="L415" i="11"/>
  <c r="B415" i="11"/>
  <c r="C415" i="11" s="1"/>
  <c r="L414" i="11"/>
  <c r="B414" i="11"/>
  <c r="C414" i="11" s="1"/>
  <c r="L413" i="11"/>
  <c r="B413" i="11"/>
  <c r="C413" i="11" s="1"/>
  <c r="L412" i="11"/>
  <c r="B412" i="11"/>
  <c r="C412" i="11" s="1"/>
  <c r="L411" i="11"/>
  <c r="B411" i="11"/>
  <c r="C411" i="11" s="1"/>
  <c r="L410" i="11"/>
  <c r="B410" i="11"/>
  <c r="C410" i="11" s="1"/>
  <c r="L409" i="11"/>
  <c r="B409" i="11"/>
  <c r="C409" i="11" s="1"/>
  <c r="L408" i="11"/>
  <c r="B408" i="11"/>
  <c r="C408" i="11" s="1"/>
  <c r="L407" i="11"/>
  <c r="B407" i="11"/>
  <c r="C407" i="11" s="1"/>
  <c r="L406" i="11"/>
  <c r="B406" i="11"/>
  <c r="C406" i="11" s="1"/>
  <c r="L405" i="11"/>
  <c r="B405" i="11"/>
  <c r="C405" i="11" s="1"/>
  <c r="L404" i="11"/>
  <c r="B404" i="11"/>
  <c r="C404" i="11" s="1"/>
  <c r="L403" i="11"/>
  <c r="B403" i="11"/>
  <c r="C403" i="11" s="1"/>
  <c r="L402" i="11"/>
  <c r="B402" i="11"/>
  <c r="C402" i="11" s="1"/>
  <c r="L401" i="11"/>
  <c r="B401" i="11"/>
  <c r="C401" i="11" s="1"/>
  <c r="L400" i="11"/>
  <c r="B400" i="11"/>
  <c r="C400" i="11" s="1"/>
  <c r="L399" i="11"/>
  <c r="B399" i="11"/>
  <c r="C399" i="11" s="1"/>
  <c r="L398" i="11"/>
  <c r="B398" i="11"/>
  <c r="C398" i="11" s="1"/>
  <c r="L397" i="11"/>
  <c r="B397" i="11"/>
  <c r="C397" i="11" s="1"/>
  <c r="L396" i="11"/>
  <c r="B396" i="11"/>
  <c r="C396" i="11" s="1"/>
  <c r="L395" i="11"/>
  <c r="B395" i="11"/>
  <c r="C395" i="11" s="1"/>
  <c r="L394" i="11"/>
  <c r="B394" i="11"/>
  <c r="C394" i="11" s="1"/>
  <c r="L393" i="11"/>
  <c r="B393" i="11"/>
  <c r="C393" i="11" s="1"/>
  <c r="L392" i="11"/>
  <c r="B392" i="11"/>
  <c r="C392" i="11" s="1"/>
  <c r="L391" i="11"/>
  <c r="B391" i="11"/>
  <c r="C391" i="11" s="1"/>
  <c r="L390" i="11"/>
  <c r="B390" i="11"/>
  <c r="C390" i="11" s="1"/>
  <c r="L389" i="11"/>
  <c r="B389" i="11"/>
  <c r="C389" i="11" s="1"/>
  <c r="L388" i="11"/>
  <c r="B388" i="11"/>
  <c r="C388" i="11" s="1"/>
  <c r="L387" i="11"/>
  <c r="B387" i="11"/>
  <c r="C387" i="11" s="1"/>
  <c r="L386" i="11"/>
  <c r="B386" i="11"/>
  <c r="C386" i="11" s="1"/>
  <c r="L385" i="11"/>
  <c r="B385" i="11"/>
  <c r="C385" i="11" s="1"/>
  <c r="L384" i="11"/>
  <c r="B384" i="11"/>
  <c r="C384" i="11" s="1"/>
  <c r="L383" i="11"/>
  <c r="B383" i="11"/>
  <c r="C383" i="11" s="1"/>
  <c r="L382" i="11"/>
  <c r="B382" i="11"/>
  <c r="C382" i="11" s="1"/>
  <c r="L381" i="11"/>
  <c r="B381" i="11"/>
  <c r="C381" i="11" s="1"/>
  <c r="L380" i="11"/>
  <c r="B380" i="11"/>
  <c r="C380" i="11" s="1"/>
  <c r="L379" i="11"/>
  <c r="B379" i="11"/>
  <c r="C379" i="11" s="1"/>
  <c r="L378" i="11"/>
  <c r="B378" i="11"/>
  <c r="C378" i="11" s="1"/>
  <c r="L377" i="11"/>
  <c r="B377" i="11"/>
  <c r="C377" i="11" s="1"/>
  <c r="L376" i="11"/>
  <c r="B376" i="11"/>
  <c r="C376" i="11" s="1"/>
  <c r="L375" i="11"/>
  <c r="B375" i="11"/>
  <c r="C375" i="11" s="1"/>
  <c r="L374" i="11"/>
  <c r="B374" i="11"/>
  <c r="C374" i="11" s="1"/>
  <c r="L373" i="11"/>
  <c r="B373" i="11"/>
  <c r="C373" i="11" s="1"/>
  <c r="L372" i="11"/>
  <c r="B372" i="11"/>
  <c r="C372" i="11" s="1"/>
  <c r="L371" i="11"/>
  <c r="B371" i="11"/>
  <c r="C371" i="11" s="1"/>
  <c r="L370" i="11"/>
  <c r="B370" i="11"/>
  <c r="C370" i="11" s="1"/>
  <c r="L369" i="11"/>
  <c r="B369" i="11"/>
  <c r="C369" i="11" s="1"/>
  <c r="L368" i="11"/>
  <c r="B368" i="11"/>
  <c r="C368" i="11" s="1"/>
  <c r="L367" i="11"/>
  <c r="B367" i="11"/>
  <c r="C367" i="11" s="1"/>
  <c r="L366" i="11"/>
  <c r="B366" i="11"/>
  <c r="C366" i="11" s="1"/>
  <c r="L365" i="11"/>
  <c r="B365" i="11"/>
  <c r="C365" i="11" s="1"/>
  <c r="L364" i="11"/>
  <c r="B364" i="11"/>
  <c r="C364" i="11" s="1"/>
  <c r="L363" i="11"/>
  <c r="B363" i="11"/>
  <c r="C363" i="11" s="1"/>
  <c r="L362" i="11"/>
  <c r="B362" i="11"/>
  <c r="C362" i="11" s="1"/>
  <c r="L361" i="11"/>
  <c r="B361" i="11"/>
  <c r="C361" i="11" s="1"/>
  <c r="L360" i="11"/>
  <c r="B360" i="11"/>
  <c r="C360" i="11" s="1"/>
  <c r="L359" i="11"/>
  <c r="B359" i="11"/>
  <c r="C359" i="11" s="1"/>
  <c r="L358" i="11"/>
  <c r="B358" i="11"/>
  <c r="C358" i="11" s="1"/>
  <c r="L357" i="11"/>
  <c r="B357" i="11"/>
  <c r="C357" i="11" s="1"/>
  <c r="L356" i="11"/>
  <c r="B356" i="11"/>
  <c r="C356" i="11" s="1"/>
  <c r="L355" i="11"/>
  <c r="B355" i="11"/>
  <c r="C355" i="11" s="1"/>
  <c r="L354" i="11"/>
  <c r="B354" i="11"/>
  <c r="C354" i="11" s="1"/>
  <c r="L353" i="11"/>
  <c r="B353" i="11"/>
  <c r="C353" i="11" s="1"/>
  <c r="L352" i="11"/>
  <c r="B352" i="11"/>
  <c r="C352" i="11" s="1"/>
  <c r="L351" i="11"/>
  <c r="B351" i="11"/>
  <c r="C351" i="11" s="1"/>
  <c r="L350" i="11"/>
  <c r="B350" i="11"/>
  <c r="C350" i="11" s="1"/>
  <c r="L349" i="11"/>
  <c r="B349" i="11"/>
  <c r="C349" i="11" s="1"/>
  <c r="L348" i="11"/>
  <c r="B348" i="11"/>
  <c r="C348" i="11" s="1"/>
  <c r="L347" i="11"/>
  <c r="B347" i="11"/>
  <c r="C347" i="11" s="1"/>
  <c r="L346" i="11"/>
  <c r="B346" i="11"/>
  <c r="C346" i="11" s="1"/>
  <c r="L345" i="11"/>
  <c r="B345" i="11"/>
  <c r="C345" i="11" s="1"/>
  <c r="L344" i="11"/>
  <c r="B344" i="11"/>
  <c r="C344" i="11" s="1"/>
  <c r="L343" i="11"/>
  <c r="B343" i="11"/>
  <c r="C343" i="11" s="1"/>
  <c r="L342" i="11"/>
  <c r="B342" i="11"/>
  <c r="C342" i="11" s="1"/>
  <c r="L341" i="11"/>
  <c r="B341" i="11"/>
  <c r="C341" i="11" s="1"/>
  <c r="L340" i="11"/>
  <c r="B340" i="11"/>
  <c r="C340" i="11" s="1"/>
  <c r="L339" i="11"/>
  <c r="B339" i="11"/>
  <c r="C339" i="11" s="1"/>
  <c r="L338" i="11"/>
  <c r="B338" i="11"/>
  <c r="C338" i="11" s="1"/>
  <c r="L337" i="11"/>
  <c r="B337" i="11"/>
  <c r="C337" i="11" s="1"/>
  <c r="L336" i="11"/>
  <c r="B336" i="11"/>
  <c r="C336" i="11" s="1"/>
  <c r="L335" i="11"/>
  <c r="B335" i="11"/>
  <c r="C335" i="11" s="1"/>
  <c r="L334" i="11"/>
  <c r="B334" i="11"/>
  <c r="C334" i="11" s="1"/>
  <c r="L333" i="11"/>
  <c r="B333" i="11"/>
  <c r="C333" i="11" s="1"/>
  <c r="L332" i="11"/>
  <c r="B332" i="11"/>
  <c r="C332" i="11" s="1"/>
  <c r="L331" i="11"/>
  <c r="B331" i="11"/>
  <c r="C331" i="11" s="1"/>
  <c r="L330" i="11"/>
  <c r="B330" i="11"/>
  <c r="C330" i="11" s="1"/>
  <c r="L329" i="11"/>
  <c r="B329" i="11"/>
  <c r="C329" i="11" s="1"/>
  <c r="L328" i="11"/>
  <c r="B328" i="11"/>
  <c r="C328" i="11" s="1"/>
  <c r="L327" i="11"/>
  <c r="B327" i="11"/>
  <c r="C327" i="11" s="1"/>
  <c r="L326" i="11"/>
  <c r="B326" i="11"/>
  <c r="C326" i="11" s="1"/>
  <c r="L325" i="11"/>
  <c r="B325" i="11"/>
  <c r="C325" i="11" s="1"/>
  <c r="L324" i="11"/>
  <c r="B324" i="11"/>
  <c r="C324" i="11" s="1"/>
  <c r="L323" i="11"/>
  <c r="B323" i="11"/>
  <c r="C323" i="11" s="1"/>
  <c r="L322" i="11"/>
  <c r="B322" i="11"/>
  <c r="C322" i="11" s="1"/>
  <c r="L321" i="11"/>
  <c r="B321" i="11"/>
  <c r="C321" i="11" s="1"/>
  <c r="L320" i="11"/>
  <c r="B320" i="11"/>
  <c r="C320" i="11" s="1"/>
  <c r="L319" i="11"/>
  <c r="B319" i="11"/>
  <c r="C319" i="11" s="1"/>
  <c r="L318" i="11"/>
  <c r="B318" i="11"/>
  <c r="C318" i="11" s="1"/>
  <c r="L317" i="11"/>
  <c r="B317" i="11"/>
  <c r="C317" i="11" s="1"/>
  <c r="L316" i="11"/>
  <c r="B316" i="11"/>
  <c r="C316" i="11" s="1"/>
  <c r="L315" i="11"/>
  <c r="B315" i="11"/>
  <c r="C315" i="11" s="1"/>
  <c r="L314" i="11"/>
  <c r="B314" i="11"/>
  <c r="C314" i="11" s="1"/>
  <c r="L313" i="11"/>
  <c r="B313" i="11"/>
  <c r="C313" i="11" s="1"/>
  <c r="L312" i="11"/>
  <c r="B312" i="11"/>
  <c r="C312" i="11" s="1"/>
  <c r="L311" i="11"/>
  <c r="B311" i="11"/>
  <c r="C311" i="11" s="1"/>
  <c r="L310" i="11"/>
  <c r="B310" i="11"/>
  <c r="C310" i="11" s="1"/>
  <c r="L309" i="11"/>
  <c r="B309" i="11"/>
  <c r="C309" i="11" s="1"/>
  <c r="L308" i="11"/>
  <c r="B308" i="11"/>
  <c r="C308" i="11" s="1"/>
  <c r="L307" i="11"/>
  <c r="B307" i="11"/>
  <c r="C307" i="11" s="1"/>
  <c r="L306" i="11"/>
  <c r="B306" i="11"/>
  <c r="C306" i="11" s="1"/>
  <c r="L305" i="11"/>
  <c r="B305" i="11"/>
  <c r="C305" i="11" s="1"/>
  <c r="L304" i="11"/>
  <c r="B304" i="11"/>
  <c r="C304" i="11" s="1"/>
  <c r="L303" i="11"/>
  <c r="B303" i="11"/>
  <c r="C303" i="11" s="1"/>
  <c r="L302" i="11"/>
  <c r="B302" i="11"/>
  <c r="C302" i="11" s="1"/>
  <c r="L301" i="11"/>
  <c r="B301" i="11"/>
  <c r="C301" i="11" s="1"/>
  <c r="L300" i="11"/>
  <c r="B300" i="11"/>
  <c r="C300" i="11" s="1"/>
  <c r="L299" i="11"/>
  <c r="B299" i="11"/>
  <c r="C299" i="11" s="1"/>
  <c r="L298" i="11"/>
  <c r="B298" i="11"/>
  <c r="C298" i="11" s="1"/>
  <c r="L297" i="11"/>
  <c r="B297" i="11"/>
  <c r="C297" i="11" s="1"/>
  <c r="L296" i="11"/>
  <c r="B296" i="11"/>
  <c r="C296" i="11" s="1"/>
  <c r="L295" i="11"/>
  <c r="B295" i="11"/>
  <c r="C295" i="11" s="1"/>
  <c r="L294" i="11"/>
  <c r="B294" i="11"/>
  <c r="C294" i="11" s="1"/>
  <c r="L293" i="11"/>
  <c r="B293" i="11"/>
  <c r="C293" i="11" s="1"/>
  <c r="L292" i="11"/>
  <c r="B292" i="11"/>
  <c r="C292" i="11" s="1"/>
  <c r="L291" i="11"/>
  <c r="B291" i="11"/>
  <c r="C291" i="11" s="1"/>
  <c r="L290" i="11"/>
  <c r="B290" i="11"/>
  <c r="C290" i="11" s="1"/>
  <c r="L289" i="11"/>
  <c r="B289" i="11"/>
  <c r="C289" i="11" s="1"/>
  <c r="L288" i="11"/>
  <c r="B288" i="11"/>
  <c r="C288" i="11" s="1"/>
  <c r="L287" i="11"/>
  <c r="B287" i="11"/>
  <c r="C287" i="11" s="1"/>
  <c r="L286" i="11"/>
  <c r="B286" i="11"/>
  <c r="C286" i="11" s="1"/>
  <c r="L285" i="11"/>
  <c r="B285" i="11"/>
  <c r="C285" i="11" s="1"/>
  <c r="L284" i="11"/>
  <c r="B284" i="11"/>
  <c r="C284" i="11" s="1"/>
  <c r="L283" i="11"/>
  <c r="B283" i="11"/>
  <c r="C283" i="11" s="1"/>
  <c r="L282" i="11"/>
  <c r="B282" i="11"/>
  <c r="C282" i="11" s="1"/>
  <c r="L281" i="11"/>
  <c r="B281" i="11"/>
  <c r="C281" i="11" s="1"/>
  <c r="L280" i="11"/>
  <c r="B280" i="11"/>
  <c r="C280" i="11" s="1"/>
  <c r="L279" i="11"/>
  <c r="B279" i="11"/>
  <c r="C279" i="11" s="1"/>
  <c r="L278" i="11"/>
  <c r="B278" i="11"/>
  <c r="C278" i="11" s="1"/>
  <c r="L277" i="11"/>
  <c r="B277" i="11"/>
  <c r="C277" i="11" s="1"/>
  <c r="L276" i="11"/>
  <c r="B276" i="11"/>
  <c r="C276" i="11" s="1"/>
  <c r="L275" i="11"/>
  <c r="B275" i="11"/>
  <c r="C275" i="11" s="1"/>
  <c r="L274" i="11"/>
  <c r="B274" i="11"/>
  <c r="C274" i="11" s="1"/>
  <c r="L273" i="11"/>
  <c r="B273" i="11"/>
  <c r="C273" i="11" s="1"/>
  <c r="L272" i="11"/>
  <c r="B272" i="11"/>
  <c r="C272" i="11" s="1"/>
  <c r="L271" i="11"/>
  <c r="B271" i="11"/>
  <c r="C271" i="11" s="1"/>
  <c r="L270" i="11"/>
  <c r="B270" i="11"/>
  <c r="C270" i="11" s="1"/>
  <c r="L269" i="11"/>
  <c r="B269" i="11"/>
  <c r="C269" i="11" s="1"/>
  <c r="L268" i="11"/>
  <c r="B268" i="11"/>
  <c r="C268" i="11" s="1"/>
  <c r="L267" i="11"/>
  <c r="B267" i="11"/>
  <c r="C267" i="11" s="1"/>
  <c r="L266" i="11"/>
  <c r="B266" i="11"/>
  <c r="C266" i="11" s="1"/>
  <c r="L265" i="11"/>
  <c r="B265" i="11"/>
  <c r="C265" i="11" s="1"/>
  <c r="L264" i="11"/>
  <c r="B264" i="11"/>
  <c r="C264" i="11" s="1"/>
  <c r="L263" i="11"/>
  <c r="B263" i="11"/>
  <c r="C263" i="11" s="1"/>
  <c r="L262" i="11"/>
  <c r="B262" i="11"/>
  <c r="C262" i="11" s="1"/>
  <c r="L261" i="11"/>
  <c r="B261" i="11"/>
  <c r="C261" i="11" s="1"/>
  <c r="L260" i="11"/>
  <c r="B260" i="11"/>
  <c r="C260" i="11" s="1"/>
  <c r="L259" i="11"/>
  <c r="B259" i="11"/>
  <c r="C259" i="11" s="1"/>
  <c r="L258" i="11"/>
  <c r="B258" i="11"/>
  <c r="C258" i="11" s="1"/>
  <c r="L257" i="11"/>
  <c r="B257" i="11"/>
  <c r="C257" i="11" s="1"/>
  <c r="L256" i="11"/>
  <c r="B256" i="11"/>
  <c r="C256" i="11" s="1"/>
  <c r="L255" i="11"/>
  <c r="B255" i="11"/>
  <c r="C255" i="11" s="1"/>
  <c r="L254" i="11"/>
  <c r="B254" i="11"/>
  <c r="C254" i="11" s="1"/>
  <c r="L253" i="11"/>
  <c r="B253" i="11"/>
  <c r="C253" i="11" s="1"/>
  <c r="L252" i="11"/>
  <c r="B252" i="11"/>
  <c r="C252" i="11" s="1"/>
  <c r="L251" i="11"/>
  <c r="B251" i="11"/>
  <c r="C251" i="11" s="1"/>
  <c r="L250" i="11"/>
  <c r="B250" i="11"/>
  <c r="C250" i="11" s="1"/>
  <c r="L249" i="11"/>
  <c r="B249" i="11"/>
  <c r="C249" i="11" s="1"/>
  <c r="L248" i="11"/>
  <c r="B248" i="11"/>
  <c r="C248" i="11" s="1"/>
  <c r="L247" i="11"/>
  <c r="B247" i="11"/>
  <c r="C247" i="11" s="1"/>
  <c r="L246" i="11"/>
  <c r="B246" i="11"/>
  <c r="C246" i="11" s="1"/>
  <c r="L245" i="11"/>
  <c r="B245" i="11"/>
  <c r="C245" i="11" s="1"/>
  <c r="L244" i="11"/>
  <c r="B244" i="11"/>
  <c r="C244" i="11" s="1"/>
  <c r="L243" i="11"/>
  <c r="B243" i="11"/>
  <c r="C243" i="11" s="1"/>
  <c r="L242" i="11"/>
  <c r="B242" i="11"/>
  <c r="C242" i="11" s="1"/>
  <c r="L241" i="11"/>
  <c r="B241" i="11"/>
  <c r="C241" i="11" s="1"/>
  <c r="L240" i="11"/>
  <c r="B240" i="11"/>
  <c r="C240" i="11" s="1"/>
  <c r="L239" i="11"/>
  <c r="B239" i="11"/>
  <c r="C239" i="11" s="1"/>
  <c r="L238" i="11"/>
  <c r="B238" i="11"/>
  <c r="C238" i="11" s="1"/>
  <c r="L237" i="11"/>
  <c r="B237" i="11"/>
  <c r="C237" i="11" s="1"/>
  <c r="L236" i="11"/>
  <c r="B236" i="11"/>
  <c r="C236" i="11" s="1"/>
  <c r="L235" i="11"/>
  <c r="B235" i="11"/>
  <c r="C235" i="11" s="1"/>
  <c r="L234" i="11"/>
  <c r="B234" i="11"/>
  <c r="C234" i="11" s="1"/>
  <c r="L233" i="11"/>
  <c r="B233" i="11"/>
  <c r="C233" i="11" s="1"/>
  <c r="L232" i="11"/>
  <c r="B232" i="11"/>
  <c r="C232" i="11" s="1"/>
  <c r="L231" i="11"/>
  <c r="B231" i="11"/>
  <c r="C231" i="11" s="1"/>
  <c r="L230" i="11"/>
  <c r="B230" i="11"/>
  <c r="C230" i="11" s="1"/>
  <c r="L229" i="11"/>
  <c r="B229" i="11"/>
  <c r="C229" i="11" s="1"/>
  <c r="L228" i="11"/>
  <c r="B228" i="11"/>
  <c r="C228" i="11" s="1"/>
  <c r="L227" i="11"/>
  <c r="B227" i="11"/>
  <c r="C227" i="11" s="1"/>
  <c r="L226" i="11"/>
  <c r="B226" i="11"/>
  <c r="C226" i="11" s="1"/>
  <c r="L225" i="11"/>
  <c r="B225" i="11"/>
  <c r="C225" i="11" s="1"/>
  <c r="L224" i="11"/>
  <c r="B224" i="11"/>
  <c r="C224" i="11" s="1"/>
  <c r="L223" i="11"/>
  <c r="B223" i="11"/>
  <c r="C223" i="11" s="1"/>
  <c r="L222" i="11"/>
  <c r="B222" i="11"/>
  <c r="C222" i="11" s="1"/>
  <c r="L221" i="11"/>
  <c r="B221" i="11"/>
  <c r="C221" i="11" s="1"/>
  <c r="L220" i="11"/>
  <c r="B220" i="11"/>
  <c r="C220" i="11" s="1"/>
  <c r="L219" i="11"/>
  <c r="B219" i="11"/>
  <c r="C219" i="11" s="1"/>
  <c r="L218" i="11"/>
  <c r="B218" i="11"/>
  <c r="C218" i="11" s="1"/>
  <c r="L217" i="11"/>
  <c r="B217" i="11"/>
  <c r="C217" i="11" s="1"/>
  <c r="L216" i="11"/>
  <c r="B216" i="11"/>
  <c r="C216" i="11" s="1"/>
  <c r="L215" i="11"/>
  <c r="B215" i="11"/>
  <c r="C215" i="11" s="1"/>
  <c r="L214" i="11"/>
  <c r="B214" i="11"/>
  <c r="C214" i="11" s="1"/>
  <c r="L213" i="11"/>
  <c r="B213" i="11"/>
  <c r="C213" i="11" s="1"/>
  <c r="L212" i="11"/>
  <c r="B212" i="11"/>
  <c r="C212" i="11" s="1"/>
  <c r="L211" i="11"/>
  <c r="B211" i="11"/>
  <c r="C211" i="11" s="1"/>
  <c r="L210" i="11"/>
  <c r="B210" i="11"/>
  <c r="C210" i="11" s="1"/>
  <c r="L209" i="11"/>
  <c r="B209" i="11"/>
  <c r="C209" i="11" s="1"/>
  <c r="L208" i="11"/>
  <c r="B208" i="11"/>
  <c r="C208" i="11" s="1"/>
  <c r="L207" i="11"/>
  <c r="B207" i="11"/>
  <c r="C207" i="11" s="1"/>
  <c r="L206" i="11"/>
  <c r="B206" i="11"/>
  <c r="C206" i="11" s="1"/>
  <c r="L205" i="11"/>
  <c r="B205" i="11"/>
  <c r="C205" i="11" s="1"/>
  <c r="L204" i="11"/>
  <c r="B204" i="11"/>
  <c r="C204" i="11" s="1"/>
  <c r="L203" i="11"/>
  <c r="B203" i="11"/>
  <c r="C203" i="11" s="1"/>
  <c r="L202" i="11"/>
  <c r="B202" i="11"/>
  <c r="C202" i="11" s="1"/>
  <c r="L201" i="11"/>
  <c r="B201" i="11"/>
  <c r="C201" i="11" s="1"/>
  <c r="L200" i="11"/>
  <c r="B200" i="11"/>
  <c r="C200" i="11" s="1"/>
  <c r="L199" i="11"/>
  <c r="B199" i="11"/>
  <c r="C199" i="11" s="1"/>
  <c r="L198" i="11"/>
  <c r="B198" i="11"/>
  <c r="C198" i="11" s="1"/>
  <c r="L197" i="11"/>
  <c r="B197" i="11"/>
  <c r="C197" i="11" s="1"/>
  <c r="L196" i="11"/>
  <c r="B196" i="11"/>
  <c r="C196" i="11" s="1"/>
  <c r="L195" i="11"/>
  <c r="B195" i="11"/>
  <c r="C195" i="11" s="1"/>
  <c r="L194" i="11"/>
  <c r="B194" i="11"/>
  <c r="C194" i="11" s="1"/>
  <c r="L193" i="11"/>
  <c r="B193" i="11"/>
  <c r="C193" i="11" s="1"/>
  <c r="L192" i="11"/>
  <c r="B192" i="11"/>
  <c r="C192" i="11" s="1"/>
  <c r="L191" i="11"/>
  <c r="B191" i="11"/>
  <c r="C191" i="11" s="1"/>
  <c r="L190" i="11"/>
  <c r="B190" i="11"/>
  <c r="C190" i="11" s="1"/>
  <c r="L189" i="11"/>
  <c r="B189" i="11"/>
  <c r="C189" i="11" s="1"/>
  <c r="L188" i="11"/>
  <c r="B188" i="11"/>
  <c r="C188" i="11" s="1"/>
  <c r="L187" i="11"/>
  <c r="B187" i="11"/>
  <c r="C187" i="11" s="1"/>
  <c r="L186" i="11"/>
  <c r="B186" i="11"/>
  <c r="C186" i="11" s="1"/>
  <c r="L185" i="11"/>
  <c r="B185" i="11"/>
  <c r="C185" i="11" s="1"/>
  <c r="L184" i="11"/>
  <c r="B184" i="11"/>
  <c r="C184" i="11" s="1"/>
  <c r="L183" i="11"/>
  <c r="B183" i="11"/>
  <c r="C183" i="11" s="1"/>
  <c r="L182" i="11"/>
  <c r="B182" i="11"/>
  <c r="C182" i="11" s="1"/>
  <c r="L181" i="11"/>
  <c r="B181" i="11"/>
  <c r="C181" i="11" s="1"/>
  <c r="L180" i="11"/>
  <c r="B180" i="11"/>
  <c r="C180" i="11" s="1"/>
  <c r="L179" i="11"/>
  <c r="B179" i="11"/>
  <c r="C179" i="11" s="1"/>
  <c r="L178" i="11"/>
  <c r="B178" i="11"/>
  <c r="C178" i="11" s="1"/>
  <c r="L177" i="11"/>
  <c r="B177" i="11"/>
  <c r="C177" i="11" s="1"/>
  <c r="L176" i="11"/>
  <c r="B176" i="11"/>
  <c r="C176" i="11" s="1"/>
  <c r="L175" i="11"/>
  <c r="B175" i="11"/>
  <c r="C175" i="11" s="1"/>
  <c r="L174" i="11"/>
  <c r="B174" i="11"/>
  <c r="C174" i="11" s="1"/>
  <c r="L173" i="11"/>
  <c r="B173" i="11"/>
  <c r="C173" i="11" s="1"/>
  <c r="L172" i="11"/>
  <c r="B172" i="11"/>
  <c r="C172" i="11" s="1"/>
  <c r="L171" i="11"/>
  <c r="B171" i="11"/>
  <c r="C171" i="11" s="1"/>
  <c r="L170" i="11"/>
  <c r="B170" i="11"/>
  <c r="C170" i="11" s="1"/>
  <c r="L169" i="11"/>
  <c r="B169" i="11"/>
  <c r="C169" i="11" s="1"/>
  <c r="L168" i="11"/>
  <c r="B168" i="11"/>
  <c r="C168" i="11" s="1"/>
  <c r="L167" i="11"/>
  <c r="B167" i="11"/>
  <c r="C167" i="11" s="1"/>
  <c r="L166" i="11"/>
  <c r="B166" i="11"/>
  <c r="C166" i="11" s="1"/>
  <c r="L165" i="11"/>
  <c r="B165" i="11"/>
  <c r="C165" i="11" s="1"/>
  <c r="L164" i="11"/>
  <c r="B164" i="11"/>
  <c r="C164" i="11" s="1"/>
  <c r="L163" i="11"/>
  <c r="B163" i="11"/>
  <c r="C163" i="11" s="1"/>
  <c r="L162" i="11"/>
  <c r="B162" i="11"/>
  <c r="C162" i="11" s="1"/>
  <c r="L161" i="11"/>
  <c r="B161" i="11"/>
  <c r="C161" i="11" s="1"/>
  <c r="L160" i="11"/>
  <c r="B160" i="11"/>
  <c r="C160" i="11" s="1"/>
  <c r="L159" i="11"/>
  <c r="B159" i="11"/>
  <c r="C159" i="11" s="1"/>
  <c r="L158" i="11"/>
  <c r="B158" i="11"/>
  <c r="C158" i="11" s="1"/>
  <c r="L157" i="11"/>
  <c r="B157" i="11"/>
  <c r="C157" i="11" s="1"/>
  <c r="L156" i="11"/>
  <c r="B156" i="11"/>
  <c r="C156" i="11" s="1"/>
  <c r="L155" i="11"/>
  <c r="B155" i="11"/>
  <c r="C155" i="11" s="1"/>
  <c r="L154" i="11"/>
  <c r="B154" i="11"/>
  <c r="C154" i="11" s="1"/>
  <c r="L153" i="11"/>
  <c r="B153" i="11"/>
  <c r="C153" i="11" s="1"/>
  <c r="L152" i="11"/>
  <c r="B152" i="11"/>
  <c r="C152" i="11" s="1"/>
  <c r="L151" i="11"/>
  <c r="B151" i="11"/>
  <c r="C151" i="11" s="1"/>
  <c r="L150" i="11"/>
  <c r="B150" i="11"/>
  <c r="C150" i="11" s="1"/>
  <c r="L149" i="11"/>
  <c r="B149" i="11"/>
  <c r="C149" i="11" s="1"/>
  <c r="L148" i="11"/>
  <c r="B148" i="11"/>
  <c r="C148" i="11" s="1"/>
  <c r="L147" i="11"/>
  <c r="B147" i="11"/>
  <c r="C147" i="11" s="1"/>
  <c r="L146" i="11"/>
  <c r="B146" i="11"/>
  <c r="C146" i="11" s="1"/>
  <c r="L145" i="11"/>
  <c r="B145" i="11"/>
  <c r="C145" i="11" s="1"/>
  <c r="L144" i="11"/>
  <c r="B144" i="11"/>
  <c r="C144" i="11" s="1"/>
  <c r="L143" i="11"/>
  <c r="B143" i="11"/>
  <c r="C143" i="11" s="1"/>
  <c r="L142" i="11"/>
  <c r="B142" i="11"/>
  <c r="C142" i="11" s="1"/>
  <c r="L141" i="11"/>
  <c r="B141" i="11"/>
  <c r="C141" i="11" s="1"/>
  <c r="L140" i="11"/>
  <c r="B140" i="11"/>
  <c r="C140" i="11" s="1"/>
  <c r="L139" i="11"/>
  <c r="B139" i="11"/>
  <c r="C139" i="11" s="1"/>
  <c r="L138" i="11"/>
  <c r="B138" i="11"/>
  <c r="C138" i="11" s="1"/>
  <c r="L137" i="11"/>
  <c r="B137" i="11"/>
  <c r="C137" i="11" s="1"/>
  <c r="L136" i="11"/>
  <c r="B136" i="11"/>
  <c r="C136" i="11" s="1"/>
  <c r="L135" i="11"/>
  <c r="B135" i="11"/>
  <c r="C135" i="11" s="1"/>
  <c r="L134" i="11"/>
  <c r="B134" i="11"/>
  <c r="C134" i="11" s="1"/>
  <c r="L133" i="11"/>
  <c r="B133" i="11"/>
  <c r="C133" i="11" s="1"/>
  <c r="L132" i="11"/>
  <c r="B132" i="11"/>
  <c r="C132" i="11" s="1"/>
  <c r="L131" i="11"/>
  <c r="B131" i="11"/>
  <c r="C131" i="11" s="1"/>
  <c r="L130" i="11"/>
  <c r="B130" i="11"/>
  <c r="C130" i="11" s="1"/>
  <c r="L129" i="11"/>
  <c r="B129" i="11"/>
  <c r="C129" i="11" s="1"/>
  <c r="L128" i="11"/>
  <c r="B128" i="11"/>
  <c r="C128" i="11" s="1"/>
  <c r="L127" i="11"/>
  <c r="B127" i="11"/>
  <c r="C127" i="11" s="1"/>
  <c r="L126" i="11"/>
  <c r="B126" i="11"/>
  <c r="C126" i="11" s="1"/>
  <c r="L125" i="11"/>
  <c r="B125" i="11"/>
  <c r="C125" i="11" s="1"/>
  <c r="L124" i="11"/>
  <c r="B124" i="11"/>
  <c r="C124" i="11" s="1"/>
  <c r="L123" i="11"/>
  <c r="B123" i="11"/>
  <c r="C123" i="11" s="1"/>
  <c r="L122" i="11"/>
  <c r="B122" i="11"/>
  <c r="C122" i="11" s="1"/>
  <c r="L121" i="11"/>
  <c r="B121" i="11"/>
  <c r="C121" i="11" s="1"/>
  <c r="L120" i="11"/>
  <c r="B120" i="11"/>
  <c r="C120" i="11" s="1"/>
  <c r="L119" i="11"/>
  <c r="B119" i="11"/>
  <c r="C119" i="11" s="1"/>
  <c r="L118" i="11"/>
  <c r="B118" i="11"/>
  <c r="C118" i="11" s="1"/>
  <c r="L117" i="11"/>
  <c r="B117" i="11"/>
  <c r="C117" i="11" s="1"/>
  <c r="L116" i="11"/>
  <c r="B116" i="11"/>
  <c r="C116" i="11" s="1"/>
  <c r="L115" i="11"/>
  <c r="B115" i="11"/>
  <c r="C115" i="11" s="1"/>
  <c r="L114" i="11"/>
  <c r="B114" i="11"/>
  <c r="C114" i="11" s="1"/>
  <c r="L113" i="11"/>
  <c r="B113" i="11"/>
  <c r="C113" i="11" s="1"/>
  <c r="L112" i="11"/>
  <c r="B112" i="11"/>
  <c r="C112" i="11" s="1"/>
  <c r="L111" i="11"/>
  <c r="B111" i="11"/>
  <c r="C111" i="11" s="1"/>
  <c r="L110" i="11"/>
  <c r="B110" i="11"/>
  <c r="C110" i="11" s="1"/>
  <c r="L109" i="11"/>
  <c r="B109" i="11"/>
  <c r="C109" i="11" s="1"/>
  <c r="L108" i="11"/>
  <c r="B108" i="11"/>
  <c r="C108" i="11" s="1"/>
  <c r="L107" i="11"/>
  <c r="B107" i="11"/>
  <c r="C107" i="11" s="1"/>
  <c r="L106" i="11"/>
  <c r="B106" i="11"/>
  <c r="C106" i="11" s="1"/>
  <c r="L105" i="11"/>
  <c r="B105" i="11"/>
  <c r="C105" i="11" s="1"/>
  <c r="L104" i="11"/>
  <c r="B104" i="11"/>
  <c r="C104" i="11" s="1"/>
  <c r="L103" i="11"/>
  <c r="B103" i="11"/>
  <c r="C103" i="11" s="1"/>
  <c r="L102" i="11"/>
  <c r="B102" i="11"/>
  <c r="C102" i="11" s="1"/>
  <c r="L101" i="11"/>
  <c r="B101" i="11"/>
  <c r="C101" i="11" s="1"/>
  <c r="L100" i="11"/>
  <c r="B100" i="11"/>
  <c r="C100" i="11" s="1"/>
  <c r="L99" i="11"/>
  <c r="B99" i="11"/>
  <c r="C99" i="11" s="1"/>
  <c r="L98" i="11"/>
  <c r="B98" i="11"/>
  <c r="C98" i="11" s="1"/>
  <c r="L97" i="11"/>
  <c r="B97" i="11"/>
  <c r="C97" i="11" s="1"/>
  <c r="L96" i="11"/>
  <c r="B96" i="11"/>
  <c r="C96" i="11" s="1"/>
  <c r="L95" i="11"/>
  <c r="B95" i="11"/>
  <c r="C95" i="11" s="1"/>
  <c r="L94" i="11"/>
  <c r="B94" i="11"/>
  <c r="C94" i="11" s="1"/>
  <c r="L93" i="11"/>
  <c r="B93" i="11"/>
  <c r="C93" i="11" s="1"/>
  <c r="L92" i="11"/>
  <c r="B92" i="11"/>
  <c r="C92" i="11" s="1"/>
  <c r="L91" i="11"/>
  <c r="B91" i="11"/>
  <c r="C91" i="11" s="1"/>
  <c r="L90" i="11"/>
  <c r="B90" i="11"/>
  <c r="C90" i="11" s="1"/>
  <c r="L89" i="11"/>
  <c r="B89" i="11"/>
  <c r="C89" i="11" s="1"/>
  <c r="L88" i="11"/>
  <c r="B88" i="11"/>
  <c r="C88" i="11" s="1"/>
  <c r="L87" i="11"/>
  <c r="B87" i="11"/>
  <c r="C87" i="11" s="1"/>
  <c r="L86" i="11"/>
  <c r="B86" i="11"/>
  <c r="C86" i="11" s="1"/>
  <c r="L85" i="11"/>
  <c r="B85" i="11"/>
  <c r="C85" i="11" s="1"/>
  <c r="L84" i="11"/>
  <c r="B84" i="11"/>
  <c r="C84" i="11" s="1"/>
  <c r="L83" i="11"/>
  <c r="B83" i="11"/>
  <c r="C83" i="11" s="1"/>
  <c r="L82" i="11"/>
  <c r="B82" i="11"/>
  <c r="C82" i="11" s="1"/>
  <c r="L81" i="11"/>
  <c r="B81" i="11"/>
  <c r="C81" i="11" s="1"/>
  <c r="L80" i="11"/>
  <c r="B80" i="11"/>
  <c r="C80" i="11" s="1"/>
  <c r="L79" i="11"/>
  <c r="B79" i="11"/>
  <c r="C79" i="11" s="1"/>
  <c r="L78" i="11"/>
  <c r="B78" i="11"/>
  <c r="C78" i="11" s="1"/>
  <c r="L77" i="11"/>
  <c r="B77" i="11"/>
  <c r="C77" i="11" s="1"/>
  <c r="L76" i="11"/>
  <c r="B76" i="11"/>
  <c r="C76" i="11" s="1"/>
  <c r="L75" i="11"/>
  <c r="B75" i="11"/>
  <c r="C75" i="11" s="1"/>
  <c r="L74" i="11"/>
  <c r="B74" i="11"/>
  <c r="C74" i="11" s="1"/>
  <c r="L73" i="11"/>
  <c r="B73" i="11"/>
  <c r="C73" i="11" s="1"/>
  <c r="L72" i="11"/>
  <c r="B72" i="11"/>
  <c r="C72" i="11" s="1"/>
  <c r="L71" i="11"/>
  <c r="B71" i="11"/>
  <c r="C71" i="11" s="1"/>
  <c r="L70" i="11"/>
  <c r="B70" i="11"/>
  <c r="C70" i="11" s="1"/>
  <c r="L69" i="11"/>
  <c r="B69" i="11"/>
  <c r="C69" i="11" s="1"/>
  <c r="L68" i="11"/>
  <c r="B68" i="11"/>
  <c r="C68" i="11" s="1"/>
  <c r="L67" i="11"/>
  <c r="B67" i="11"/>
  <c r="C67" i="11" s="1"/>
  <c r="L66" i="11"/>
  <c r="B66" i="11"/>
  <c r="C66" i="11" s="1"/>
  <c r="L65" i="11"/>
  <c r="B65" i="11"/>
  <c r="C65" i="11" s="1"/>
  <c r="L64" i="11"/>
  <c r="B64" i="11"/>
  <c r="C64" i="11" s="1"/>
  <c r="L63" i="11"/>
  <c r="B63" i="11"/>
  <c r="C63" i="11" s="1"/>
  <c r="L62" i="11"/>
  <c r="B62" i="11"/>
  <c r="C62" i="11" s="1"/>
  <c r="L61" i="11"/>
  <c r="B61" i="11"/>
  <c r="C61" i="11" s="1"/>
  <c r="L60" i="11"/>
  <c r="B60" i="11"/>
  <c r="C60" i="11" s="1"/>
  <c r="L59" i="11"/>
  <c r="B59" i="11"/>
  <c r="C59" i="11" s="1"/>
  <c r="L58" i="11"/>
  <c r="B58" i="11"/>
  <c r="C58" i="11" s="1"/>
  <c r="L57" i="11"/>
  <c r="B57" i="11"/>
  <c r="C57" i="11" s="1"/>
  <c r="L56" i="11"/>
  <c r="B56" i="11"/>
  <c r="C56" i="11" s="1"/>
  <c r="L55" i="11"/>
  <c r="B55" i="11"/>
  <c r="C55" i="11" s="1"/>
  <c r="L54" i="11"/>
  <c r="B54" i="11"/>
  <c r="C54" i="11" s="1"/>
  <c r="L53" i="11"/>
  <c r="B53" i="11"/>
  <c r="C53" i="11" s="1"/>
  <c r="L52" i="11"/>
  <c r="B52" i="11"/>
  <c r="C52" i="11" s="1"/>
  <c r="L51" i="11"/>
  <c r="B51" i="11"/>
  <c r="C51" i="11" s="1"/>
  <c r="L50" i="11"/>
  <c r="B50" i="11"/>
  <c r="C50" i="11" s="1"/>
  <c r="L49" i="11"/>
  <c r="B49" i="11"/>
  <c r="C49" i="11" s="1"/>
  <c r="L48" i="11"/>
  <c r="B48" i="11"/>
  <c r="C48" i="11" s="1"/>
  <c r="L47" i="11"/>
  <c r="B47" i="11"/>
  <c r="C47" i="11" s="1"/>
  <c r="L46" i="11"/>
  <c r="B46" i="11"/>
  <c r="C46" i="11" s="1"/>
  <c r="L45" i="11"/>
  <c r="B45" i="11"/>
  <c r="C45" i="11" s="1"/>
  <c r="L44" i="11"/>
  <c r="B44" i="11"/>
  <c r="C44" i="11" s="1"/>
  <c r="L43" i="11"/>
  <c r="B43" i="11"/>
  <c r="C43" i="11" s="1"/>
  <c r="L42" i="11"/>
  <c r="B42" i="11"/>
  <c r="C42" i="11" s="1"/>
  <c r="L41" i="11"/>
  <c r="B41" i="11"/>
  <c r="C41" i="11" s="1"/>
  <c r="L40" i="11"/>
  <c r="B40" i="11"/>
  <c r="C40" i="11" s="1"/>
  <c r="L39" i="11"/>
  <c r="B39" i="11"/>
  <c r="C39" i="11" s="1"/>
  <c r="L38" i="11"/>
  <c r="B38" i="11"/>
  <c r="C38" i="11" s="1"/>
  <c r="L37" i="11"/>
  <c r="B37" i="11"/>
  <c r="C37" i="11" s="1"/>
  <c r="L36" i="11"/>
  <c r="B36" i="11"/>
  <c r="C36" i="11" s="1"/>
  <c r="L35" i="11"/>
  <c r="B35" i="11"/>
  <c r="C35" i="11" s="1"/>
  <c r="L34" i="11"/>
  <c r="B34" i="11"/>
  <c r="C34" i="11" s="1"/>
  <c r="L33" i="11"/>
  <c r="B33" i="11"/>
  <c r="C33" i="11" s="1"/>
  <c r="L32" i="11"/>
  <c r="B32" i="11"/>
  <c r="C32" i="11" s="1"/>
  <c r="L31" i="11"/>
  <c r="B31" i="11"/>
  <c r="C31" i="11" s="1"/>
  <c r="L30" i="11"/>
  <c r="B30" i="11"/>
  <c r="C30" i="11" s="1"/>
  <c r="L29" i="11"/>
  <c r="B29" i="11"/>
  <c r="C29" i="11" s="1"/>
  <c r="L28" i="11"/>
  <c r="B28" i="11"/>
  <c r="C28" i="11" s="1"/>
  <c r="L27" i="11"/>
  <c r="B27" i="11"/>
  <c r="C27" i="11" s="1"/>
  <c r="L26" i="11"/>
  <c r="B26" i="11"/>
  <c r="C26" i="11" s="1"/>
  <c r="L25" i="11"/>
  <c r="B25" i="11"/>
  <c r="C25" i="11" s="1"/>
  <c r="L24" i="11"/>
  <c r="B24" i="11"/>
  <c r="C24" i="11" s="1"/>
  <c r="L23" i="11"/>
  <c r="B23" i="11"/>
  <c r="C23" i="11" s="1"/>
  <c r="L22" i="11"/>
  <c r="B22" i="11"/>
  <c r="C22" i="11" s="1"/>
  <c r="L21" i="11"/>
  <c r="B21" i="11"/>
  <c r="C21" i="11" s="1"/>
  <c r="L20" i="11"/>
  <c r="B20" i="11"/>
  <c r="C20" i="11" s="1"/>
  <c r="L19" i="11"/>
  <c r="B19" i="11"/>
  <c r="C19" i="11" s="1"/>
  <c r="L18" i="11"/>
  <c r="B18" i="11"/>
  <c r="C18" i="11" s="1"/>
  <c r="L17" i="11"/>
  <c r="B17" i="11"/>
  <c r="C17" i="11" s="1"/>
  <c r="L16" i="11"/>
  <c r="B16" i="11"/>
  <c r="C16" i="11" s="1"/>
  <c r="L15" i="11"/>
  <c r="B15" i="11"/>
  <c r="C15" i="11" s="1"/>
  <c r="L14" i="11"/>
  <c r="B14" i="11"/>
  <c r="C14" i="11" s="1"/>
  <c r="L13" i="11"/>
  <c r="B13" i="11"/>
  <c r="C13" i="11" s="1"/>
  <c r="L12" i="11"/>
  <c r="B12" i="11"/>
  <c r="C12" i="11" s="1"/>
  <c r="L11" i="11"/>
  <c r="B11" i="11"/>
  <c r="C11" i="11" s="1"/>
  <c r="L10" i="11"/>
  <c r="B10" i="11"/>
  <c r="C10" i="11" s="1"/>
  <c r="L9" i="11"/>
  <c r="B9" i="11"/>
  <c r="D6" i="11"/>
  <c r="D5" i="11"/>
  <c r="D4" i="11"/>
  <c r="D3" i="11"/>
  <c r="L996" i="10"/>
  <c r="B996" i="10"/>
  <c r="C996" i="10" s="1"/>
  <c r="L995" i="10"/>
  <c r="B995" i="10"/>
  <c r="C995" i="10" s="1"/>
  <c r="L994" i="10"/>
  <c r="B994" i="10"/>
  <c r="C994" i="10" s="1"/>
  <c r="L993" i="10"/>
  <c r="B993" i="10"/>
  <c r="C993" i="10" s="1"/>
  <c r="L992" i="10"/>
  <c r="B992" i="10"/>
  <c r="C992" i="10" s="1"/>
  <c r="L991" i="10"/>
  <c r="B991" i="10"/>
  <c r="C991" i="10" s="1"/>
  <c r="L990" i="10"/>
  <c r="B990" i="10"/>
  <c r="C990" i="10" s="1"/>
  <c r="L989" i="10"/>
  <c r="B989" i="10"/>
  <c r="C989" i="10" s="1"/>
  <c r="L988" i="10"/>
  <c r="B988" i="10"/>
  <c r="C988" i="10" s="1"/>
  <c r="L987" i="10"/>
  <c r="B987" i="10"/>
  <c r="C987" i="10" s="1"/>
  <c r="L986" i="10"/>
  <c r="B986" i="10"/>
  <c r="C986" i="10" s="1"/>
  <c r="L985" i="10"/>
  <c r="B985" i="10"/>
  <c r="C985" i="10" s="1"/>
  <c r="L984" i="10"/>
  <c r="B984" i="10"/>
  <c r="C984" i="10" s="1"/>
  <c r="L983" i="10"/>
  <c r="B983" i="10"/>
  <c r="C983" i="10" s="1"/>
  <c r="L982" i="10"/>
  <c r="B982" i="10"/>
  <c r="C982" i="10" s="1"/>
  <c r="L981" i="10"/>
  <c r="B981" i="10"/>
  <c r="C981" i="10" s="1"/>
  <c r="L980" i="10"/>
  <c r="B980" i="10"/>
  <c r="C980" i="10" s="1"/>
  <c r="L979" i="10"/>
  <c r="B979" i="10"/>
  <c r="C979" i="10" s="1"/>
  <c r="L978" i="10"/>
  <c r="B978" i="10"/>
  <c r="C978" i="10" s="1"/>
  <c r="L977" i="10"/>
  <c r="B977" i="10"/>
  <c r="C977" i="10" s="1"/>
  <c r="L976" i="10"/>
  <c r="B976" i="10"/>
  <c r="C976" i="10" s="1"/>
  <c r="L975" i="10"/>
  <c r="B975" i="10"/>
  <c r="C975" i="10" s="1"/>
  <c r="L974" i="10"/>
  <c r="B974" i="10"/>
  <c r="C974" i="10" s="1"/>
  <c r="L973" i="10"/>
  <c r="B973" i="10"/>
  <c r="C973" i="10" s="1"/>
  <c r="L972" i="10"/>
  <c r="B972" i="10"/>
  <c r="C972" i="10" s="1"/>
  <c r="L971" i="10"/>
  <c r="B971" i="10"/>
  <c r="C971" i="10" s="1"/>
  <c r="L970" i="10"/>
  <c r="B970" i="10"/>
  <c r="C970" i="10" s="1"/>
  <c r="L969" i="10"/>
  <c r="B969" i="10"/>
  <c r="C969" i="10" s="1"/>
  <c r="L968" i="10"/>
  <c r="B968" i="10"/>
  <c r="C968" i="10" s="1"/>
  <c r="L967" i="10"/>
  <c r="B967" i="10"/>
  <c r="C967" i="10" s="1"/>
  <c r="L966" i="10"/>
  <c r="B966" i="10"/>
  <c r="C966" i="10" s="1"/>
  <c r="L965" i="10"/>
  <c r="B965" i="10"/>
  <c r="C965" i="10" s="1"/>
  <c r="L964" i="10"/>
  <c r="B964" i="10"/>
  <c r="C964" i="10" s="1"/>
  <c r="L963" i="10"/>
  <c r="B963" i="10"/>
  <c r="C963" i="10" s="1"/>
  <c r="L962" i="10"/>
  <c r="B962" i="10"/>
  <c r="C962" i="10" s="1"/>
  <c r="L961" i="10"/>
  <c r="B961" i="10"/>
  <c r="C961" i="10" s="1"/>
  <c r="L960" i="10"/>
  <c r="B960" i="10"/>
  <c r="C960" i="10" s="1"/>
  <c r="L959" i="10"/>
  <c r="B959" i="10"/>
  <c r="C959" i="10" s="1"/>
  <c r="L958" i="10"/>
  <c r="B958" i="10"/>
  <c r="C958" i="10" s="1"/>
  <c r="L957" i="10"/>
  <c r="B957" i="10"/>
  <c r="C957" i="10" s="1"/>
  <c r="L956" i="10"/>
  <c r="B956" i="10"/>
  <c r="C956" i="10" s="1"/>
  <c r="L955" i="10"/>
  <c r="B955" i="10"/>
  <c r="C955" i="10" s="1"/>
  <c r="L954" i="10"/>
  <c r="B954" i="10"/>
  <c r="C954" i="10" s="1"/>
  <c r="L953" i="10"/>
  <c r="B953" i="10"/>
  <c r="C953" i="10" s="1"/>
  <c r="L952" i="10"/>
  <c r="B952" i="10"/>
  <c r="C952" i="10" s="1"/>
  <c r="L951" i="10"/>
  <c r="B951" i="10"/>
  <c r="C951" i="10" s="1"/>
  <c r="L950" i="10"/>
  <c r="B950" i="10"/>
  <c r="C950" i="10" s="1"/>
  <c r="L949" i="10"/>
  <c r="B949" i="10"/>
  <c r="C949" i="10" s="1"/>
  <c r="L948" i="10"/>
  <c r="B948" i="10"/>
  <c r="C948" i="10" s="1"/>
  <c r="L947" i="10"/>
  <c r="B947" i="10"/>
  <c r="C947" i="10" s="1"/>
  <c r="L946" i="10"/>
  <c r="B946" i="10"/>
  <c r="C946" i="10" s="1"/>
  <c r="L945" i="10"/>
  <c r="B945" i="10"/>
  <c r="C945" i="10" s="1"/>
  <c r="L944" i="10"/>
  <c r="B944" i="10"/>
  <c r="C944" i="10" s="1"/>
  <c r="L943" i="10"/>
  <c r="B943" i="10"/>
  <c r="C943" i="10" s="1"/>
  <c r="L942" i="10"/>
  <c r="B942" i="10"/>
  <c r="C942" i="10" s="1"/>
  <c r="L941" i="10"/>
  <c r="B941" i="10"/>
  <c r="C941" i="10" s="1"/>
  <c r="L940" i="10"/>
  <c r="B940" i="10"/>
  <c r="C940" i="10" s="1"/>
  <c r="L939" i="10"/>
  <c r="B939" i="10"/>
  <c r="C939" i="10" s="1"/>
  <c r="L938" i="10"/>
  <c r="B938" i="10"/>
  <c r="C938" i="10" s="1"/>
  <c r="L937" i="10"/>
  <c r="B937" i="10"/>
  <c r="C937" i="10" s="1"/>
  <c r="L936" i="10"/>
  <c r="B936" i="10"/>
  <c r="C936" i="10" s="1"/>
  <c r="L935" i="10"/>
  <c r="B935" i="10"/>
  <c r="C935" i="10" s="1"/>
  <c r="L934" i="10"/>
  <c r="B934" i="10"/>
  <c r="C934" i="10" s="1"/>
  <c r="L933" i="10"/>
  <c r="B933" i="10"/>
  <c r="C933" i="10" s="1"/>
  <c r="L932" i="10"/>
  <c r="B932" i="10"/>
  <c r="C932" i="10" s="1"/>
  <c r="L931" i="10"/>
  <c r="B931" i="10"/>
  <c r="C931" i="10" s="1"/>
  <c r="L930" i="10"/>
  <c r="B930" i="10"/>
  <c r="C930" i="10" s="1"/>
  <c r="L929" i="10"/>
  <c r="B929" i="10"/>
  <c r="C929" i="10" s="1"/>
  <c r="L928" i="10"/>
  <c r="B928" i="10"/>
  <c r="C928" i="10" s="1"/>
  <c r="L927" i="10"/>
  <c r="B927" i="10"/>
  <c r="C927" i="10" s="1"/>
  <c r="L926" i="10"/>
  <c r="B926" i="10"/>
  <c r="C926" i="10" s="1"/>
  <c r="L925" i="10"/>
  <c r="B925" i="10"/>
  <c r="C925" i="10" s="1"/>
  <c r="L924" i="10"/>
  <c r="B924" i="10"/>
  <c r="C924" i="10" s="1"/>
  <c r="L923" i="10"/>
  <c r="B923" i="10"/>
  <c r="C923" i="10" s="1"/>
  <c r="L922" i="10"/>
  <c r="B922" i="10"/>
  <c r="C922" i="10" s="1"/>
  <c r="L921" i="10"/>
  <c r="B921" i="10"/>
  <c r="C921" i="10" s="1"/>
  <c r="L920" i="10"/>
  <c r="B920" i="10"/>
  <c r="C920" i="10" s="1"/>
  <c r="L919" i="10"/>
  <c r="B919" i="10"/>
  <c r="C919" i="10" s="1"/>
  <c r="L918" i="10"/>
  <c r="B918" i="10"/>
  <c r="C918" i="10" s="1"/>
  <c r="L917" i="10"/>
  <c r="B917" i="10"/>
  <c r="C917" i="10" s="1"/>
  <c r="L916" i="10"/>
  <c r="B916" i="10"/>
  <c r="C916" i="10" s="1"/>
  <c r="L915" i="10"/>
  <c r="B915" i="10"/>
  <c r="C915" i="10" s="1"/>
  <c r="L914" i="10"/>
  <c r="B914" i="10"/>
  <c r="C914" i="10" s="1"/>
  <c r="L913" i="10"/>
  <c r="B913" i="10"/>
  <c r="C913" i="10" s="1"/>
  <c r="L912" i="10"/>
  <c r="B912" i="10"/>
  <c r="C912" i="10" s="1"/>
  <c r="L911" i="10"/>
  <c r="B911" i="10"/>
  <c r="C911" i="10" s="1"/>
  <c r="L910" i="10"/>
  <c r="B910" i="10"/>
  <c r="C910" i="10" s="1"/>
  <c r="L909" i="10"/>
  <c r="B909" i="10"/>
  <c r="C909" i="10" s="1"/>
  <c r="L908" i="10"/>
  <c r="B908" i="10"/>
  <c r="C908" i="10" s="1"/>
  <c r="L907" i="10"/>
  <c r="B907" i="10"/>
  <c r="C907" i="10" s="1"/>
  <c r="L906" i="10"/>
  <c r="B906" i="10"/>
  <c r="C906" i="10" s="1"/>
  <c r="L905" i="10"/>
  <c r="B905" i="10"/>
  <c r="C905" i="10" s="1"/>
  <c r="L904" i="10"/>
  <c r="B904" i="10"/>
  <c r="C904" i="10" s="1"/>
  <c r="L903" i="10"/>
  <c r="B903" i="10"/>
  <c r="C903" i="10" s="1"/>
  <c r="L902" i="10"/>
  <c r="B902" i="10"/>
  <c r="C902" i="10" s="1"/>
  <c r="L901" i="10"/>
  <c r="B901" i="10"/>
  <c r="C901" i="10" s="1"/>
  <c r="L900" i="10"/>
  <c r="B900" i="10"/>
  <c r="C900" i="10" s="1"/>
  <c r="L899" i="10"/>
  <c r="B899" i="10"/>
  <c r="C899" i="10" s="1"/>
  <c r="L898" i="10"/>
  <c r="B898" i="10"/>
  <c r="C898" i="10" s="1"/>
  <c r="L897" i="10"/>
  <c r="B897" i="10"/>
  <c r="C897" i="10" s="1"/>
  <c r="L896" i="10"/>
  <c r="B896" i="10"/>
  <c r="C896" i="10" s="1"/>
  <c r="L895" i="10"/>
  <c r="B895" i="10"/>
  <c r="C895" i="10" s="1"/>
  <c r="L894" i="10"/>
  <c r="B894" i="10"/>
  <c r="C894" i="10" s="1"/>
  <c r="L893" i="10"/>
  <c r="B893" i="10"/>
  <c r="C893" i="10" s="1"/>
  <c r="L892" i="10"/>
  <c r="B892" i="10"/>
  <c r="C892" i="10" s="1"/>
  <c r="L891" i="10"/>
  <c r="B891" i="10"/>
  <c r="C891" i="10" s="1"/>
  <c r="L890" i="10"/>
  <c r="B890" i="10"/>
  <c r="C890" i="10" s="1"/>
  <c r="L889" i="10"/>
  <c r="B889" i="10"/>
  <c r="C889" i="10" s="1"/>
  <c r="L888" i="10"/>
  <c r="B888" i="10"/>
  <c r="C888" i="10" s="1"/>
  <c r="L887" i="10"/>
  <c r="B887" i="10"/>
  <c r="C887" i="10" s="1"/>
  <c r="L886" i="10"/>
  <c r="B886" i="10"/>
  <c r="C886" i="10" s="1"/>
  <c r="L885" i="10"/>
  <c r="B885" i="10"/>
  <c r="C885" i="10" s="1"/>
  <c r="L884" i="10"/>
  <c r="B884" i="10"/>
  <c r="C884" i="10" s="1"/>
  <c r="L883" i="10"/>
  <c r="B883" i="10"/>
  <c r="C883" i="10" s="1"/>
  <c r="L882" i="10"/>
  <c r="B882" i="10"/>
  <c r="C882" i="10" s="1"/>
  <c r="L881" i="10"/>
  <c r="B881" i="10"/>
  <c r="C881" i="10" s="1"/>
  <c r="L880" i="10"/>
  <c r="B880" i="10"/>
  <c r="C880" i="10" s="1"/>
  <c r="L879" i="10"/>
  <c r="B879" i="10"/>
  <c r="C879" i="10" s="1"/>
  <c r="L878" i="10"/>
  <c r="B878" i="10"/>
  <c r="C878" i="10" s="1"/>
  <c r="L877" i="10"/>
  <c r="B877" i="10"/>
  <c r="C877" i="10" s="1"/>
  <c r="L876" i="10"/>
  <c r="B876" i="10"/>
  <c r="C876" i="10" s="1"/>
  <c r="L875" i="10"/>
  <c r="B875" i="10"/>
  <c r="C875" i="10" s="1"/>
  <c r="L874" i="10"/>
  <c r="B874" i="10"/>
  <c r="C874" i="10" s="1"/>
  <c r="L873" i="10"/>
  <c r="B873" i="10"/>
  <c r="C873" i="10" s="1"/>
  <c r="L872" i="10"/>
  <c r="B872" i="10"/>
  <c r="C872" i="10" s="1"/>
  <c r="L871" i="10"/>
  <c r="B871" i="10"/>
  <c r="C871" i="10" s="1"/>
  <c r="L870" i="10"/>
  <c r="B870" i="10"/>
  <c r="C870" i="10" s="1"/>
  <c r="L869" i="10"/>
  <c r="B869" i="10"/>
  <c r="C869" i="10" s="1"/>
  <c r="L868" i="10"/>
  <c r="B868" i="10"/>
  <c r="C868" i="10" s="1"/>
  <c r="L867" i="10"/>
  <c r="B867" i="10"/>
  <c r="C867" i="10" s="1"/>
  <c r="L866" i="10"/>
  <c r="B866" i="10"/>
  <c r="C866" i="10" s="1"/>
  <c r="L865" i="10"/>
  <c r="B865" i="10"/>
  <c r="C865" i="10" s="1"/>
  <c r="L864" i="10"/>
  <c r="B864" i="10"/>
  <c r="C864" i="10" s="1"/>
  <c r="L863" i="10"/>
  <c r="B863" i="10"/>
  <c r="C863" i="10" s="1"/>
  <c r="L862" i="10"/>
  <c r="B862" i="10"/>
  <c r="C862" i="10" s="1"/>
  <c r="L861" i="10"/>
  <c r="B861" i="10"/>
  <c r="C861" i="10" s="1"/>
  <c r="L860" i="10"/>
  <c r="B860" i="10"/>
  <c r="C860" i="10" s="1"/>
  <c r="L859" i="10"/>
  <c r="B859" i="10"/>
  <c r="C859" i="10" s="1"/>
  <c r="L858" i="10"/>
  <c r="B858" i="10"/>
  <c r="C858" i="10" s="1"/>
  <c r="L857" i="10"/>
  <c r="B857" i="10"/>
  <c r="C857" i="10" s="1"/>
  <c r="L856" i="10"/>
  <c r="B856" i="10"/>
  <c r="C856" i="10" s="1"/>
  <c r="L855" i="10"/>
  <c r="B855" i="10"/>
  <c r="C855" i="10" s="1"/>
  <c r="L854" i="10"/>
  <c r="B854" i="10"/>
  <c r="C854" i="10" s="1"/>
  <c r="L853" i="10"/>
  <c r="B853" i="10"/>
  <c r="C853" i="10" s="1"/>
  <c r="L852" i="10"/>
  <c r="B852" i="10"/>
  <c r="C852" i="10" s="1"/>
  <c r="L851" i="10"/>
  <c r="B851" i="10"/>
  <c r="C851" i="10" s="1"/>
  <c r="L850" i="10"/>
  <c r="B850" i="10"/>
  <c r="C850" i="10" s="1"/>
  <c r="L849" i="10"/>
  <c r="B849" i="10"/>
  <c r="C849" i="10" s="1"/>
  <c r="L848" i="10"/>
  <c r="B848" i="10"/>
  <c r="C848" i="10" s="1"/>
  <c r="L847" i="10"/>
  <c r="B847" i="10"/>
  <c r="C847" i="10" s="1"/>
  <c r="L846" i="10"/>
  <c r="B846" i="10"/>
  <c r="C846" i="10" s="1"/>
  <c r="L845" i="10"/>
  <c r="B845" i="10"/>
  <c r="C845" i="10" s="1"/>
  <c r="L844" i="10"/>
  <c r="B844" i="10"/>
  <c r="C844" i="10" s="1"/>
  <c r="L843" i="10"/>
  <c r="B843" i="10"/>
  <c r="C843" i="10" s="1"/>
  <c r="L842" i="10"/>
  <c r="B842" i="10"/>
  <c r="C842" i="10" s="1"/>
  <c r="L841" i="10"/>
  <c r="B841" i="10"/>
  <c r="C841" i="10" s="1"/>
  <c r="L840" i="10"/>
  <c r="B840" i="10"/>
  <c r="C840" i="10" s="1"/>
  <c r="L839" i="10"/>
  <c r="B839" i="10"/>
  <c r="C839" i="10" s="1"/>
  <c r="L838" i="10"/>
  <c r="B838" i="10"/>
  <c r="C838" i="10" s="1"/>
  <c r="L837" i="10"/>
  <c r="B837" i="10"/>
  <c r="C837" i="10" s="1"/>
  <c r="L836" i="10"/>
  <c r="B836" i="10"/>
  <c r="C836" i="10" s="1"/>
  <c r="L835" i="10"/>
  <c r="B835" i="10"/>
  <c r="C835" i="10" s="1"/>
  <c r="L834" i="10"/>
  <c r="B834" i="10"/>
  <c r="C834" i="10" s="1"/>
  <c r="L833" i="10"/>
  <c r="B833" i="10"/>
  <c r="C833" i="10" s="1"/>
  <c r="L832" i="10"/>
  <c r="B832" i="10"/>
  <c r="C832" i="10" s="1"/>
  <c r="L831" i="10"/>
  <c r="B831" i="10"/>
  <c r="C831" i="10" s="1"/>
  <c r="L830" i="10"/>
  <c r="B830" i="10"/>
  <c r="C830" i="10" s="1"/>
  <c r="L829" i="10"/>
  <c r="B829" i="10"/>
  <c r="C829" i="10" s="1"/>
  <c r="L828" i="10"/>
  <c r="B828" i="10"/>
  <c r="C828" i="10" s="1"/>
  <c r="L827" i="10"/>
  <c r="B827" i="10"/>
  <c r="C827" i="10" s="1"/>
  <c r="L826" i="10"/>
  <c r="B826" i="10"/>
  <c r="C826" i="10" s="1"/>
  <c r="L825" i="10"/>
  <c r="B825" i="10"/>
  <c r="C825" i="10" s="1"/>
  <c r="L824" i="10"/>
  <c r="B824" i="10"/>
  <c r="C824" i="10" s="1"/>
  <c r="L823" i="10"/>
  <c r="B823" i="10"/>
  <c r="C823" i="10" s="1"/>
  <c r="L822" i="10"/>
  <c r="B822" i="10"/>
  <c r="C822" i="10" s="1"/>
  <c r="L821" i="10"/>
  <c r="B821" i="10"/>
  <c r="C821" i="10" s="1"/>
  <c r="L820" i="10"/>
  <c r="B820" i="10"/>
  <c r="C820" i="10" s="1"/>
  <c r="L819" i="10"/>
  <c r="B819" i="10"/>
  <c r="C819" i="10" s="1"/>
  <c r="L818" i="10"/>
  <c r="B818" i="10"/>
  <c r="C818" i="10" s="1"/>
  <c r="L817" i="10"/>
  <c r="B817" i="10"/>
  <c r="C817" i="10" s="1"/>
  <c r="L816" i="10"/>
  <c r="B816" i="10"/>
  <c r="C816" i="10" s="1"/>
  <c r="L815" i="10"/>
  <c r="B815" i="10"/>
  <c r="C815" i="10" s="1"/>
  <c r="L814" i="10"/>
  <c r="B814" i="10"/>
  <c r="C814" i="10" s="1"/>
  <c r="L813" i="10"/>
  <c r="B813" i="10"/>
  <c r="C813" i="10" s="1"/>
  <c r="L812" i="10"/>
  <c r="B812" i="10"/>
  <c r="C812" i="10" s="1"/>
  <c r="L811" i="10"/>
  <c r="B811" i="10"/>
  <c r="C811" i="10" s="1"/>
  <c r="L810" i="10"/>
  <c r="B810" i="10"/>
  <c r="C810" i="10" s="1"/>
  <c r="L809" i="10"/>
  <c r="B809" i="10"/>
  <c r="C809" i="10" s="1"/>
  <c r="L808" i="10"/>
  <c r="B808" i="10"/>
  <c r="C808" i="10" s="1"/>
  <c r="L807" i="10"/>
  <c r="B807" i="10"/>
  <c r="C807" i="10" s="1"/>
  <c r="L806" i="10"/>
  <c r="B806" i="10"/>
  <c r="C806" i="10" s="1"/>
  <c r="L805" i="10"/>
  <c r="B805" i="10"/>
  <c r="C805" i="10" s="1"/>
  <c r="L804" i="10"/>
  <c r="B804" i="10"/>
  <c r="C804" i="10" s="1"/>
  <c r="L803" i="10"/>
  <c r="B803" i="10"/>
  <c r="C803" i="10" s="1"/>
  <c r="L802" i="10"/>
  <c r="B802" i="10"/>
  <c r="C802" i="10" s="1"/>
  <c r="L801" i="10"/>
  <c r="B801" i="10"/>
  <c r="C801" i="10" s="1"/>
  <c r="L800" i="10"/>
  <c r="B800" i="10"/>
  <c r="C800" i="10" s="1"/>
  <c r="L799" i="10"/>
  <c r="B799" i="10"/>
  <c r="C799" i="10" s="1"/>
  <c r="L798" i="10"/>
  <c r="B798" i="10"/>
  <c r="C798" i="10" s="1"/>
  <c r="L797" i="10"/>
  <c r="B797" i="10"/>
  <c r="C797" i="10" s="1"/>
  <c r="L796" i="10"/>
  <c r="B796" i="10"/>
  <c r="C796" i="10" s="1"/>
  <c r="L795" i="10"/>
  <c r="B795" i="10"/>
  <c r="C795" i="10" s="1"/>
  <c r="L794" i="10"/>
  <c r="B794" i="10"/>
  <c r="C794" i="10" s="1"/>
  <c r="L793" i="10"/>
  <c r="B793" i="10"/>
  <c r="C793" i="10" s="1"/>
  <c r="L792" i="10"/>
  <c r="B792" i="10"/>
  <c r="C792" i="10" s="1"/>
  <c r="L791" i="10"/>
  <c r="B791" i="10"/>
  <c r="C791" i="10" s="1"/>
  <c r="L790" i="10"/>
  <c r="B790" i="10"/>
  <c r="C790" i="10" s="1"/>
  <c r="L789" i="10"/>
  <c r="B789" i="10"/>
  <c r="C789" i="10" s="1"/>
  <c r="L788" i="10"/>
  <c r="B788" i="10"/>
  <c r="C788" i="10" s="1"/>
  <c r="L787" i="10"/>
  <c r="B787" i="10"/>
  <c r="C787" i="10" s="1"/>
  <c r="L786" i="10"/>
  <c r="B786" i="10"/>
  <c r="C786" i="10" s="1"/>
  <c r="L785" i="10"/>
  <c r="B785" i="10"/>
  <c r="C785" i="10" s="1"/>
  <c r="L784" i="10"/>
  <c r="B784" i="10"/>
  <c r="C784" i="10" s="1"/>
  <c r="L783" i="10"/>
  <c r="B783" i="10"/>
  <c r="C783" i="10" s="1"/>
  <c r="L782" i="10"/>
  <c r="B782" i="10"/>
  <c r="C782" i="10" s="1"/>
  <c r="L781" i="10"/>
  <c r="B781" i="10"/>
  <c r="C781" i="10" s="1"/>
  <c r="L780" i="10"/>
  <c r="B780" i="10"/>
  <c r="C780" i="10" s="1"/>
  <c r="L779" i="10"/>
  <c r="B779" i="10"/>
  <c r="C779" i="10" s="1"/>
  <c r="L778" i="10"/>
  <c r="B778" i="10"/>
  <c r="C778" i="10" s="1"/>
  <c r="L777" i="10"/>
  <c r="B777" i="10"/>
  <c r="C777" i="10" s="1"/>
  <c r="L776" i="10"/>
  <c r="B776" i="10"/>
  <c r="C776" i="10" s="1"/>
  <c r="L775" i="10"/>
  <c r="B775" i="10"/>
  <c r="C775" i="10" s="1"/>
  <c r="L774" i="10"/>
  <c r="B774" i="10"/>
  <c r="C774" i="10" s="1"/>
  <c r="L773" i="10"/>
  <c r="B773" i="10"/>
  <c r="C773" i="10" s="1"/>
  <c r="L772" i="10"/>
  <c r="B772" i="10"/>
  <c r="C772" i="10" s="1"/>
  <c r="L771" i="10"/>
  <c r="B771" i="10"/>
  <c r="C771" i="10" s="1"/>
  <c r="L770" i="10"/>
  <c r="B770" i="10"/>
  <c r="C770" i="10" s="1"/>
  <c r="L769" i="10"/>
  <c r="B769" i="10"/>
  <c r="C769" i="10" s="1"/>
  <c r="L768" i="10"/>
  <c r="B768" i="10"/>
  <c r="C768" i="10" s="1"/>
  <c r="L767" i="10"/>
  <c r="B767" i="10"/>
  <c r="C767" i="10" s="1"/>
  <c r="L766" i="10"/>
  <c r="B766" i="10"/>
  <c r="C766" i="10" s="1"/>
  <c r="L765" i="10"/>
  <c r="B765" i="10"/>
  <c r="C765" i="10" s="1"/>
  <c r="L764" i="10"/>
  <c r="B764" i="10"/>
  <c r="C764" i="10" s="1"/>
  <c r="L763" i="10"/>
  <c r="B763" i="10"/>
  <c r="C763" i="10" s="1"/>
  <c r="L762" i="10"/>
  <c r="B762" i="10"/>
  <c r="C762" i="10" s="1"/>
  <c r="L761" i="10"/>
  <c r="B761" i="10"/>
  <c r="C761" i="10" s="1"/>
  <c r="L760" i="10"/>
  <c r="B760" i="10"/>
  <c r="C760" i="10" s="1"/>
  <c r="L759" i="10"/>
  <c r="B759" i="10"/>
  <c r="C759" i="10" s="1"/>
  <c r="L758" i="10"/>
  <c r="B758" i="10"/>
  <c r="C758" i="10" s="1"/>
  <c r="L757" i="10"/>
  <c r="B757" i="10"/>
  <c r="C757" i="10" s="1"/>
  <c r="L756" i="10"/>
  <c r="B756" i="10"/>
  <c r="C756" i="10" s="1"/>
  <c r="L755" i="10"/>
  <c r="B755" i="10"/>
  <c r="C755" i="10" s="1"/>
  <c r="L754" i="10"/>
  <c r="B754" i="10"/>
  <c r="C754" i="10" s="1"/>
  <c r="L753" i="10"/>
  <c r="B753" i="10"/>
  <c r="C753" i="10" s="1"/>
  <c r="L752" i="10"/>
  <c r="B752" i="10"/>
  <c r="C752" i="10" s="1"/>
  <c r="L751" i="10"/>
  <c r="B751" i="10"/>
  <c r="C751" i="10" s="1"/>
  <c r="L750" i="10"/>
  <c r="B750" i="10"/>
  <c r="C750" i="10" s="1"/>
  <c r="L749" i="10"/>
  <c r="B749" i="10"/>
  <c r="C749" i="10" s="1"/>
  <c r="L748" i="10"/>
  <c r="B748" i="10"/>
  <c r="C748" i="10" s="1"/>
  <c r="L747" i="10"/>
  <c r="B747" i="10"/>
  <c r="C747" i="10" s="1"/>
  <c r="L746" i="10"/>
  <c r="B746" i="10"/>
  <c r="C746" i="10" s="1"/>
  <c r="L745" i="10"/>
  <c r="B745" i="10"/>
  <c r="C745" i="10" s="1"/>
  <c r="L744" i="10"/>
  <c r="B744" i="10"/>
  <c r="C744" i="10" s="1"/>
  <c r="L743" i="10"/>
  <c r="B743" i="10"/>
  <c r="C743" i="10" s="1"/>
  <c r="L742" i="10"/>
  <c r="B742" i="10"/>
  <c r="C742" i="10" s="1"/>
  <c r="L741" i="10"/>
  <c r="B741" i="10"/>
  <c r="C741" i="10" s="1"/>
  <c r="L740" i="10"/>
  <c r="B740" i="10"/>
  <c r="C740" i="10" s="1"/>
  <c r="L739" i="10"/>
  <c r="B739" i="10"/>
  <c r="C739" i="10" s="1"/>
  <c r="L738" i="10"/>
  <c r="B738" i="10"/>
  <c r="C738" i="10" s="1"/>
  <c r="L737" i="10"/>
  <c r="B737" i="10"/>
  <c r="C737" i="10" s="1"/>
  <c r="L736" i="10"/>
  <c r="B736" i="10"/>
  <c r="C736" i="10" s="1"/>
  <c r="L735" i="10"/>
  <c r="B735" i="10"/>
  <c r="C735" i="10" s="1"/>
  <c r="L734" i="10"/>
  <c r="B734" i="10"/>
  <c r="C734" i="10" s="1"/>
  <c r="L733" i="10"/>
  <c r="B733" i="10"/>
  <c r="C733" i="10" s="1"/>
  <c r="L732" i="10"/>
  <c r="B732" i="10"/>
  <c r="C732" i="10" s="1"/>
  <c r="L731" i="10"/>
  <c r="B731" i="10"/>
  <c r="C731" i="10" s="1"/>
  <c r="L730" i="10"/>
  <c r="B730" i="10"/>
  <c r="C730" i="10" s="1"/>
  <c r="L729" i="10"/>
  <c r="B729" i="10"/>
  <c r="C729" i="10" s="1"/>
  <c r="L728" i="10"/>
  <c r="B728" i="10"/>
  <c r="C728" i="10" s="1"/>
  <c r="L727" i="10"/>
  <c r="B727" i="10"/>
  <c r="C727" i="10" s="1"/>
  <c r="L726" i="10"/>
  <c r="B726" i="10"/>
  <c r="C726" i="10" s="1"/>
  <c r="L725" i="10"/>
  <c r="B725" i="10"/>
  <c r="C725" i="10" s="1"/>
  <c r="L724" i="10"/>
  <c r="B724" i="10"/>
  <c r="C724" i="10" s="1"/>
  <c r="L723" i="10"/>
  <c r="B723" i="10"/>
  <c r="C723" i="10" s="1"/>
  <c r="L722" i="10"/>
  <c r="B722" i="10"/>
  <c r="C722" i="10" s="1"/>
  <c r="L721" i="10"/>
  <c r="B721" i="10"/>
  <c r="C721" i="10" s="1"/>
  <c r="L720" i="10"/>
  <c r="B720" i="10"/>
  <c r="C720" i="10" s="1"/>
  <c r="L719" i="10"/>
  <c r="B719" i="10"/>
  <c r="C719" i="10" s="1"/>
  <c r="L718" i="10"/>
  <c r="B718" i="10"/>
  <c r="C718" i="10" s="1"/>
  <c r="L717" i="10"/>
  <c r="B717" i="10"/>
  <c r="C717" i="10" s="1"/>
  <c r="L716" i="10"/>
  <c r="B716" i="10"/>
  <c r="C716" i="10" s="1"/>
  <c r="L715" i="10"/>
  <c r="B715" i="10"/>
  <c r="C715" i="10" s="1"/>
  <c r="L714" i="10"/>
  <c r="B714" i="10"/>
  <c r="C714" i="10" s="1"/>
  <c r="L713" i="10"/>
  <c r="B713" i="10"/>
  <c r="C713" i="10" s="1"/>
  <c r="L712" i="10"/>
  <c r="B712" i="10"/>
  <c r="C712" i="10" s="1"/>
  <c r="L711" i="10"/>
  <c r="B711" i="10"/>
  <c r="C711" i="10" s="1"/>
  <c r="L710" i="10"/>
  <c r="B710" i="10"/>
  <c r="C710" i="10" s="1"/>
  <c r="L709" i="10"/>
  <c r="B709" i="10"/>
  <c r="C709" i="10" s="1"/>
  <c r="L708" i="10"/>
  <c r="B708" i="10"/>
  <c r="C708" i="10" s="1"/>
  <c r="L707" i="10"/>
  <c r="B707" i="10"/>
  <c r="C707" i="10" s="1"/>
  <c r="L706" i="10"/>
  <c r="B706" i="10"/>
  <c r="C706" i="10" s="1"/>
  <c r="L705" i="10"/>
  <c r="B705" i="10"/>
  <c r="C705" i="10" s="1"/>
  <c r="L704" i="10"/>
  <c r="B704" i="10"/>
  <c r="C704" i="10" s="1"/>
  <c r="L703" i="10"/>
  <c r="B703" i="10"/>
  <c r="C703" i="10" s="1"/>
  <c r="L702" i="10"/>
  <c r="B702" i="10"/>
  <c r="C702" i="10" s="1"/>
  <c r="L701" i="10"/>
  <c r="B701" i="10"/>
  <c r="C701" i="10" s="1"/>
  <c r="L700" i="10"/>
  <c r="B700" i="10"/>
  <c r="C700" i="10" s="1"/>
  <c r="L699" i="10"/>
  <c r="B699" i="10"/>
  <c r="C699" i="10" s="1"/>
  <c r="L698" i="10"/>
  <c r="B698" i="10"/>
  <c r="C698" i="10" s="1"/>
  <c r="L697" i="10"/>
  <c r="B697" i="10"/>
  <c r="C697" i="10" s="1"/>
  <c r="L696" i="10"/>
  <c r="B696" i="10"/>
  <c r="C696" i="10" s="1"/>
  <c r="L695" i="10"/>
  <c r="B695" i="10"/>
  <c r="C695" i="10" s="1"/>
  <c r="L694" i="10"/>
  <c r="B694" i="10"/>
  <c r="C694" i="10" s="1"/>
  <c r="L693" i="10"/>
  <c r="B693" i="10"/>
  <c r="C693" i="10" s="1"/>
  <c r="L692" i="10"/>
  <c r="B692" i="10"/>
  <c r="C692" i="10" s="1"/>
  <c r="L691" i="10"/>
  <c r="B691" i="10"/>
  <c r="C691" i="10" s="1"/>
  <c r="L690" i="10"/>
  <c r="B690" i="10"/>
  <c r="C690" i="10" s="1"/>
  <c r="L689" i="10"/>
  <c r="B689" i="10"/>
  <c r="C689" i="10" s="1"/>
  <c r="L688" i="10"/>
  <c r="B688" i="10"/>
  <c r="C688" i="10" s="1"/>
  <c r="L687" i="10"/>
  <c r="B687" i="10"/>
  <c r="C687" i="10" s="1"/>
  <c r="L686" i="10"/>
  <c r="B686" i="10"/>
  <c r="C686" i="10" s="1"/>
  <c r="L685" i="10"/>
  <c r="B685" i="10"/>
  <c r="C685" i="10" s="1"/>
  <c r="L684" i="10"/>
  <c r="B684" i="10"/>
  <c r="C684" i="10" s="1"/>
  <c r="L683" i="10"/>
  <c r="B683" i="10"/>
  <c r="C683" i="10" s="1"/>
  <c r="L682" i="10"/>
  <c r="B682" i="10"/>
  <c r="C682" i="10" s="1"/>
  <c r="L681" i="10"/>
  <c r="B681" i="10"/>
  <c r="C681" i="10" s="1"/>
  <c r="L680" i="10"/>
  <c r="B680" i="10"/>
  <c r="C680" i="10" s="1"/>
  <c r="L679" i="10"/>
  <c r="B679" i="10"/>
  <c r="C679" i="10" s="1"/>
  <c r="L678" i="10"/>
  <c r="B678" i="10"/>
  <c r="C678" i="10" s="1"/>
  <c r="L677" i="10"/>
  <c r="B677" i="10"/>
  <c r="C677" i="10" s="1"/>
  <c r="L676" i="10"/>
  <c r="B676" i="10"/>
  <c r="C676" i="10" s="1"/>
  <c r="L675" i="10"/>
  <c r="B675" i="10"/>
  <c r="C675" i="10" s="1"/>
  <c r="L674" i="10"/>
  <c r="B674" i="10"/>
  <c r="C674" i="10" s="1"/>
  <c r="L673" i="10"/>
  <c r="B673" i="10"/>
  <c r="C673" i="10" s="1"/>
  <c r="L672" i="10"/>
  <c r="B672" i="10"/>
  <c r="C672" i="10" s="1"/>
  <c r="L671" i="10"/>
  <c r="B671" i="10"/>
  <c r="C671" i="10" s="1"/>
  <c r="L670" i="10"/>
  <c r="B670" i="10"/>
  <c r="C670" i="10" s="1"/>
  <c r="L669" i="10"/>
  <c r="B669" i="10"/>
  <c r="C669" i="10" s="1"/>
  <c r="L668" i="10"/>
  <c r="B668" i="10"/>
  <c r="C668" i="10" s="1"/>
  <c r="L667" i="10"/>
  <c r="B667" i="10"/>
  <c r="C667" i="10" s="1"/>
  <c r="L666" i="10"/>
  <c r="B666" i="10"/>
  <c r="C666" i="10" s="1"/>
  <c r="L665" i="10"/>
  <c r="B665" i="10"/>
  <c r="C665" i="10" s="1"/>
  <c r="L664" i="10"/>
  <c r="B664" i="10"/>
  <c r="C664" i="10" s="1"/>
  <c r="L663" i="10"/>
  <c r="B663" i="10"/>
  <c r="C663" i="10" s="1"/>
  <c r="L662" i="10"/>
  <c r="B662" i="10"/>
  <c r="C662" i="10" s="1"/>
  <c r="L661" i="10"/>
  <c r="B661" i="10"/>
  <c r="C661" i="10" s="1"/>
  <c r="L660" i="10"/>
  <c r="B660" i="10"/>
  <c r="C660" i="10" s="1"/>
  <c r="L659" i="10"/>
  <c r="B659" i="10"/>
  <c r="C659" i="10" s="1"/>
  <c r="L658" i="10"/>
  <c r="B658" i="10"/>
  <c r="C658" i="10" s="1"/>
  <c r="L657" i="10"/>
  <c r="B657" i="10"/>
  <c r="C657" i="10" s="1"/>
  <c r="L656" i="10"/>
  <c r="B656" i="10"/>
  <c r="C656" i="10" s="1"/>
  <c r="L655" i="10"/>
  <c r="B655" i="10"/>
  <c r="C655" i="10" s="1"/>
  <c r="L654" i="10"/>
  <c r="B654" i="10"/>
  <c r="C654" i="10" s="1"/>
  <c r="L653" i="10"/>
  <c r="B653" i="10"/>
  <c r="C653" i="10" s="1"/>
  <c r="L652" i="10"/>
  <c r="B652" i="10"/>
  <c r="C652" i="10" s="1"/>
  <c r="L651" i="10"/>
  <c r="B651" i="10"/>
  <c r="C651" i="10" s="1"/>
  <c r="L650" i="10"/>
  <c r="B650" i="10"/>
  <c r="C650" i="10" s="1"/>
  <c r="L649" i="10"/>
  <c r="B649" i="10"/>
  <c r="C649" i="10" s="1"/>
  <c r="L648" i="10"/>
  <c r="B648" i="10"/>
  <c r="C648" i="10" s="1"/>
  <c r="L647" i="10"/>
  <c r="B647" i="10"/>
  <c r="C647" i="10" s="1"/>
  <c r="L646" i="10"/>
  <c r="B646" i="10"/>
  <c r="C646" i="10" s="1"/>
  <c r="L645" i="10"/>
  <c r="B645" i="10"/>
  <c r="C645" i="10" s="1"/>
  <c r="L644" i="10"/>
  <c r="B644" i="10"/>
  <c r="C644" i="10" s="1"/>
  <c r="L643" i="10"/>
  <c r="B643" i="10"/>
  <c r="C643" i="10" s="1"/>
  <c r="L642" i="10"/>
  <c r="B642" i="10"/>
  <c r="C642" i="10" s="1"/>
  <c r="L641" i="10"/>
  <c r="B641" i="10"/>
  <c r="C641" i="10" s="1"/>
  <c r="L640" i="10"/>
  <c r="B640" i="10"/>
  <c r="C640" i="10" s="1"/>
  <c r="L639" i="10"/>
  <c r="B639" i="10"/>
  <c r="C639" i="10" s="1"/>
  <c r="L638" i="10"/>
  <c r="B638" i="10"/>
  <c r="C638" i="10" s="1"/>
  <c r="L637" i="10"/>
  <c r="B637" i="10"/>
  <c r="C637" i="10" s="1"/>
  <c r="L636" i="10"/>
  <c r="B636" i="10"/>
  <c r="C636" i="10" s="1"/>
  <c r="L635" i="10"/>
  <c r="B635" i="10"/>
  <c r="C635" i="10" s="1"/>
  <c r="L634" i="10"/>
  <c r="B634" i="10"/>
  <c r="C634" i="10" s="1"/>
  <c r="L633" i="10"/>
  <c r="B633" i="10"/>
  <c r="C633" i="10" s="1"/>
  <c r="L632" i="10"/>
  <c r="B632" i="10"/>
  <c r="C632" i="10" s="1"/>
  <c r="L631" i="10"/>
  <c r="B631" i="10"/>
  <c r="C631" i="10" s="1"/>
  <c r="L630" i="10"/>
  <c r="B630" i="10"/>
  <c r="C630" i="10" s="1"/>
  <c r="L629" i="10"/>
  <c r="B629" i="10"/>
  <c r="C629" i="10" s="1"/>
  <c r="L628" i="10"/>
  <c r="B628" i="10"/>
  <c r="C628" i="10" s="1"/>
  <c r="L627" i="10"/>
  <c r="B627" i="10"/>
  <c r="C627" i="10" s="1"/>
  <c r="L626" i="10"/>
  <c r="B626" i="10"/>
  <c r="C626" i="10" s="1"/>
  <c r="L625" i="10"/>
  <c r="B625" i="10"/>
  <c r="C625" i="10" s="1"/>
  <c r="L624" i="10"/>
  <c r="B624" i="10"/>
  <c r="C624" i="10" s="1"/>
  <c r="L623" i="10"/>
  <c r="B623" i="10"/>
  <c r="C623" i="10" s="1"/>
  <c r="L622" i="10"/>
  <c r="B622" i="10"/>
  <c r="C622" i="10" s="1"/>
  <c r="L621" i="10"/>
  <c r="B621" i="10"/>
  <c r="C621" i="10" s="1"/>
  <c r="L620" i="10"/>
  <c r="B620" i="10"/>
  <c r="C620" i="10" s="1"/>
  <c r="L619" i="10"/>
  <c r="B619" i="10"/>
  <c r="C619" i="10" s="1"/>
  <c r="L618" i="10"/>
  <c r="B618" i="10"/>
  <c r="C618" i="10" s="1"/>
  <c r="L617" i="10"/>
  <c r="B617" i="10"/>
  <c r="C617" i="10" s="1"/>
  <c r="L616" i="10"/>
  <c r="B616" i="10"/>
  <c r="C616" i="10" s="1"/>
  <c r="L615" i="10"/>
  <c r="B615" i="10"/>
  <c r="C615" i="10" s="1"/>
  <c r="L614" i="10"/>
  <c r="B614" i="10"/>
  <c r="C614" i="10" s="1"/>
  <c r="L613" i="10"/>
  <c r="B613" i="10"/>
  <c r="C613" i="10" s="1"/>
  <c r="L612" i="10"/>
  <c r="B612" i="10"/>
  <c r="C612" i="10" s="1"/>
  <c r="L611" i="10"/>
  <c r="B611" i="10"/>
  <c r="C611" i="10" s="1"/>
  <c r="L610" i="10"/>
  <c r="B610" i="10"/>
  <c r="C610" i="10" s="1"/>
  <c r="L609" i="10"/>
  <c r="B609" i="10"/>
  <c r="C609" i="10" s="1"/>
  <c r="L608" i="10"/>
  <c r="B608" i="10"/>
  <c r="C608" i="10" s="1"/>
  <c r="L607" i="10"/>
  <c r="B607" i="10"/>
  <c r="C607" i="10" s="1"/>
  <c r="L606" i="10"/>
  <c r="B606" i="10"/>
  <c r="C606" i="10" s="1"/>
  <c r="L605" i="10"/>
  <c r="B605" i="10"/>
  <c r="C605" i="10" s="1"/>
  <c r="L604" i="10"/>
  <c r="B604" i="10"/>
  <c r="C604" i="10" s="1"/>
  <c r="L603" i="10"/>
  <c r="B603" i="10"/>
  <c r="C603" i="10" s="1"/>
  <c r="L602" i="10"/>
  <c r="B602" i="10"/>
  <c r="C602" i="10" s="1"/>
  <c r="L601" i="10"/>
  <c r="B601" i="10"/>
  <c r="C601" i="10" s="1"/>
  <c r="L600" i="10"/>
  <c r="B600" i="10"/>
  <c r="C600" i="10" s="1"/>
  <c r="L599" i="10"/>
  <c r="B599" i="10"/>
  <c r="C599" i="10" s="1"/>
  <c r="L598" i="10"/>
  <c r="B598" i="10"/>
  <c r="C598" i="10" s="1"/>
  <c r="L597" i="10"/>
  <c r="B597" i="10"/>
  <c r="C597" i="10" s="1"/>
  <c r="L596" i="10"/>
  <c r="B596" i="10"/>
  <c r="C596" i="10" s="1"/>
  <c r="L595" i="10"/>
  <c r="B595" i="10"/>
  <c r="C595" i="10" s="1"/>
  <c r="L594" i="10"/>
  <c r="B594" i="10"/>
  <c r="C594" i="10" s="1"/>
  <c r="L593" i="10"/>
  <c r="B593" i="10"/>
  <c r="C593" i="10" s="1"/>
  <c r="L592" i="10"/>
  <c r="B592" i="10"/>
  <c r="C592" i="10" s="1"/>
  <c r="L591" i="10"/>
  <c r="B591" i="10"/>
  <c r="C591" i="10" s="1"/>
  <c r="L590" i="10"/>
  <c r="B590" i="10"/>
  <c r="C590" i="10" s="1"/>
  <c r="L589" i="10"/>
  <c r="B589" i="10"/>
  <c r="C589" i="10" s="1"/>
  <c r="L588" i="10"/>
  <c r="B588" i="10"/>
  <c r="C588" i="10" s="1"/>
  <c r="L587" i="10"/>
  <c r="B587" i="10"/>
  <c r="C587" i="10" s="1"/>
  <c r="L586" i="10"/>
  <c r="B586" i="10"/>
  <c r="C586" i="10" s="1"/>
  <c r="L585" i="10"/>
  <c r="B585" i="10"/>
  <c r="C585" i="10" s="1"/>
  <c r="L584" i="10"/>
  <c r="B584" i="10"/>
  <c r="C584" i="10" s="1"/>
  <c r="L583" i="10"/>
  <c r="B583" i="10"/>
  <c r="C583" i="10" s="1"/>
  <c r="L582" i="10"/>
  <c r="B582" i="10"/>
  <c r="C582" i="10" s="1"/>
  <c r="L581" i="10"/>
  <c r="B581" i="10"/>
  <c r="C581" i="10" s="1"/>
  <c r="L580" i="10"/>
  <c r="B580" i="10"/>
  <c r="C580" i="10" s="1"/>
  <c r="L579" i="10"/>
  <c r="B579" i="10"/>
  <c r="C579" i="10" s="1"/>
  <c r="L578" i="10"/>
  <c r="B578" i="10"/>
  <c r="C578" i="10" s="1"/>
  <c r="L577" i="10"/>
  <c r="B577" i="10"/>
  <c r="C577" i="10" s="1"/>
  <c r="L576" i="10"/>
  <c r="B576" i="10"/>
  <c r="C576" i="10" s="1"/>
  <c r="L575" i="10"/>
  <c r="B575" i="10"/>
  <c r="C575" i="10" s="1"/>
  <c r="L574" i="10"/>
  <c r="B574" i="10"/>
  <c r="C574" i="10" s="1"/>
  <c r="L573" i="10"/>
  <c r="B573" i="10"/>
  <c r="C573" i="10" s="1"/>
  <c r="L572" i="10"/>
  <c r="B572" i="10"/>
  <c r="C572" i="10" s="1"/>
  <c r="L571" i="10"/>
  <c r="B571" i="10"/>
  <c r="C571" i="10" s="1"/>
  <c r="L570" i="10"/>
  <c r="B570" i="10"/>
  <c r="C570" i="10" s="1"/>
  <c r="L569" i="10"/>
  <c r="B569" i="10"/>
  <c r="C569" i="10" s="1"/>
  <c r="L568" i="10"/>
  <c r="B568" i="10"/>
  <c r="C568" i="10" s="1"/>
  <c r="L567" i="10"/>
  <c r="B567" i="10"/>
  <c r="C567" i="10" s="1"/>
  <c r="L566" i="10"/>
  <c r="B566" i="10"/>
  <c r="C566" i="10" s="1"/>
  <c r="L565" i="10"/>
  <c r="B565" i="10"/>
  <c r="C565" i="10" s="1"/>
  <c r="L564" i="10"/>
  <c r="B564" i="10"/>
  <c r="C564" i="10" s="1"/>
  <c r="L563" i="10"/>
  <c r="B563" i="10"/>
  <c r="C563" i="10" s="1"/>
  <c r="L562" i="10"/>
  <c r="B562" i="10"/>
  <c r="C562" i="10" s="1"/>
  <c r="L561" i="10"/>
  <c r="B561" i="10"/>
  <c r="C561" i="10" s="1"/>
  <c r="L560" i="10"/>
  <c r="B560" i="10"/>
  <c r="C560" i="10" s="1"/>
  <c r="L559" i="10"/>
  <c r="B559" i="10"/>
  <c r="C559" i="10" s="1"/>
  <c r="L558" i="10"/>
  <c r="B558" i="10"/>
  <c r="C558" i="10" s="1"/>
  <c r="L557" i="10"/>
  <c r="B557" i="10"/>
  <c r="C557" i="10" s="1"/>
  <c r="L556" i="10"/>
  <c r="B556" i="10"/>
  <c r="C556" i="10" s="1"/>
  <c r="L555" i="10"/>
  <c r="B555" i="10"/>
  <c r="C555" i="10" s="1"/>
  <c r="L554" i="10"/>
  <c r="B554" i="10"/>
  <c r="C554" i="10" s="1"/>
  <c r="L553" i="10"/>
  <c r="B553" i="10"/>
  <c r="C553" i="10" s="1"/>
  <c r="L552" i="10"/>
  <c r="B552" i="10"/>
  <c r="C552" i="10" s="1"/>
  <c r="L551" i="10"/>
  <c r="B551" i="10"/>
  <c r="C551" i="10" s="1"/>
  <c r="L550" i="10"/>
  <c r="B550" i="10"/>
  <c r="C550" i="10" s="1"/>
  <c r="L549" i="10"/>
  <c r="B549" i="10"/>
  <c r="C549" i="10" s="1"/>
  <c r="L548" i="10"/>
  <c r="B548" i="10"/>
  <c r="C548" i="10" s="1"/>
  <c r="L547" i="10"/>
  <c r="B547" i="10"/>
  <c r="C547" i="10" s="1"/>
  <c r="L546" i="10"/>
  <c r="B546" i="10"/>
  <c r="C546" i="10" s="1"/>
  <c r="L545" i="10"/>
  <c r="B545" i="10"/>
  <c r="C545" i="10" s="1"/>
  <c r="L544" i="10"/>
  <c r="B544" i="10"/>
  <c r="C544" i="10" s="1"/>
  <c r="L543" i="10"/>
  <c r="B543" i="10"/>
  <c r="C543" i="10" s="1"/>
  <c r="L542" i="10"/>
  <c r="B542" i="10"/>
  <c r="C542" i="10" s="1"/>
  <c r="L541" i="10"/>
  <c r="B541" i="10"/>
  <c r="C541" i="10" s="1"/>
  <c r="L540" i="10"/>
  <c r="B540" i="10"/>
  <c r="C540" i="10" s="1"/>
  <c r="L539" i="10"/>
  <c r="B539" i="10"/>
  <c r="C539" i="10" s="1"/>
  <c r="L538" i="10"/>
  <c r="B538" i="10"/>
  <c r="C538" i="10" s="1"/>
  <c r="L537" i="10"/>
  <c r="B537" i="10"/>
  <c r="C537" i="10" s="1"/>
  <c r="L536" i="10"/>
  <c r="B536" i="10"/>
  <c r="C536" i="10" s="1"/>
  <c r="L535" i="10"/>
  <c r="B535" i="10"/>
  <c r="C535" i="10" s="1"/>
  <c r="L534" i="10"/>
  <c r="B534" i="10"/>
  <c r="C534" i="10" s="1"/>
  <c r="L533" i="10"/>
  <c r="B533" i="10"/>
  <c r="C533" i="10" s="1"/>
  <c r="L532" i="10"/>
  <c r="B532" i="10"/>
  <c r="C532" i="10" s="1"/>
  <c r="L531" i="10"/>
  <c r="B531" i="10"/>
  <c r="C531" i="10" s="1"/>
  <c r="L530" i="10"/>
  <c r="B530" i="10"/>
  <c r="C530" i="10" s="1"/>
  <c r="L529" i="10"/>
  <c r="B529" i="10"/>
  <c r="C529" i="10" s="1"/>
  <c r="L528" i="10"/>
  <c r="B528" i="10"/>
  <c r="C528" i="10" s="1"/>
  <c r="L527" i="10"/>
  <c r="B527" i="10"/>
  <c r="C527" i="10" s="1"/>
  <c r="L526" i="10"/>
  <c r="B526" i="10"/>
  <c r="C526" i="10" s="1"/>
  <c r="L525" i="10"/>
  <c r="B525" i="10"/>
  <c r="C525" i="10" s="1"/>
  <c r="L524" i="10"/>
  <c r="B524" i="10"/>
  <c r="C524" i="10" s="1"/>
  <c r="L523" i="10"/>
  <c r="B523" i="10"/>
  <c r="C523" i="10" s="1"/>
  <c r="L522" i="10"/>
  <c r="B522" i="10"/>
  <c r="C522" i="10" s="1"/>
  <c r="L521" i="10"/>
  <c r="B521" i="10"/>
  <c r="C521" i="10" s="1"/>
  <c r="L520" i="10"/>
  <c r="B520" i="10"/>
  <c r="C520" i="10" s="1"/>
  <c r="L519" i="10"/>
  <c r="B519" i="10"/>
  <c r="C519" i="10" s="1"/>
  <c r="L518" i="10"/>
  <c r="B518" i="10"/>
  <c r="C518" i="10" s="1"/>
  <c r="L517" i="10"/>
  <c r="B517" i="10"/>
  <c r="C517" i="10" s="1"/>
  <c r="L516" i="10"/>
  <c r="B516" i="10"/>
  <c r="C516" i="10" s="1"/>
  <c r="L515" i="10"/>
  <c r="B515" i="10"/>
  <c r="C515" i="10" s="1"/>
  <c r="L514" i="10"/>
  <c r="B514" i="10"/>
  <c r="C514" i="10" s="1"/>
  <c r="L513" i="10"/>
  <c r="B513" i="10"/>
  <c r="C513" i="10" s="1"/>
  <c r="L512" i="10"/>
  <c r="B512" i="10"/>
  <c r="C512" i="10" s="1"/>
  <c r="L511" i="10"/>
  <c r="B511" i="10"/>
  <c r="C511" i="10" s="1"/>
  <c r="L510" i="10"/>
  <c r="B510" i="10"/>
  <c r="C510" i="10" s="1"/>
  <c r="L509" i="10"/>
  <c r="B509" i="10"/>
  <c r="C509" i="10" s="1"/>
  <c r="L508" i="10"/>
  <c r="B508" i="10"/>
  <c r="C508" i="10" s="1"/>
  <c r="L507" i="10"/>
  <c r="B507" i="10"/>
  <c r="C507" i="10" s="1"/>
  <c r="L506" i="10"/>
  <c r="B506" i="10"/>
  <c r="C506" i="10" s="1"/>
  <c r="L505" i="10"/>
  <c r="B505" i="10"/>
  <c r="C505" i="10" s="1"/>
  <c r="L504" i="10"/>
  <c r="B504" i="10"/>
  <c r="C504" i="10" s="1"/>
  <c r="L503" i="10"/>
  <c r="B503" i="10"/>
  <c r="C503" i="10" s="1"/>
  <c r="L502" i="10"/>
  <c r="B502" i="10"/>
  <c r="C502" i="10" s="1"/>
  <c r="L501" i="10"/>
  <c r="B501" i="10"/>
  <c r="C501" i="10" s="1"/>
  <c r="L500" i="10"/>
  <c r="B500" i="10"/>
  <c r="C500" i="10" s="1"/>
  <c r="L499" i="10"/>
  <c r="B499" i="10"/>
  <c r="C499" i="10" s="1"/>
  <c r="L498" i="10"/>
  <c r="B498" i="10"/>
  <c r="C498" i="10" s="1"/>
  <c r="L497" i="10"/>
  <c r="B497" i="10"/>
  <c r="C497" i="10" s="1"/>
  <c r="L496" i="10"/>
  <c r="B496" i="10"/>
  <c r="C496" i="10" s="1"/>
  <c r="L495" i="10"/>
  <c r="B495" i="10"/>
  <c r="C495" i="10" s="1"/>
  <c r="L494" i="10"/>
  <c r="B494" i="10"/>
  <c r="C494" i="10" s="1"/>
  <c r="L493" i="10"/>
  <c r="B493" i="10"/>
  <c r="C493" i="10" s="1"/>
  <c r="L492" i="10"/>
  <c r="B492" i="10"/>
  <c r="C492" i="10" s="1"/>
  <c r="L491" i="10"/>
  <c r="B491" i="10"/>
  <c r="C491" i="10" s="1"/>
  <c r="L490" i="10"/>
  <c r="B490" i="10"/>
  <c r="C490" i="10" s="1"/>
  <c r="L489" i="10"/>
  <c r="B489" i="10"/>
  <c r="C489" i="10" s="1"/>
  <c r="L488" i="10"/>
  <c r="B488" i="10"/>
  <c r="C488" i="10" s="1"/>
  <c r="L487" i="10"/>
  <c r="B487" i="10"/>
  <c r="C487" i="10" s="1"/>
  <c r="L486" i="10"/>
  <c r="B486" i="10"/>
  <c r="C486" i="10" s="1"/>
  <c r="L485" i="10"/>
  <c r="B485" i="10"/>
  <c r="C485" i="10" s="1"/>
  <c r="L484" i="10"/>
  <c r="B484" i="10"/>
  <c r="C484" i="10" s="1"/>
  <c r="L483" i="10"/>
  <c r="B483" i="10"/>
  <c r="C483" i="10" s="1"/>
  <c r="L482" i="10"/>
  <c r="B482" i="10"/>
  <c r="C482" i="10" s="1"/>
  <c r="L481" i="10"/>
  <c r="B481" i="10"/>
  <c r="C481" i="10" s="1"/>
  <c r="L480" i="10"/>
  <c r="B480" i="10"/>
  <c r="C480" i="10" s="1"/>
  <c r="L479" i="10"/>
  <c r="B479" i="10"/>
  <c r="C479" i="10" s="1"/>
  <c r="L478" i="10"/>
  <c r="B478" i="10"/>
  <c r="C478" i="10" s="1"/>
  <c r="L477" i="10"/>
  <c r="B477" i="10"/>
  <c r="C477" i="10" s="1"/>
  <c r="L476" i="10"/>
  <c r="B476" i="10"/>
  <c r="C476" i="10" s="1"/>
  <c r="L475" i="10"/>
  <c r="B475" i="10"/>
  <c r="C475" i="10" s="1"/>
  <c r="L474" i="10"/>
  <c r="B474" i="10"/>
  <c r="C474" i="10" s="1"/>
  <c r="L473" i="10"/>
  <c r="B473" i="10"/>
  <c r="C473" i="10" s="1"/>
  <c r="L472" i="10"/>
  <c r="B472" i="10"/>
  <c r="C472" i="10" s="1"/>
  <c r="L471" i="10"/>
  <c r="B471" i="10"/>
  <c r="C471" i="10" s="1"/>
  <c r="L470" i="10"/>
  <c r="B470" i="10"/>
  <c r="C470" i="10" s="1"/>
  <c r="L469" i="10"/>
  <c r="B469" i="10"/>
  <c r="C469" i="10" s="1"/>
  <c r="L468" i="10"/>
  <c r="B468" i="10"/>
  <c r="C468" i="10" s="1"/>
  <c r="L467" i="10"/>
  <c r="B467" i="10"/>
  <c r="C467" i="10" s="1"/>
  <c r="L466" i="10"/>
  <c r="B466" i="10"/>
  <c r="C466" i="10" s="1"/>
  <c r="L465" i="10"/>
  <c r="B465" i="10"/>
  <c r="C465" i="10" s="1"/>
  <c r="L464" i="10"/>
  <c r="B464" i="10"/>
  <c r="C464" i="10" s="1"/>
  <c r="L463" i="10"/>
  <c r="B463" i="10"/>
  <c r="C463" i="10" s="1"/>
  <c r="L462" i="10"/>
  <c r="B462" i="10"/>
  <c r="C462" i="10" s="1"/>
  <c r="L461" i="10"/>
  <c r="B461" i="10"/>
  <c r="C461" i="10" s="1"/>
  <c r="L460" i="10"/>
  <c r="B460" i="10"/>
  <c r="C460" i="10" s="1"/>
  <c r="L459" i="10"/>
  <c r="B459" i="10"/>
  <c r="C459" i="10" s="1"/>
  <c r="L458" i="10"/>
  <c r="B458" i="10"/>
  <c r="C458" i="10" s="1"/>
  <c r="L457" i="10"/>
  <c r="B457" i="10"/>
  <c r="C457" i="10" s="1"/>
  <c r="L456" i="10"/>
  <c r="B456" i="10"/>
  <c r="C456" i="10" s="1"/>
  <c r="L455" i="10"/>
  <c r="B455" i="10"/>
  <c r="C455" i="10" s="1"/>
  <c r="L454" i="10"/>
  <c r="B454" i="10"/>
  <c r="C454" i="10" s="1"/>
  <c r="L453" i="10"/>
  <c r="B453" i="10"/>
  <c r="C453" i="10" s="1"/>
  <c r="L452" i="10"/>
  <c r="B452" i="10"/>
  <c r="C452" i="10" s="1"/>
  <c r="L451" i="10"/>
  <c r="B451" i="10"/>
  <c r="C451" i="10" s="1"/>
  <c r="L450" i="10"/>
  <c r="B450" i="10"/>
  <c r="C450" i="10" s="1"/>
  <c r="L449" i="10"/>
  <c r="B449" i="10"/>
  <c r="C449" i="10" s="1"/>
  <c r="L448" i="10"/>
  <c r="B448" i="10"/>
  <c r="C448" i="10" s="1"/>
  <c r="L447" i="10"/>
  <c r="B447" i="10"/>
  <c r="C447" i="10" s="1"/>
  <c r="L446" i="10"/>
  <c r="B446" i="10"/>
  <c r="C446" i="10" s="1"/>
  <c r="L445" i="10"/>
  <c r="B445" i="10"/>
  <c r="C445" i="10" s="1"/>
  <c r="L444" i="10"/>
  <c r="B444" i="10"/>
  <c r="C444" i="10" s="1"/>
  <c r="L443" i="10"/>
  <c r="B443" i="10"/>
  <c r="C443" i="10" s="1"/>
  <c r="L442" i="10"/>
  <c r="B442" i="10"/>
  <c r="C442" i="10" s="1"/>
  <c r="L441" i="10"/>
  <c r="B441" i="10"/>
  <c r="C441" i="10" s="1"/>
  <c r="L440" i="10"/>
  <c r="B440" i="10"/>
  <c r="C440" i="10" s="1"/>
  <c r="L439" i="10"/>
  <c r="B439" i="10"/>
  <c r="C439" i="10" s="1"/>
  <c r="L438" i="10"/>
  <c r="B438" i="10"/>
  <c r="C438" i="10" s="1"/>
  <c r="L437" i="10"/>
  <c r="B437" i="10"/>
  <c r="C437" i="10" s="1"/>
  <c r="L436" i="10"/>
  <c r="B436" i="10"/>
  <c r="C436" i="10" s="1"/>
  <c r="L435" i="10"/>
  <c r="B435" i="10"/>
  <c r="C435" i="10" s="1"/>
  <c r="L434" i="10"/>
  <c r="B434" i="10"/>
  <c r="C434" i="10" s="1"/>
  <c r="L433" i="10"/>
  <c r="B433" i="10"/>
  <c r="C433" i="10" s="1"/>
  <c r="L432" i="10"/>
  <c r="B432" i="10"/>
  <c r="C432" i="10" s="1"/>
  <c r="L431" i="10"/>
  <c r="B431" i="10"/>
  <c r="C431" i="10" s="1"/>
  <c r="L430" i="10"/>
  <c r="B430" i="10"/>
  <c r="C430" i="10" s="1"/>
  <c r="L429" i="10"/>
  <c r="B429" i="10"/>
  <c r="C429" i="10" s="1"/>
  <c r="L428" i="10"/>
  <c r="B428" i="10"/>
  <c r="C428" i="10" s="1"/>
  <c r="L427" i="10"/>
  <c r="B427" i="10"/>
  <c r="C427" i="10" s="1"/>
  <c r="L426" i="10"/>
  <c r="B426" i="10"/>
  <c r="C426" i="10" s="1"/>
  <c r="L425" i="10"/>
  <c r="B425" i="10"/>
  <c r="C425" i="10" s="1"/>
  <c r="L424" i="10"/>
  <c r="B424" i="10"/>
  <c r="C424" i="10" s="1"/>
  <c r="L423" i="10"/>
  <c r="B423" i="10"/>
  <c r="C423" i="10" s="1"/>
  <c r="L422" i="10"/>
  <c r="B422" i="10"/>
  <c r="C422" i="10" s="1"/>
  <c r="L421" i="10"/>
  <c r="B421" i="10"/>
  <c r="C421" i="10" s="1"/>
  <c r="L420" i="10"/>
  <c r="B420" i="10"/>
  <c r="C420" i="10" s="1"/>
  <c r="L419" i="10"/>
  <c r="B419" i="10"/>
  <c r="C419" i="10" s="1"/>
  <c r="L418" i="10"/>
  <c r="B418" i="10"/>
  <c r="C418" i="10" s="1"/>
  <c r="L417" i="10"/>
  <c r="B417" i="10"/>
  <c r="C417" i="10" s="1"/>
  <c r="L416" i="10"/>
  <c r="B416" i="10"/>
  <c r="C416" i="10" s="1"/>
  <c r="L415" i="10"/>
  <c r="B415" i="10"/>
  <c r="C415" i="10" s="1"/>
  <c r="L414" i="10"/>
  <c r="B414" i="10"/>
  <c r="C414" i="10" s="1"/>
  <c r="L413" i="10"/>
  <c r="B413" i="10"/>
  <c r="C413" i="10" s="1"/>
  <c r="L412" i="10"/>
  <c r="B412" i="10"/>
  <c r="C412" i="10" s="1"/>
  <c r="L411" i="10"/>
  <c r="B411" i="10"/>
  <c r="C411" i="10" s="1"/>
  <c r="L410" i="10"/>
  <c r="B410" i="10"/>
  <c r="C410" i="10" s="1"/>
  <c r="L409" i="10"/>
  <c r="B409" i="10"/>
  <c r="C409" i="10" s="1"/>
  <c r="L408" i="10"/>
  <c r="B408" i="10"/>
  <c r="C408" i="10" s="1"/>
  <c r="L407" i="10"/>
  <c r="B407" i="10"/>
  <c r="C407" i="10" s="1"/>
  <c r="L406" i="10"/>
  <c r="B406" i="10"/>
  <c r="C406" i="10" s="1"/>
  <c r="L405" i="10"/>
  <c r="B405" i="10"/>
  <c r="C405" i="10" s="1"/>
  <c r="L404" i="10"/>
  <c r="B404" i="10"/>
  <c r="C404" i="10" s="1"/>
  <c r="L403" i="10"/>
  <c r="B403" i="10"/>
  <c r="C403" i="10" s="1"/>
  <c r="L402" i="10"/>
  <c r="B402" i="10"/>
  <c r="C402" i="10" s="1"/>
  <c r="L401" i="10"/>
  <c r="B401" i="10"/>
  <c r="C401" i="10" s="1"/>
  <c r="L400" i="10"/>
  <c r="B400" i="10"/>
  <c r="C400" i="10" s="1"/>
  <c r="L399" i="10"/>
  <c r="B399" i="10"/>
  <c r="C399" i="10" s="1"/>
  <c r="L398" i="10"/>
  <c r="B398" i="10"/>
  <c r="C398" i="10" s="1"/>
  <c r="L397" i="10"/>
  <c r="B397" i="10"/>
  <c r="C397" i="10" s="1"/>
  <c r="L396" i="10"/>
  <c r="B396" i="10"/>
  <c r="C396" i="10" s="1"/>
  <c r="L395" i="10"/>
  <c r="B395" i="10"/>
  <c r="C395" i="10" s="1"/>
  <c r="L394" i="10"/>
  <c r="B394" i="10"/>
  <c r="C394" i="10" s="1"/>
  <c r="L393" i="10"/>
  <c r="B393" i="10"/>
  <c r="C393" i="10" s="1"/>
  <c r="L392" i="10"/>
  <c r="B392" i="10"/>
  <c r="C392" i="10" s="1"/>
  <c r="L391" i="10"/>
  <c r="B391" i="10"/>
  <c r="C391" i="10" s="1"/>
  <c r="L390" i="10"/>
  <c r="B390" i="10"/>
  <c r="C390" i="10" s="1"/>
  <c r="L389" i="10"/>
  <c r="B389" i="10"/>
  <c r="C389" i="10" s="1"/>
  <c r="L388" i="10"/>
  <c r="B388" i="10"/>
  <c r="C388" i="10" s="1"/>
  <c r="L387" i="10"/>
  <c r="B387" i="10"/>
  <c r="C387" i="10" s="1"/>
  <c r="L386" i="10"/>
  <c r="B386" i="10"/>
  <c r="C386" i="10" s="1"/>
  <c r="L385" i="10"/>
  <c r="B385" i="10"/>
  <c r="C385" i="10" s="1"/>
  <c r="L384" i="10"/>
  <c r="B384" i="10"/>
  <c r="C384" i="10" s="1"/>
  <c r="L383" i="10"/>
  <c r="B383" i="10"/>
  <c r="C383" i="10" s="1"/>
  <c r="L382" i="10"/>
  <c r="B382" i="10"/>
  <c r="C382" i="10" s="1"/>
  <c r="L381" i="10"/>
  <c r="B381" i="10"/>
  <c r="C381" i="10" s="1"/>
  <c r="L380" i="10"/>
  <c r="B380" i="10"/>
  <c r="C380" i="10" s="1"/>
  <c r="L379" i="10"/>
  <c r="B379" i="10"/>
  <c r="C379" i="10" s="1"/>
  <c r="L378" i="10"/>
  <c r="B378" i="10"/>
  <c r="C378" i="10" s="1"/>
  <c r="L377" i="10"/>
  <c r="B377" i="10"/>
  <c r="C377" i="10" s="1"/>
  <c r="L376" i="10"/>
  <c r="B376" i="10"/>
  <c r="C376" i="10" s="1"/>
  <c r="L375" i="10"/>
  <c r="B375" i="10"/>
  <c r="C375" i="10" s="1"/>
  <c r="L374" i="10"/>
  <c r="B374" i="10"/>
  <c r="C374" i="10" s="1"/>
  <c r="L373" i="10"/>
  <c r="B373" i="10"/>
  <c r="C373" i="10" s="1"/>
  <c r="L372" i="10"/>
  <c r="B372" i="10"/>
  <c r="C372" i="10" s="1"/>
  <c r="L371" i="10"/>
  <c r="B371" i="10"/>
  <c r="C371" i="10" s="1"/>
  <c r="L370" i="10"/>
  <c r="B370" i="10"/>
  <c r="C370" i="10" s="1"/>
  <c r="L369" i="10"/>
  <c r="B369" i="10"/>
  <c r="C369" i="10" s="1"/>
  <c r="L368" i="10"/>
  <c r="B368" i="10"/>
  <c r="C368" i="10" s="1"/>
  <c r="L367" i="10"/>
  <c r="B367" i="10"/>
  <c r="C367" i="10" s="1"/>
  <c r="L366" i="10"/>
  <c r="B366" i="10"/>
  <c r="C366" i="10" s="1"/>
  <c r="L365" i="10"/>
  <c r="B365" i="10"/>
  <c r="C365" i="10" s="1"/>
  <c r="L364" i="10"/>
  <c r="B364" i="10"/>
  <c r="C364" i="10" s="1"/>
  <c r="L363" i="10"/>
  <c r="B363" i="10"/>
  <c r="C363" i="10" s="1"/>
  <c r="L362" i="10"/>
  <c r="B362" i="10"/>
  <c r="C362" i="10" s="1"/>
  <c r="L361" i="10"/>
  <c r="B361" i="10"/>
  <c r="C361" i="10" s="1"/>
  <c r="L360" i="10"/>
  <c r="B360" i="10"/>
  <c r="C360" i="10" s="1"/>
  <c r="L359" i="10"/>
  <c r="B359" i="10"/>
  <c r="C359" i="10" s="1"/>
  <c r="L358" i="10"/>
  <c r="B358" i="10"/>
  <c r="C358" i="10" s="1"/>
  <c r="L357" i="10"/>
  <c r="B357" i="10"/>
  <c r="C357" i="10" s="1"/>
  <c r="L356" i="10"/>
  <c r="B356" i="10"/>
  <c r="C356" i="10" s="1"/>
  <c r="L355" i="10"/>
  <c r="B355" i="10"/>
  <c r="C355" i="10" s="1"/>
  <c r="L354" i="10"/>
  <c r="B354" i="10"/>
  <c r="C354" i="10" s="1"/>
  <c r="L353" i="10"/>
  <c r="B353" i="10"/>
  <c r="C353" i="10" s="1"/>
  <c r="L352" i="10"/>
  <c r="B352" i="10"/>
  <c r="C352" i="10" s="1"/>
  <c r="L351" i="10"/>
  <c r="B351" i="10"/>
  <c r="C351" i="10" s="1"/>
  <c r="L350" i="10"/>
  <c r="B350" i="10"/>
  <c r="C350" i="10" s="1"/>
  <c r="L349" i="10"/>
  <c r="B349" i="10"/>
  <c r="C349" i="10" s="1"/>
  <c r="L348" i="10"/>
  <c r="B348" i="10"/>
  <c r="C348" i="10" s="1"/>
  <c r="L347" i="10"/>
  <c r="B347" i="10"/>
  <c r="C347" i="10" s="1"/>
  <c r="L346" i="10"/>
  <c r="B346" i="10"/>
  <c r="C346" i="10" s="1"/>
  <c r="L345" i="10"/>
  <c r="B345" i="10"/>
  <c r="C345" i="10" s="1"/>
  <c r="L344" i="10"/>
  <c r="B344" i="10"/>
  <c r="C344" i="10" s="1"/>
  <c r="L343" i="10"/>
  <c r="B343" i="10"/>
  <c r="C343" i="10" s="1"/>
  <c r="L342" i="10"/>
  <c r="B342" i="10"/>
  <c r="C342" i="10" s="1"/>
  <c r="L341" i="10"/>
  <c r="B341" i="10"/>
  <c r="C341" i="10" s="1"/>
  <c r="L340" i="10"/>
  <c r="B340" i="10"/>
  <c r="C340" i="10" s="1"/>
  <c r="L339" i="10"/>
  <c r="B339" i="10"/>
  <c r="C339" i="10" s="1"/>
  <c r="L338" i="10"/>
  <c r="B338" i="10"/>
  <c r="C338" i="10" s="1"/>
  <c r="L337" i="10"/>
  <c r="B337" i="10"/>
  <c r="C337" i="10" s="1"/>
  <c r="L336" i="10"/>
  <c r="B336" i="10"/>
  <c r="C336" i="10" s="1"/>
  <c r="L335" i="10"/>
  <c r="B335" i="10"/>
  <c r="C335" i="10" s="1"/>
  <c r="L334" i="10"/>
  <c r="B334" i="10"/>
  <c r="C334" i="10" s="1"/>
  <c r="L333" i="10"/>
  <c r="B333" i="10"/>
  <c r="C333" i="10" s="1"/>
  <c r="L332" i="10"/>
  <c r="B332" i="10"/>
  <c r="C332" i="10" s="1"/>
  <c r="L331" i="10"/>
  <c r="B331" i="10"/>
  <c r="C331" i="10" s="1"/>
  <c r="L330" i="10"/>
  <c r="B330" i="10"/>
  <c r="C330" i="10" s="1"/>
  <c r="L329" i="10"/>
  <c r="B329" i="10"/>
  <c r="C329" i="10" s="1"/>
  <c r="L328" i="10"/>
  <c r="B328" i="10"/>
  <c r="C328" i="10" s="1"/>
  <c r="L327" i="10"/>
  <c r="B327" i="10"/>
  <c r="C327" i="10" s="1"/>
  <c r="L326" i="10"/>
  <c r="B326" i="10"/>
  <c r="C326" i="10" s="1"/>
  <c r="L325" i="10"/>
  <c r="B325" i="10"/>
  <c r="C325" i="10" s="1"/>
  <c r="L324" i="10"/>
  <c r="B324" i="10"/>
  <c r="C324" i="10" s="1"/>
  <c r="L323" i="10"/>
  <c r="B323" i="10"/>
  <c r="C323" i="10" s="1"/>
  <c r="L322" i="10"/>
  <c r="B322" i="10"/>
  <c r="C322" i="10" s="1"/>
  <c r="L321" i="10"/>
  <c r="B321" i="10"/>
  <c r="C321" i="10" s="1"/>
  <c r="L320" i="10"/>
  <c r="B320" i="10"/>
  <c r="C320" i="10" s="1"/>
  <c r="L319" i="10"/>
  <c r="B319" i="10"/>
  <c r="C319" i="10" s="1"/>
  <c r="L318" i="10"/>
  <c r="B318" i="10"/>
  <c r="C318" i="10" s="1"/>
  <c r="L317" i="10"/>
  <c r="B317" i="10"/>
  <c r="C317" i="10" s="1"/>
  <c r="L316" i="10"/>
  <c r="B316" i="10"/>
  <c r="C316" i="10" s="1"/>
  <c r="L315" i="10"/>
  <c r="B315" i="10"/>
  <c r="C315" i="10" s="1"/>
  <c r="L314" i="10"/>
  <c r="B314" i="10"/>
  <c r="C314" i="10" s="1"/>
  <c r="L313" i="10"/>
  <c r="B313" i="10"/>
  <c r="C313" i="10" s="1"/>
  <c r="L312" i="10"/>
  <c r="B312" i="10"/>
  <c r="C312" i="10" s="1"/>
  <c r="L311" i="10"/>
  <c r="B311" i="10"/>
  <c r="C311" i="10" s="1"/>
  <c r="L310" i="10"/>
  <c r="B310" i="10"/>
  <c r="C310" i="10" s="1"/>
  <c r="L309" i="10"/>
  <c r="B309" i="10"/>
  <c r="C309" i="10" s="1"/>
  <c r="L308" i="10"/>
  <c r="B308" i="10"/>
  <c r="C308" i="10" s="1"/>
  <c r="L307" i="10"/>
  <c r="B307" i="10"/>
  <c r="C307" i="10" s="1"/>
  <c r="L306" i="10"/>
  <c r="B306" i="10"/>
  <c r="C306" i="10" s="1"/>
  <c r="L305" i="10"/>
  <c r="B305" i="10"/>
  <c r="C305" i="10" s="1"/>
  <c r="L304" i="10"/>
  <c r="B304" i="10"/>
  <c r="C304" i="10" s="1"/>
  <c r="L303" i="10"/>
  <c r="B303" i="10"/>
  <c r="C303" i="10" s="1"/>
  <c r="L302" i="10"/>
  <c r="B302" i="10"/>
  <c r="C302" i="10" s="1"/>
  <c r="L301" i="10"/>
  <c r="B301" i="10"/>
  <c r="C301" i="10" s="1"/>
  <c r="L300" i="10"/>
  <c r="B300" i="10"/>
  <c r="C300" i="10" s="1"/>
  <c r="L299" i="10"/>
  <c r="B299" i="10"/>
  <c r="C299" i="10" s="1"/>
  <c r="L298" i="10"/>
  <c r="B298" i="10"/>
  <c r="C298" i="10" s="1"/>
  <c r="L297" i="10"/>
  <c r="B297" i="10"/>
  <c r="C297" i="10" s="1"/>
  <c r="L296" i="10"/>
  <c r="B296" i="10"/>
  <c r="C296" i="10" s="1"/>
  <c r="L295" i="10"/>
  <c r="B295" i="10"/>
  <c r="C295" i="10" s="1"/>
  <c r="L294" i="10"/>
  <c r="B294" i="10"/>
  <c r="C294" i="10" s="1"/>
  <c r="L293" i="10"/>
  <c r="B293" i="10"/>
  <c r="C293" i="10" s="1"/>
  <c r="L292" i="10"/>
  <c r="B292" i="10"/>
  <c r="C292" i="10" s="1"/>
  <c r="L291" i="10"/>
  <c r="B291" i="10"/>
  <c r="C291" i="10" s="1"/>
  <c r="L290" i="10"/>
  <c r="B290" i="10"/>
  <c r="C290" i="10" s="1"/>
  <c r="L289" i="10"/>
  <c r="B289" i="10"/>
  <c r="C289" i="10" s="1"/>
  <c r="L288" i="10"/>
  <c r="B288" i="10"/>
  <c r="C288" i="10" s="1"/>
  <c r="L287" i="10"/>
  <c r="B287" i="10"/>
  <c r="C287" i="10" s="1"/>
  <c r="L286" i="10"/>
  <c r="B286" i="10"/>
  <c r="C286" i="10" s="1"/>
  <c r="L285" i="10"/>
  <c r="B285" i="10"/>
  <c r="C285" i="10" s="1"/>
  <c r="L284" i="10"/>
  <c r="B284" i="10"/>
  <c r="C284" i="10" s="1"/>
  <c r="L283" i="10"/>
  <c r="B283" i="10"/>
  <c r="C283" i="10" s="1"/>
  <c r="L282" i="10"/>
  <c r="B282" i="10"/>
  <c r="C282" i="10" s="1"/>
  <c r="L281" i="10"/>
  <c r="B281" i="10"/>
  <c r="C281" i="10" s="1"/>
  <c r="L280" i="10"/>
  <c r="B280" i="10"/>
  <c r="C280" i="10" s="1"/>
  <c r="L279" i="10"/>
  <c r="B279" i="10"/>
  <c r="C279" i="10" s="1"/>
  <c r="L278" i="10"/>
  <c r="B278" i="10"/>
  <c r="C278" i="10" s="1"/>
  <c r="L277" i="10"/>
  <c r="B277" i="10"/>
  <c r="C277" i="10" s="1"/>
  <c r="L276" i="10"/>
  <c r="B276" i="10"/>
  <c r="C276" i="10" s="1"/>
  <c r="L275" i="10"/>
  <c r="B275" i="10"/>
  <c r="C275" i="10" s="1"/>
  <c r="L274" i="10"/>
  <c r="B274" i="10"/>
  <c r="C274" i="10" s="1"/>
  <c r="L273" i="10"/>
  <c r="B273" i="10"/>
  <c r="C273" i="10" s="1"/>
  <c r="L272" i="10"/>
  <c r="B272" i="10"/>
  <c r="C272" i="10" s="1"/>
  <c r="L271" i="10"/>
  <c r="B271" i="10"/>
  <c r="C271" i="10" s="1"/>
  <c r="L270" i="10"/>
  <c r="B270" i="10"/>
  <c r="C270" i="10" s="1"/>
  <c r="L269" i="10"/>
  <c r="B269" i="10"/>
  <c r="C269" i="10" s="1"/>
  <c r="L268" i="10"/>
  <c r="B268" i="10"/>
  <c r="C268" i="10" s="1"/>
  <c r="L267" i="10"/>
  <c r="B267" i="10"/>
  <c r="C267" i="10" s="1"/>
  <c r="L266" i="10"/>
  <c r="B266" i="10"/>
  <c r="C266" i="10" s="1"/>
  <c r="L265" i="10"/>
  <c r="B265" i="10"/>
  <c r="C265" i="10" s="1"/>
  <c r="L264" i="10"/>
  <c r="B264" i="10"/>
  <c r="C264" i="10" s="1"/>
  <c r="L263" i="10"/>
  <c r="B263" i="10"/>
  <c r="C263" i="10" s="1"/>
  <c r="L262" i="10"/>
  <c r="B262" i="10"/>
  <c r="C262" i="10" s="1"/>
  <c r="L261" i="10"/>
  <c r="B261" i="10"/>
  <c r="C261" i="10" s="1"/>
  <c r="L260" i="10"/>
  <c r="B260" i="10"/>
  <c r="C260" i="10" s="1"/>
  <c r="L259" i="10"/>
  <c r="B259" i="10"/>
  <c r="C259" i="10" s="1"/>
  <c r="L258" i="10"/>
  <c r="B258" i="10"/>
  <c r="C258" i="10" s="1"/>
  <c r="L257" i="10"/>
  <c r="B257" i="10"/>
  <c r="C257" i="10" s="1"/>
  <c r="L256" i="10"/>
  <c r="B256" i="10"/>
  <c r="C256" i="10" s="1"/>
  <c r="L255" i="10"/>
  <c r="B255" i="10"/>
  <c r="C255" i="10" s="1"/>
  <c r="L254" i="10"/>
  <c r="B254" i="10"/>
  <c r="C254" i="10" s="1"/>
  <c r="L253" i="10"/>
  <c r="B253" i="10"/>
  <c r="C253" i="10" s="1"/>
  <c r="L252" i="10"/>
  <c r="B252" i="10"/>
  <c r="C252" i="10" s="1"/>
  <c r="L251" i="10"/>
  <c r="B251" i="10"/>
  <c r="C251" i="10" s="1"/>
  <c r="L250" i="10"/>
  <c r="B250" i="10"/>
  <c r="C250" i="10" s="1"/>
  <c r="L249" i="10"/>
  <c r="B249" i="10"/>
  <c r="C249" i="10" s="1"/>
  <c r="L248" i="10"/>
  <c r="B248" i="10"/>
  <c r="C248" i="10" s="1"/>
  <c r="L247" i="10"/>
  <c r="B247" i="10"/>
  <c r="C247" i="10" s="1"/>
  <c r="L246" i="10"/>
  <c r="B246" i="10"/>
  <c r="C246" i="10" s="1"/>
  <c r="L245" i="10"/>
  <c r="B245" i="10"/>
  <c r="C245" i="10" s="1"/>
  <c r="L244" i="10"/>
  <c r="B244" i="10"/>
  <c r="C244" i="10" s="1"/>
  <c r="L243" i="10"/>
  <c r="B243" i="10"/>
  <c r="C243" i="10" s="1"/>
  <c r="L242" i="10"/>
  <c r="B242" i="10"/>
  <c r="C242" i="10" s="1"/>
  <c r="L241" i="10"/>
  <c r="B241" i="10"/>
  <c r="C241" i="10" s="1"/>
  <c r="L240" i="10"/>
  <c r="B240" i="10"/>
  <c r="C240" i="10" s="1"/>
  <c r="L239" i="10"/>
  <c r="B239" i="10"/>
  <c r="C239" i="10" s="1"/>
  <c r="L238" i="10"/>
  <c r="B238" i="10"/>
  <c r="C238" i="10" s="1"/>
  <c r="L237" i="10"/>
  <c r="B237" i="10"/>
  <c r="C237" i="10" s="1"/>
  <c r="L236" i="10"/>
  <c r="B236" i="10"/>
  <c r="C236" i="10" s="1"/>
  <c r="L235" i="10"/>
  <c r="B235" i="10"/>
  <c r="C235" i="10" s="1"/>
  <c r="L234" i="10"/>
  <c r="B234" i="10"/>
  <c r="C234" i="10" s="1"/>
  <c r="L233" i="10"/>
  <c r="B233" i="10"/>
  <c r="C233" i="10" s="1"/>
  <c r="L232" i="10"/>
  <c r="B232" i="10"/>
  <c r="C232" i="10" s="1"/>
  <c r="L231" i="10"/>
  <c r="B231" i="10"/>
  <c r="C231" i="10" s="1"/>
  <c r="L230" i="10"/>
  <c r="B230" i="10"/>
  <c r="C230" i="10" s="1"/>
  <c r="L229" i="10"/>
  <c r="B229" i="10"/>
  <c r="C229" i="10" s="1"/>
  <c r="L228" i="10"/>
  <c r="B228" i="10"/>
  <c r="C228" i="10" s="1"/>
  <c r="L227" i="10"/>
  <c r="B227" i="10"/>
  <c r="C227" i="10" s="1"/>
  <c r="L226" i="10"/>
  <c r="B226" i="10"/>
  <c r="C226" i="10" s="1"/>
  <c r="L225" i="10"/>
  <c r="B225" i="10"/>
  <c r="C225" i="10" s="1"/>
  <c r="L224" i="10"/>
  <c r="B224" i="10"/>
  <c r="C224" i="10" s="1"/>
  <c r="L223" i="10"/>
  <c r="B223" i="10"/>
  <c r="C223" i="10" s="1"/>
  <c r="L222" i="10"/>
  <c r="B222" i="10"/>
  <c r="C222" i="10" s="1"/>
  <c r="L221" i="10"/>
  <c r="B221" i="10"/>
  <c r="C221" i="10" s="1"/>
  <c r="L220" i="10"/>
  <c r="B220" i="10"/>
  <c r="C220" i="10" s="1"/>
  <c r="L219" i="10"/>
  <c r="B219" i="10"/>
  <c r="C219" i="10" s="1"/>
  <c r="L218" i="10"/>
  <c r="B218" i="10"/>
  <c r="C218" i="10" s="1"/>
  <c r="L217" i="10"/>
  <c r="B217" i="10"/>
  <c r="C217" i="10" s="1"/>
  <c r="L216" i="10"/>
  <c r="B216" i="10"/>
  <c r="C216" i="10" s="1"/>
  <c r="L215" i="10"/>
  <c r="B215" i="10"/>
  <c r="C215" i="10" s="1"/>
  <c r="L214" i="10"/>
  <c r="B214" i="10"/>
  <c r="C214" i="10" s="1"/>
  <c r="L213" i="10"/>
  <c r="B213" i="10"/>
  <c r="C213" i="10" s="1"/>
  <c r="L212" i="10"/>
  <c r="B212" i="10"/>
  <c r="C212" i="10" s="1"/>
  <c r="L211" i="10"/>
  <c r="B211" i="10"/>
  <c r="C211" i="10" s="1"/>
  <c r="L210" i="10"/>
  <c r="B210" i="10"/>
  <c r="C210" i="10" s="1"/>
  <c r="L209" i="10"/>
  <c r="B209" i="10"/>
  <c r="C209" i="10" s="1"/>
  <c r="L208" i="10"/>
  <c r="B208" i="10"/>
  <c r="C208" i="10" s="1"/>
  <c r="L207" i="10"/>
  <c r="B207" i="10"/>
  <c r="C207" i="10" s="1"/>
  <c r="L206" i="10"/>
  <c r="B206" i="10"/>
  <c r="C206" i="10" s="1"/>
  <c r="L205" i="10"/>
  <c r="B205" i="10"/>
  <c r="C205" i="10" s="1"/>
  <c r="L204" i="10"/>
  <c r="B204" i="10"/>
  <c r="C204" i="10" s="1"/>
  <c r="L203" i="10"/>
  <c r="B203" i="10"/>
  <c r="C203" i="10" s="1"/>
  <c r="L202" i="10"/>
  <c r="B202" i="10"/>
  <c r="C202" i="10" s="1"/>
  <c r="L201" i="10"/>
  <c r="B201" i="10"/>
  <c r="C201" i="10" s="1"/>
  <c r="L200" i="10"/>
  <c r="B200" i="10"/>
  <c r="C200" i="10" s="1"/>
  <c r="L199" i="10"/>
  <c r="B199" i="10"/>
  <c r="C199" i="10" s="1"/>
  <c r="L198" i="10"/>
  <c r="B198" i="10"/>
  <c r="C198" i="10" s="1"/>
  <c r="L197" i="10"/>
  <c r="B197" i="10"/>
  <c r="C197" i="10" s="1"/>
  <c r="L196" i="10"/>
  <c r="B196" i="10"/>
  <c r="C196" i="10" s="1"/>
  <c r="L195" i="10"/>
  <c r="B195" i="10"/>
  <c r="C195" i="10" s="1"/>
  <c r="L194" i="10"/>
  <c r="B194" i="10"/>
  <c r="C194" i="10" s="1"/>
  <c r="L193" i="10"/>
  <c r="B193" i="10"/>
  <c r="C193" i="10" s="1"/>
  <c r="L192" i="10"/>
  <c r="B192" i="10"/>
  <c r="C192" i="10" s="1"/>
  <c r="L191" i="10"/>
  <c r="B191" i="10"/>
  <c r="C191" i="10" s="1"/>
  <c r="L190" i="10"/>
  <c r="B190" i="10"/>
  <c r="C190" i="10" s="1"/>
  <c r="L189" i="10"/>
  <c r="B189" i="10"/>
  <c r="C189" i="10" s="1"/>
  <c r="L188" i="10"/>
  <c r="B188" i="10"/>
  <c r="C188" i="10" s="1"/>
  <c r="L187" i="10"/>
  <c r="B187" i="10"/>
  <c r="C187" i="10" s="1"/>
  <c r="L186" i="10"/>
  <c r="B186" i="10"/>
  <c r="C186" i="10" s="1"/>
  <c r="L185" i="10"/>
  <c r="B185" i="10"/>
  <c r="C185" i="10" s="1"/>
  <c r="L184" i="10"/>
  <c r="B184" i="10"/>
  <c r="C184" i="10" s="1"/>
  <c r="L183" i="10"/>
  <c r="B183" i="10"/>
  <c r="C183" i="10" s="1"/>
  <c r="L182" i="10"/>
  <c r="B182" i="10"/>
  <c r="C182" i="10" s="1"/>
  <c r="L181" i="10"/>
  <c r="B181" i="10"/>
  <c r="C181" i="10" s="1"/>
  <c r="L180" i="10"/>
  <c r="B180" i="10"/>
  <c r="C180" i="10" s="1"/>
  <c r="L179" i="10"/>
  <c r="B179" i="10"/>
  <c r="C179" i="10" s="1"/>
  <c r="L178" i="10"/>
  <c r="B178" i="10"/>
  <c r="C178" i="10" s="1"/>
  <c r="L177" i="10"/>
  <c r="B177" i="10"/>
  <c r="C177" i="10" s="1"/>
  <c r="L176" i="10"/>
  <c r="B176" i="10"/>
  <c r="C176" i="10" s="1"/>
  <c r="L175" i="10"/>
  <c r="B175" i="10"/>
  <c r="C175" i="10" s="1"/>
  <c r="L174" i="10"/>
  <c r="B174" i="10"/>
  <c r="C174" i="10" s="1"/>
  <c r="L173" i="10"/>
  <c r="B173" i="10"/>
  <c r="C173" i="10" s="1"/>
  <c r="L172" i="10"/>
  <c r="B172" i="10"/>
  <c r="C172" i="10" s="1"/>
  <c r="L171" i="10"/>
  <c r="B171" i="10"/>
  <c r="C171" i="10" s="1"/>
  <c r="L170" i="10"/>
  <c r="B170" i="10"/>
  <c r="C170" i="10" s="1"/>
  <c r="L169" i="10"/>
  <c r="B169" i="10"/>
  <c r="C169" i="10" s="1"/>
  <c r="L168" i="10"/>
  <c r="B168" i="10"/>
  <c r="C168" i="10" s="1"/>
  <c r="L167" i="10"/>
  <c r="B167" i="10"/>
  <c r="C167" i="10" s="1"/>
  <c r="L166" i="10"/>
  <c r="B166" i="10"/>
  <c r="C166" i="10" s="1"/>
  <c r="L165" i="10"/>
  <c r="B165" i="10"/>
  <c r="C165" i="10" s="1"/>
  <c r="L164" i="10"/>
  <c r="B164" i="10"/>
  <c r="C164" i="10" s="1"/>
  <c r="L163" i="10"/>
  <c r="B163" i="10"/>
  <c r="C163" i="10" s="1"/>
  <c r="L162" i="10"/>
  <c r="B162" i="10"/>
  <c r="C162" i="10" s="1"/>
  <c r="L161" i="10"/>
  <c r="B161" i="10"/>
  <c r="C161" i="10" s="1"/>
  <c r="L160" i="10"/>
  <c r="B160" i="10"/>
  <c r="C160" i="10" s="1"/>
  <c r="L159" i="10"/>
  <c r="B159" i="10"/>
  <c r="C159" i="10" s="1"/>
  <c r="L158" i="10"/>
  <c r="B158" i="10"/>
  <c r="C158" i="10" s="1"/>
  <c r="L157" i="10"/>
  <c r="B157" i="10"/>
  <c r="C157" i="10" s="1"/>
  <c r="L156" i="10"/>
  <c r="B156" i="10"/>
  <c r="C156" i="10" s="1"/>
  <c r="L155" i="10"/>
  <c r="B155" i="10"/>
  <c r="C155" i="10" s="1"/>
  <c r="L154" i="10"/>
  <c r="B154" i="10"/>
  <c r="C154" i="10" s="1"/>
  <c r="L153" i="10"/>
  <c r="B153" i="10"/>
  <c r="C153" i="10" s="1"/>
  <c r="L152" i="10"/>
  <c r="B152" i="10"/>
  <c r="C152" i="10" s="1"/>
  <c r="L151" i="10"/>
  <c r="B151" i="10"/>
  <c r="C151" i="10" s="1"/>
  <c r="L150" i="10"/>
  <c r="B150" i="10"/>
  <c r="C150" i="10" s="1"/>
  <c r="L149" i="10"/>
  <c r="B149" i="10"/>
  <c r="C149" i="10" s="1"/>
  <c r="L148" i="10"/>
  <c r="B148" i="10"/>
  <c r="C148" i="10" s="1"/>
  <c r="L147" i="10"/>
  <c r="B147" i="10"/>
  <c r="C147" i="10" s="1"/>
  <c r="L146" i="10"/>
  <c r="B146" i="10"/>
  <c r="C146" i="10" s="1"/>
  <c r="L145" i="10"/>
  <c r="B145" i="10"/>
  <c r="C145" i="10" s="1"/>
  <c r="L144" i="10"/>
  <c r="B144" i="10"/>
  <c r="C144" i="10" s="1"/>
  <c r="L143" i="10"/>
  <c r="B143" i="10"/>
  <c r="C143" i="10" s="1"/>
  <c r="L142" i="10"/>
  <c r="B142" i="10"/>
  <c r="C142" i="10" s="1"/>
  <c r="L141" i="10"/>
  <c r="B141" i="10"/>
  <c r="C141" i="10" s="1"/>
  <c r="L140" i="10"/>
  <c r="B140" i="10"/>
  <c r="C140" i="10" s="1"/>
  <c r="L139" i="10"/>
  <c r="B139" i="10"/>
  <c r="C139" i="10" s="1"/>
  <c r="L138" i="10"/>
  <c r="B138" i="10"/>
  <c r="C138" i="10" s="1"/>
  <c r="L137" i="10"/>
  <c r="B137" i="10"/>
  <c r="C137" i="10" s="1"/>
  <c r="L136" i="10"/>
  <c r="B136" i="10"/>
  <c r="C136" i="10" s="1"/>
  <c r="L135" i="10"/>
  <c r="B135" i="10"/>
  <c r="C135" i="10" s="1"/>
  <c r="L134" i="10"/>
  <c r="B134" i="10"/>
  <c r="C134" i="10" s="1"/>
  <c r="L133" i="10"/>
  <c r="B133" i="10"/>
  <c r="C133" i="10" s="1"/>
  <c r="L132" i="10"/>
  <c r="B132" i="10"/>
  <c r="C132" i="10" s="1"/>
  <c r="L131" i="10"/>
  <c r="B131" i="10"/>
  <c r="C131" i="10" s="1"/>
  <c r="L130" i="10"/>
  <c r="B130" i="10"/>
  <c r="C130" i="10" s="1"/>
  <c r="L129" i="10"/>
  <c r="B129" i="10"/>
  <c r="C129" i="10" s="1"/>
  <c r="L128" i="10"/>
  <c r="B128" i="10"/>
  <c r="C128" i="10" s="1"/>
  <c r="L127" i="10"/>
  <c r="B127" i="10"/>
  <c r="C127" i="10" s="1"/>
  <c r="L126" i="10"/>
  <c r="B126" i="10"/>
  <c r="C126" i="10" s="1"/>
  <c r="L125" i="10"/>
  <c r="B125" i="10"/>
  <c r="C125" i="10" s="1"/>
  <c r="L124" i="10"/>
  <c r="B124" i="10"/>
  <c r="C124" i="10" s="1"/>
  <c r="L123" i="10"/>
  <c r="B123" i="10"/>
  <c r="C123" i="10" s="1"/>
  <c r="L122" i="10"/>
  <c r="B122" i="10"/>
  <c r="C122" i="10" s="1"/>
  <c r="L121" i="10"/>
  <c r="B121" i="10"/>
  <c r="C121" i="10" s="1"/>
  <c r="L120" i="10"/>
  <c r="B120" i="10"/>
  <c r="C120" i="10" s="1"/>
  <c r="L119" i="10"/>
  <c r="B119" i="10"/>
  <c r="C119" i="10" s="1"/>
  <c r="L118" i="10"/>
  <c r="B118" i="10"/>
  <c r="C118" i="10" s="1"/>
  <c r="L117" i="10"/>
  <c r="B117" i="10"/>
  <c r="C117" i="10" s="1"/>
  <c r="L116" i="10"/>
  <c r="B116" i="10"/>
  <c r="C116" i="10" s="1"/>
  <c r="L115" i="10"/>
  <c r="B115" i="10"/>
  <c r="C115" i="10" s="1"/>
  <c r="L114" i="10"/>
  <c r="B114" i="10"/>
  <c r="C114" i="10" s="1"/>
  <c r="L113" i="10"/>
  <c r="B113" i="10"/>
  <c r="C113" i="10" s="1"/>
  <c r="L112" i="10"/>
  <c r="B112" i="10"/>
  <c r="C112" i="10" s="1"/>
  <c r="L111" i="10"/>
  <c r="B111" i="10"/>
  <c r="C111" i="10" s="1"/>
  <c r="L110" i="10"/>
  <c r="B110" i="10"/>
  <c r="C110" i="10" s="1"/>
  <c r="L109" i="10"/>
  <c r="B109" i="10"/>
  <c r="C109" i="10" s="1"/>
  <c r="L108" i="10"/>
  <c r="B108" i="10"/>
  <c r="C108" i="10" s="1"/>
  <c r="L107" i="10"/>
  <c r="B107" i="10"/>
  <c r="C107" i="10" s="1"/>
  <c r="L106" i="10"/>
  <c r="B106" i="10"/>
  <c r="C106" i="10" s="1"/>
  <c r="L105" i="10"/>
  <c r="B105" i="10"/>
  <c r="C105" i="10" s="1"/>
  <c r="L104" i="10"/>
  <c r="B104" i="10"/>
  <c r="C104" i="10" s="1"/>
  <c r="L103" i="10"/>
  <c r="B103" i="10"/>
  <c r="C103" i="10" s="1"/>
  <c r="L102" i="10"/>
  <c r="B102" i="10"/>
  <c r="C102" i="10" s="1"/>
  <c r="L101" i="10"/>
  <c r="B101" i="10"/>
  <c r="C101" i="10" s="1"/>
  <c r="L100" i="10"/>
  <c r="B100" i="10"/>
  <c r="C100" i="10" s="1"/>
  <c r="L99" i="10"/>
  <c r="B99" i="10"/>
  <c r="C99" i="10" s="1"/>
  <c r="L98" i="10"/>
  <c r="B98" i="10"/>
  <c r="C98" i="10" s="1"/>
  <c r="L97" i="10"/>
  <c r="B97" i="10"/>
  <c r="C97" i="10" s="1"/>
  <c r="L96" i="10"/>
  <c r="B96" i="10"/>
  <c r="C96" i="10" s="1"/>
  <c r="L95" i="10"/>
  <c r="B95" i="10"/>
  <c r="C95" i="10" s="1"/>
  <c r="L94" i="10"/>
  <c r="B94" i="10"/>
  <c r="C94" i="10" s="1"/>
  <c r="L93" i="10"/>
  <c r="B93" i="10"/>
  <c r="C93" i="10" s="1"/>
  <c r="L92" i="10"/>
  <c r="B92" i="10"/>
  <c r="C92" i="10" s="1"/>
  <c r="L91" i="10"/>
  <c r="B91" i="10"/>
  <c r="C91" i="10" s="1"/>
  <c r="L90" i="10"/>
  <c r="B90" i="10"/>
  <c r="C90" i="10" s="1"/>
  <c r="L89" i="10"/>
  <c r="B89" i="10"/>
  <c r="C89" i="10" s="1"/>
  <c r="L88" i="10"/>
  <c r="B88" i="10"/>
  <c r="C88" i="10" s="1"/>
  <c r="L87" i="10"/>
  <c r="B87" i="10"/>
  <c r="C87" i="10" s="1"/>
  <c r="L86" i="10"/>
  <c r="B86" i="10"/>
  <c r="C86" i="10" s="1"/>
  <c r="L85" i="10"/>
  <c r="B85" i="10"/>
  <c r="C85" i="10" s="1"/>
  <c r="L84" i="10"/>
  <c r="B84" i="10"/>
  <c r="C84" i="10" s="1"/>
  <c r="L83" i="10"/>
  <c r="B83" i="10"/>
  <c r="C83" i="10" s="1"/>
  <c r="L82" i="10"/>
  <c r="B82" i="10"/>
  <c r="C82" i="10" s="1"/>
  <c r="L81" i="10"/>
  <c r="B81" i="10"/>
  <c r="C81" i="10" s="1"/>
  <c r="L80" i="10"/>
  <c r="B80" i="10"/>
  <c r="C80" i="10" s="1"/>
  <c r="L79" i="10"/>
  <c r="B79" i="10"/>
  <c r="C79" i="10" s="1"/>
  <c r="L78" i="10"/>
  <c r="B78" i="10"/>
  <c r="C78" i="10" s="1"/>
  <c r="L77" i="10"/>
  <c r="B77" i="10"/>
  <c r="C77" i="10" s="1"/>
  <c r="L76" i="10"/>
  <c r="B76" i="10"/>
  <c r="C76" i="10" s="1"/>
  <c r="L75" i="10"/>
  <c r="B75" i="10"/>
  <c r="C75" i="10" s="1"/>
  <c r="L74" i="10"/>
  <c r="B74" i="10"/>
  <c r="C74" i="10" s="1"/>
  <c r="L73" i="10"/>
  <c r="B73" i="10"/>
  <c r="C73" i="10" s="1"/>
  <c r="L72" i="10"/>
  <c r="B72" i="10"/>
  <c r="C72" i="10" s="1"/>
  <c r="L71" i="10"/>
  <c r="B71" i="10"/>
  <c r="C71" i="10" s="1"/>
  <c r="L70" i="10"/>
  <c r="B70" i="10"/>
  <c r="C70" i="10" s="1"/>
  <c r="L69" i="10"/>
  <c r="B69" i="10"/>
  <c r="C69" i="10" s="1"/>
  <c r="L68" i="10"/>
  <c r="B68" i="10"/>
  <c r="C68" i="10" s="1"/>
  <c r="L67" i="10"/>
  <c r="B67" i="10"/>
  <c r="C67" i="10" s="1"/>
  <c r="L66" i="10"/>
  <c r="B66" i="10"/>
  <c r="C66" i="10" s="1"/>
  <c r="L65" i="10"/>
  <c r="B65" i="10"/>
  <c r="C65" i="10" s="1"/>
  <c r="L64" i="10"/>
  <c r="B64" i="10"/>
  <c r="C64" i="10" s="1"/>
  <c r="L63" i="10"/>
  <c r="B63" i="10"/>
  <c r="C63" i="10" s="1"/>
  <c r="L62" i="10"/>
  <c r="B62" i="10"/>
  <c r="C62" i="10" s="1"/>
  <c r="L61" i="10"/>
  <c r="B61" i="10"/>
  <c r="C61" i="10" s="1"/>
  <c r="L60" i="10"/>
  <c r="B60" i="10"/>
  <c r="C60" i="10" s="1"/>
  <c r="L59" i="10"/>
  <c r="B59" i="10"/>
  <c r="C59" i="10" s="1"/>
  <c r="L58" i="10"/>
  <c r="B58" i="10"/>
  <c r="C58" i="10" s="1"/>
  <c r="L57" i="10"/>
  <c r="B57" i="10"/>
  <c r="C57" i="10" s="1"/>
  <c r="L56" i="10"/>
  <c r="B56" i="10"/>
  <c r="C56" i="10" s="1"/>
  <c r="L55" i="10"/>
  <c r="B55" i="10"/>
  <c r="C55" i="10" s="1"/>
  <c r="L54" i="10"/>
  <c r="B54" i="10"/>
  <c r="C54" i="10" s="1"/>
  <c r="L53" i="10"/>
  <c r="B53" i="10"/>
  <c r="C53" i="10" s="1"/>
  <c r="L52" i="10"/>
  <c r="B52" i="10"/>
  <c r="C52" i="10" s="1"/>
  <c r="L51" i="10"/>
  <c r="B51" i="10"/>
  <c r="C51" i="10" s="1"/>
  <c r="L50" i="10"/>
  <c r="B50" i="10"/>
  <c r="C50" i="10" s="1"/>
  <c r="L49" i="10"/>
  <c r="B49" i="10"/>
  <c r="C49" i="10" s="1"/>
  <c r="L48" i="10"/>
  <c r="B48" i="10"/>
  <c r="C48" i="10" s="1"/>
  <c r="L47" i="10"/>
  <c r="B47" i="10"/>
  <c r="C47" i="10" s="1"/>
  <c r="L46" i="10"/>
  <c r="B46" i="10"/>
  <c r="C46" i="10" s="1"/>
  <c r="L45" i="10"/>
  <c r="B45" i="10"/>
  <c r="C45" i="10" s="1"/>
  <c r="L44" i="10"/>
  <c r="B44" i="10"/>
  <c r="C44" i="10" s="1"/>
  <c r="L43" i="10"/>
  <c r="B43" i="10"/>
  <c r="C43" i="10" s="1"/>
  <c r="L42" i="10"/>
  <c r="B42" i="10"/>
  <c r="C42" i="10" s="1"/>
  <c r="L41" i="10"/>
  <c r="B41" i="10"/>
  <c r="C41" i="10" s="1"/>
  <c r="L40" i="10"/>
  <c r="B40" i="10"/>
  <c r="C40" i="10" s="1"/>
  <c r="L39" i="10"/>
  <c r="B39" i="10"/>
  <c r="C39" i="10" s="1"/>
  <c r="L38" i="10"/>
  <c r="B38" i="10"/>
  <c r="C38" i="10" s="1"/>
  <c r="L37" i="10"/>
  <c r="B37" i="10"/>
  <c r="C37" i="10" s="1"/>
  <c r="L36" i="10"/>
  <c r="B36" i="10"/>
  <c r="C36" i="10" s="1"/>
  <c r="L35" i="10"/>
  <c r="B35" i="10"/>
  <c r="C35" i="10" s="1"/>
  <c r="L34" i="10"/>
  <c r="B34" i="10"/>
  <c r="C34" i="10" s="1"/>
  <c r="L33" i="10"/>
  <c r="B33" i="10"/>
  <c r="C33" i="10" s="1"/>
  <c r="L32" i="10"/>
  <c r="B32" i="10"/>
  <c r="C32" i="10" s="1"/>
  <c r="L31" i="10"/>
  <c r="B31" i="10"/>
  <c r="C31" i="10" s="1"/>
  <c r="L30" i="10"/>
  <c r="B30" i="10"/>
  <c r="C30" i="10" s="1"/>
  <c r="L29" i="10"/>
  <c r="B29" i="10"/>
  <c r="C29" i="10" s="1"/>
  <c r="L28" i="10"/>
  <c r="B28" i="10"/>
  <c r="C28" i="10" s="1"/>
  <c r="L27" i="10"/>
  <c r="B27" i="10"/>
  <c r="C27" i="10" s="1"/>
  <c r="L26" i="10"/>
  <c r="B26" i="10"/>
  <c r="C26" i="10" s="1"/>
  <c r="L25" i="10"/>
  <c r="B25" i="10"/>
  <c r="C25" i="10" s="1"/>
  <c r="L24" i="10"/>
  <c r="B24" i="10"/>
  <c r="C24" i="10" s="1"/>
  <c r="L23" i="10"/>
  <c r="B23" i="10"/>
  <c r="C23" i="10" s="1"/>
  <c r="L22" i="10"/>
  <c r="B22" i="10"/>
  <c r="C22" i="10" s="1"/>
  <c r="L21" i="10"/>
  <c r="B21" i="10"/>
  <c r="C21" i="10" s="1"/>
  <c r="L20" i="10"/>
  <c r="B20" i="10"/>
  <c r="C20" i="10" s="1"/>
  <c r="L19" i="10"/>
  <c r="B19" i="10"/>
  <c r="C19" i="10" s="1"/>
  <c r="L18" i="10"/>
  <c r="B18" i="10"/>
  <c r="C18" i="10" s="1"/>
  <c r="L17" i="10"/>
  <c r="B17" i="10"/>
  <c r="C17" i="10" s="1"/>
  <c r="L16" i="10"/>
  <c r="B16" i="10"/>
  <c r="C16" i="10" s="1"/>
  <c r="L15" i="10"/>
  <c r="B15" i="10"/>
  <c r="C15" i="10" s="1"/>
  <c r="L14" i="10"/>
  <c r="B14" i="10"/>
  <c r="C14" i="10" s="1"/>
  <c r="L13" i="10"/>
  <c r="B13" i="10"/>
  <c r="C13" i="10" s="1"/>
  <c r="L12" i="10"/>
  <c r="B12" i="10"/>
  <c r="C12" i="10" s="1"/>
  <c r="L11" i="10"/>
  <c r="B11" i="10"/>
  <c r="C11" i="10" s="1"/>
  <c r="L10" i="10"/>
  <c r="B10" i="10"/>
  <c r="C10" i="10" s="1"/>
  <c r="L9" i="10"/>
  <c r="B9" i="10"/>
  <c r="D6" i="10"/>
  <c r="D5" i="10"/>
  <c r="D4" i="10"/>
  <c r="D3" i="10"/>
  <c r="L960" i="9"/>
  <c r="B960" i="9"/>
  <c r="C960" i="9" s="1"/>
  <c r="L959" i="9"/>
  <c r="B959" i="9"/>
  <c r="C959" i="9" s="1"/>
  <c r="L958" i="9"/>
  <c r="B958" i="9"/>
  <c r="C958" i="9" s="1"/>
  <c r="L957" i="9"/>
  <c r="B957" i="9"/>
  <c r="C957" i="9" s="1"/>
  <c r="L956" i="9"/>
  <c r="B956" i="9"/>
  <c r="C956" i="9" s="1"/>
  <c r="L955" i="9"/>
  <c r="B955" i="9"/>
  <c r="C955" i="9" s="1"/>
  <c r="L954" i="9"/>
  <c r="B954" i="9"/>
  <c r="C954" i="9" s="1"/>
  <c r="L953" i="9"/>
  <c r="B953" i="9"/>
  <c r="C953" i="9" s="1"/>
  <c r="L952" i="9"/>
  <c r="B952" i="9"/>
  <c r="C952" i="9" s="1"/>
  <c r="L951" i="9"/>
  <c r="B951" i="9"/>
  <c r="C951" i="9" s="1"/>
  <c r="L950" i="9"/>
  <c r="B950" i="9"/>
  <c r="C950" i="9" s="1"/>
  <c r="L949" i="9"/>
  <c r="B949" i="9"/>
  <c r="C949" i="9" s="1"/>
  <c r="L948" i="9"/>
  <c r="B948" i="9"/>
  <c r="C948" i="9" s="1"/>
  <c r="L947" i="9"/>
  <c r="B947" i="9"/>
  <c r="C947" i="9" s="1"/>
  <c r="L946" i="9"/>
  <c r="B946" i="9"/>
  <c r="C946" i="9" s="1"/>
  <c r="L945" i="9"/>
  <c r="B945" i="9"/>
  <c r="C945" i="9" s="1"/>
  <c r="L944" i="9"/>
  <c r="B944" i="9"/>
  <c r="C944" i="9" s="1"/>
  <c r="L943" i="9"/>
  <c r="B943" i="9"/>
  <c r="C943" i="9" s="1"/>
  <c r="L942" i="9"/>
  <c r="B942" i="9"/>
  <c r="C942" i="9" s="1"/>
  <c r="L941" i="9"/>
  <c r="B941" i="9"/>
  <c r="C941" i="9" s="1"/>
  <c r="L940" i="9"/>
  <c r="B940" i="9"/>
  <c r="C940" i="9" s="1"/>
  <c r="L939" i="9"/>
  <c r="B939" i="9"/>
  <c r="C939" i="9" s="1"/>
  <c r="L938" i="9"/>
  <c r="B938" i="9"/>
  <c r="C938" i="9" s="1"/>
  <c r="L937" i="9"/>
  <c r="B937" i="9"/>
  <c r="C937" i="9" s="1"/>
  <c r="L936" i="9"/>
  <c r="B936" i="9"/>
  <c r="C936" i="9" s="1"/>
  <c r="L935" i="9"/>
  <c r="B935" i="9"/>
  <c r="C935" i="9" s="1"/>
  <c r="L934" i="9"/>
  <c r="B934" i="9"/>
  <c r="C934" i="9" s="1"/>
  <c r="L933" i="9"/>
  <c r="B933" i="9"/>
  <c r="C933" i="9" s="1"/>
  <c r="L932" i="9"/>
  <c r="B932" i="9"/>
  <c r="C932" i="9" s="1"/>
  <c r="L931" i="9"/>
  <c r="B931" i="9"/>
  <c r="C931" i="9" s="1"/>
  <c r="L930" i="9"/>
  <c r="B930" i="9"/>
  <c r="C930" i="9" s="1"/>
  <c r="L929" i="9"/>
  <c r="B929" i="9"/>
  <c r="C929" i="9" s="1"/>
  <c r="L928" i="9"/>
  <c r="B928" i="9"/>
  <c r="C928" i="9" s="1"/>
  <c r="L927" i="9"/>
  <c r="B927" i="9"/>
  <c r="C927" i="9" s="1"/>
  <c r="L926" i="9"/>
  <c r="B926" i="9"/>
  <c r="C926" i="9" s="1"/>
  <c r="L925" i="9"/>
  <c r="B925" i="9"/>
  <c r="C925" i="9" s="1"/>
  <c r="L924" i="9"/>
  <c r="B924" i="9"/>
  <c r="C924" i="9" s="1"/>
  <c r="L923" i="9"/>
  <c r="B923" i="9"/>
  <c r="C923" i="9" s="1"/>
  <c r="L922" i="9"/>
  <c r="B922" i="9"/>
  <c r="C922" i="9" s="1"/>
  <c r="L921" i="9"/>
  <c r="B921" i="9"/>
  <c r="C921" i="9" s="1"/>
  <c r="L920" i="9"/>
  <c r="B920" i="9"/>
  <c r="C920" i="9" s="1"/>
  <c r="L919" i="9"/>
  <c r="B919" i="9"/>
  <c r="C919" i="9" s="1"/>
  <c r="L918" i="9"/>
  <c r="B918" i="9"/>
  <c r="C918" i="9" s="1"/>
  <c r="L917" i="9"/>
  <c r="B917" i="9"/>
  <c r="C917" i="9" s="1"/>
  <c r="L916" i="9"/>
  <c r="B916" i="9"/>
  <c r="C916" i="9" s="1"/>
  <c r="L915" i="9"/>
  <c r="B915" i="9"/>
  <c r="C915" i="9" s="1"/>
  <c r="L914" i="9"/>
  <c r="B914" i="9"/>
  <c r="C914" i="9" s="1"/>
  <c r="L913" i="9"/>
  <c r="B913" i="9"/>
  <c r="C913" i="9" s="1"/>
  <c r="L912" i="9"/>
  <c r="B912" i="9"/>
  <c r="C912" i="9" s="1"/>
  <c r="L911" i="9"/>
  <c r="B911" i="9"/>
  <c r="C911" i="9" s="1"/>
  <c r="L910" i="9"/>
  <c r="B910" i="9"/>
  <c r="C910" i="9" s="1"/>
  <c r="L909" i="9"/>
  <c r="B909" i="9"/>
  <c r="C909" i="9" s="1"/>
  <c r="L908" i="9"/>
  <c r="B908" i="9"/>
  <c r="C908" i="9" s="1"/>
  <c r="L907" i="9"/>
  <c r="B907" i="9"/>
  <c r="C907" i="9" s="1"/>
  <c r="L906" i="9"/>
  <c r="B906" i="9"/>
  <c r="C906" i="9" s="1"/>
  <c r="L905" i="9"/>
  <c r="B905" i="9"/>
  <c r="C905" i="9" s="1"/>
  <c r="L904" i="9"/>
  <c r="B904" i="9"/>
  <c r="C904" i="9" s="1"/>
  <c r="L903" i="9"/>
  <c r="B903" i="9"/>
  <c r="C903" i="9" s="1"/>
  <c r="L902" i="9"/>
  <c r="B902" i="9"/>
  <c r="C902" i="9" s="1"/>
  <c r="L901" i="9"/>
  <c r="B901" i="9"/>
  <c r="C901" i="9" s="1"/>
  <c r="L900" i="9"/>
  <c r="B900" i="9"/>
  <c r="C900" i="9" s="1"/>
  <c r="L899" i="9"/>
  <c r="B899" i="9"/>
  <c r="C899" i="9" s="1"/>
  <c r="L898" i="9"/>
  <c r="B898" i="9"/>
  <c r="C898" i="9" s="1"/>
  <c r="L897" i="9"/>
  <c r="B897" i="9"/>
  <c r="C897" i="9" s="1"/>
  <c r="L896" i="9"/>
  <c r="B896" i="9"/>
  <c r="C896" i="9" s="1"/>
  <c r="L895" i="9"/>
  <c r="B895" i="9"/>
  <c r="C895" i="9" s="1"/>
  <c r="L894" i="9"/>
  <c r="B894" i="9"/>
  <c r="C894" i="9" s="1"/>
  <c r="L893" i="9"/>
  <c r="B893" i="9"/>
  <c r="C893" i="9" s="1"/>
  <c r="L892" i="9"/>
  <c r="B892" i="9"/>
  <c r="C892" i="9" s="1"/>
  <c r="L891" i="9"/>
  <c r="B891" i="9"/>
  <c r="C891" i="9" s="1"/>
  <c r="L890" i="9"/>
  <c r="B890" i="9"/>
  <c r="C890" i="9" s="1"/>
  <c r="L889" i="9"/>
  <c r="B889" i="9"/>
  <c r="C889" i="9" s="1"/>
  <c r="L888" i="9"/>
  <c r="B888" i="9"/>
  <c r="C888" i="9" s="1"/>
  <c r="L887" i="9"/>
  <c r="B887" i="9"/>
  <c r="C887" i="9" s="1"/>
  <c r="L886" i="9"/>
  <c r="B886" i="9"/>
  <c r="C886" i="9" s="1"/>
  <c r="L885" i="9"/>
  <c r="B885" i="9"/>
  <c r="C885" i="9" s="1"/>
  <c r="L884" i="9"/>
  <c r="B884" i="9"/>
  <c r="C884" i="9" s="1"/>
  <c r="L883" i="9"/>
  <c r="B883" i="9"/>
  <c r="C883" i="9" s="1"/>
  <c r="L882" i="9"/>
  <c r="B882" i="9"/>
  <c r="C882" i="9" s="1"/>
  <c r="L881" i="9"/>
  <c r="B881" i="9"/>
  <c r="C881" i="9" s="1"/>
  <c r="L880" i="9"/>
  <c r="B880" i="9"/>
  <c r="C880" i="9" s="1"/>
  <c r="L879" i="9"/>
  <c r="B879" i="9"/>
  <c r="C879" i="9" s="1"/>
  <c r="L878" i="9"/>
  <c r="B878" i="9"/>
  <c r="C878" i="9" s="1"/>
  <c r="L877" i="9"/>
  <c r="B877" i="9"/>
  <c r="C877" i="9" s="1"/>
  <c r="L876" i="9"/>
  <c r="B876" i="9"/>
  <c r="C876" i="9" s="1"/>
  <c r="L875" i="9"/>
  <c r="B875" i="9"/>
  <c r="C875" i="9" s="1"/>
  <c r="L874" i="9"/>
  <c r="B874" i="9"/>
  <c r="C874" i="9" s="1"/>
  <c r="L873" i="9"/>
  <c r="B873" i="9"/>
  <c r="C873" i="9" s="1"/>
  <c r="L872" i="9"/>
  <c r="B872" i="9"/>
  <c r="C872" i="9" s="1"/>
  <c r="L871" i="9"/>
  <c r="B871" i="9"/>
  <c r="C871" i="9" s="1"/>
  <c r="L870" i="9"/>
  <c r="B870" i="9"/>
  <c r="C870" i="9" s="1"/>
  <c r="L869" i="9"/>
  <c r="B869" i="9"/>
  <c r="C869" i="9" s="1"/>
  <c r="L868" i="9"/>
  <c r="B868" i="9"/>
  <c r="C868" i="9" s="1"/>
  <c r="L867" i="9"/>
  <c r="B867" i="9"/>
  <c r="C867" i="9" s="1"/>
  <c r="L866" i="9"/>
  <c r="B866" i="9"/>
  <c r="C866" i="9" s="1"/>
  <c r="L865" i="9"/>
  <c r="B865" i="9"/>
  <c r="C865" i="9" s="1"/>
  <c r="L864" i="9"/>
  <c r="B864" i="9"/>
  <c r="C864" i="9" s="1"/>
  <c r="L863" i="9"/>
  <c r="B863" i="9"/>
  <c r="C863" i="9" s="1"/>
  <c r="L862" i="9"/>
  <c r="B862" i="9"/>
  <c r="C862" i="9" s="1"/>
  <c r="L861" i="9"/>
  <c r="B861" i="9"/>
  <c r="C861" i="9" s="1"/>
  <c r="L860" i="9"/>
  <c r="B860" i="9"/>
  <c r="C860" i="9" s="1"/>
  <c r="L859" i="9"/>
  <c r="B859" i="9"/>
  <c r="C859" i="9" s="1"/>
  <c r="L858" i="9"/>
  <c r="B858" i="9"/>
  <c r="C858" i="9" s="1"/>
  <c r="L857" i="9"/>
  <c r="B857" i="9"/>
  <c r="C857" i="9" s="1"/>
  <c r="L856" i="9"/>
  <c r="B856" i="9"/>
  <c r="C856" i="9" s="1"/>
  <c r="L855" i="9"/>
  <c r="B855" i="9"/>
  <c r="C855" i="9" s="1"/>
  <c r="L854" i="9"/>
  <c r="B854" i="9"/>
  <c r="C854" i="9" s="1"/>
  <c r="L853" i="9"/>
  <c r="B853" i="9"/>
  <c r="C853" i="9" s="1"/>
  <c r="L852" i="9"/>
  <c r="B852" i="9"/>
  <c r="C852" i="9" s="1"/>
  <c r="L851" i="9"/>
  <c r="B851" i="9"/>
  <c r="C851" i="9" s="1"/>
  <c r="L850" i="9"/>
  <c r="B850" i="9"/>
  <c r="C850" i="9" s="1"/>
  <c r="L849" i="9"/>
  <c r="B849" i="9"/>
  <c r="C849" i="9" s="1"/>
  <c r="L848" i="9"/>
  <c r="B848" i="9"/>
  <c r="C848" i="9" s="1"/>
  <c r="L847" i="9"/>
  <c r="B847" i="9"/>
  <c r="C847" i="9" s="1"/>
  <c r="L846" i="9"/>
  <c r="B846" i="9"/>
  <c r="C846" i="9" s="1"/>
  <c r="L845" i="9"/>
  <c r="B845" i="9"/>
  <c r="C845" i="9" s="1"/>
  <c r="L844" i="9"/>
  <c r="B844" i="9"/>
  <c r="C844" i="9" s="1"/>
  <c r="L843" i="9"/>
  <c r="B843" i="9"/>
  <c r="C843" i="9" s="1"/>
  <c r="L842" i="9"/>
  <c r="B842" i="9"/>
  <c r="C842" i="9" s="1"/>
  <c r="L841" i="9"/>
  <c r="B841" i="9"/>
  <c r="C841" i="9" s="1"/>
  <c r="L840" i="9"/>
  <c r="B840" i="9"/>
  <c r="C840" i="9" s="1"/>
  <c r="L839" i="9"/>
  <c r="B839" i="9"/>
  <c r="C839" i="9" s="1"/>
  <c r="L838" i="9"/>
  <c r="B838" i="9"/>
  <c r="C838" i="9" s="1"/>
  <c r="L837" i="9"/>
  <c r="B837" i="9"/>
  <c r="C837" i="9" s="1"/>
  <c r="L836" i="9"/>
  <c r="B836" i="9"/>
  <c r="C836" i="9" s="1"/>
  <c r="L835" i="9"/>
  <c r="B835" i="9"/>
  <c r="C835" i="9" s="1"/>
  <c r="L834" i="9"/>
  <c r="B834" i="9"/>
  <c r="C834" i="9" s="1"/>
  <c r="L833" i="9"/>
  <c r="B833" i="9"/>
  <c r="C833" i="9" s="1"/>
  <c r="L832" i="9"/>
  <c r="B832" i="9"/>
  <c r="C832" i="9" s="1"/>
  <c r="L831" i="9"/>
  <c r="B831" i="9"/>
  <c r="C831" i="9" s="1"/>
  <c r="L830" i="9"/>
  <c r="B830" i="9"/>
  <c r="C830" i="9" s="1"/>
  <c r="L829" i="9"/>
  <c r="B829" i="9"/>
  <c r="C829" i="9" s="1"/>
  <c r="L828" i="9"/>
  <c r="B828" i="9"/>
  <c r="C828" i="9" s="1"/>
  <c r="L827" i="9"/>
  <c r="B827" i="9"/>
  <c r="C827" i="9" s="1"/>
  <c r="L826" i="9"/>
  <c r="B826" i="9"/>
  <c r="C826" i="9" s="1"/>
  <c r="L825" i="9"/>
  <c r="B825" i="9"/>
  <c r="C825" i="9" s="1"/>
  <c r="L824" i="9"/>
  <c r="B824" i="9"/>
  <c r="C824" i="9" s="1"/>
  <c r="L823" i="9"/>
  <c r="B823" i="9"/>
  <c r="C823" i="9" s="1"/>
  <c r="L822" i="9"/>
  <c r="B822" i="9"/>
  <c r="C822" i="9" s="1"/>
  <c r="L821" i="9"/>
  <c r="B821" i="9"/>
  <c r="C821" i="9" s="1"/>
  <c r="L820" i="9"/>
  <c r="B820" i="9"/>
  <c r="C820" i="9" s="1"/>
  <c r="L819" i="9"/>
  <c r="B819" i="9"/>
  <c r="C819" i="9" s="1"/>
  <c r="L818" i="9"/>
  <c r="B818" i="9"/>
  <c r="C818" i="9" s="1"/>
  <c r="L817" i="9"/>
  <c r="B817" i="9"/>
  <c r="C817" i="9" s="1"/>
  <c r="L816" i="9"/>
  <c r="B816" i="9"/>
  <c r="C816" i="9" s="1"/>
  <c r="L815" i="9"/>
  <c r="B815" i="9"/>
  <c r="C815" i="9" s="1"/>
  <c r="L814" i="9"/>
  <c r="B814" i="9"/>
  <c r="C814" i="9" s="1"/>
  <c r="L813" i="9"/>
  <c r="B813" i="9"/>
  <c r="C813" i="9" s="1"/>
  <c r="L812" i="9"/>
  <c r="B812" i="9"/>
  <c r="C812" i="9" s="1"/>
  <c r="L811" i="9"/>
  <c r="B811" i="9"/>
  <c r="C811" i="9" s="1"/>
  <c r="L810" i="9"/>
  <c r="B810" i="9"/>
  <c r="C810" i="9" s="1"/>
  <c r="L809" i="9"/>
  <c r="B809" i="9"/>
  <c r="C809" i="9" s="1"/>
  <c r="L808" i="9"/>
  <c r="B808" i="9"/>
  <c r="C808" i="9" s="1"/>
  <c r="L807" i="9"/>
  <c r="B807" i="9"/>
  <c r="C807" i="9" s="1"/>
  <c r="L806" i="9"/>
  <c r="B806" i="9"/>
  <c r="C806" i="9" s="1"/>
  <c r="L805" i="9"/>
  <c r="B805" i="9"/>
  <c r="C805" i="9" s="1"/>
  <c r="L804" i="9"/>
  <c r="B804" i="9"/>
  <c r="C804" i="9" s="1"/>
  <c r="L803" i="9"/>
  <c r="B803" i="9"/>
  <c r="C803" i="9" s="1"/>
  <c r="L802" i="9"/>
  <c r="B802" i="9"/>
  <c r="C802" i="9" s="1"/>
  <c r="L801" i="9"/>
  <c r="B801" i="9"/>
  <c r="C801" i="9" s="1"/>
  <c r="L800" i="9"/>
  <c r="B800" i="9"/>
  <c r="C800" i="9" s="1"/>
  <c r="L799" i="9"/>
  <c r="B799" i="9"/>
  <c r="C799" i="9" s="1"/>
  <c r="L798" i="9"/>
  <c r="B798" i="9"/>
  <c r="C798" i="9" s="1"/>
  <c r="L797" i="9"/>
  <c r="B797" i="9"/>
  <c r="C797" i="9" s="1"/>
  <c r="L796" i="9"/>
  <c r="B796" i="9"/>
  <c r="C796" i="9" s="1"/>
  <c r="L795" i="9"/>
  <c r="B795" i="9"/>
  <c r="C795" i="9" s="1"/>
  <c r="L794" i="9"/>
  <c r="B794" i="9"/>
  <c r="C794" i="9" s="1"/>
  <c r="L793" i="9"/>
  <c r="B793" i="9"/>
  <c r="C793" i="9" s="1"/>
  <c r="L792" i="9"/>
  <c r="B792" i="9"/>
  <c r="C792" i="9" s="1"/>
  <c r="L791" i="9"/>
  <c r="B791" i="9"/>
  <c r="C791" i="9" s="1"/>
  <c r="L790" i="9"/>
  <c r="B790" i="9"/>
  <c r="C790" i="9" s="1"/>
  <c r="L789" i="9"/>
  <c r="B789" i="9"/>
  <c r="C789" i="9" s="1"/>
  <c r="L788" i="9"/>
  <c r="B788" i="9"/>
  <c r="C788" i="9" s="1"/>
  <c r="L787" i="9"/>
  <c r="B787" i="9"/>
  <c r="C787" i="9" s="1"/>
  <c r="L786" i="9"/>
  <c r="B786" i="9"/>
  <c r="C786" i="9" s="1"/>
  <c r="L785" i="9"/>
  <c r="B785" i="9"/>
  <c r="C785" i="9" s="1"/>
  <c r="L784" i="9"/>
  <c r="B784" i="9"/>
  <c r="C784" i="9" s="1"/>
  <c r="L783" i="9"/>
  <c r="B783" i="9"/>
  <c r="C783" i="9" s="1"/>
  <c r="L782" i="9"/>
  <c r="B782" i="9"/>
  <c r="C782" i="9" s="1"/>
  <c r="L781" i="9"/>
  <c r="B781" i="9"/>
  <c r="C781" i="9" s="1"/>
  <c r="L780" i="9"/>
  <c r="B780" i="9"/>
  <c r="C780" i="9" s="1"/>
  <c r="L779" i="9"/>
  <c r="B779" i="9"/>
  <c r="C779" i="9" s="1"/>
  <c r="L778" i="9"/>
  <c r="B778" i="9"/>
  <c r="C778" i="9" s="1"/>
  <c r="L777" i="9"/>
  <c r="B777" i="9"/>
  <c r="C777" i="9" s="1"/>
  <c r="L776" i="9"/>
  <c r="B776" i="9"/>
  <c r="C776" i="9" s="1"/>
  <c r="L775" i="9"/>
  <c r="B775" i="9"/>
  <c r="C775" i="9" s="1"/>
  <c r="L774" i="9"/>
  <c r="B774" i="9"/>
  <c r="C774" i="9" s="1"/>
  <c r="L773" i="9"/>
  <c r="B773" i="9"/>
  <c r="C773" i="9" s="1"/>
  <c r="L772" i="9"/>
  <c r="B772" i="9"/>
  <c r="C772" i="9" s="1"/>
  <c r="L771" i="9"/>
  <c r="B771" i="9"/>
  <c r="C771" i="9" s="1"/>
  <c r="L770" i="9"/>
  <c r="B770" i="9"/>
  <c r="C770" i="9" s="1"/>
  <c r="L769" i="9"/>
  <c r="B769" i="9"/>
  <c r="C769" i="9" s="1"/>
  <c r="L768" i="9"/>
  <c r="B768" i="9"/>
  <c r="C768" i="9" s="1"/>
  <c r="L767" i="9"/>
  <c r="B767" i="9"/>
  <c r="C767" i="9" s="1"/>
  <c r="L766" i="9"/>
  <c r="B766" i="9"/>
  <c r="C766" i="9" s="1"/>
  <c r="L765" i="9"/>
  <c r="B765" i="9"/>
  <c r="C765" i="9" s="1"/>
  <c r="L764" i="9"/>
  <c r="B764" i="9"/>
  <c r="C764" i="9" s="1"/>
  <c r="L763" i="9"/>
  <c r="B763" i="9"/>
  <c r="C763" i="9" s="1"/>
  <c r="L762" i="9"/>
  <c r="B762" i="9"/>
  <c r="C762" i="9" s="1"/>
  <c r="L761" i="9"/>
  <c r="B761" i="9"/>
  <c r="C761" i="9" s="1"/>
  <c r="L760" i="9"/>
  <c r="B760" i="9"/>
  <c r="C760" i="9" s="1"/>
  <c r="L759" i="9"/>
  <c r="B759" i="9"/>
  <c r="C759" i="9" s="1"/>
  <c r="L758" i="9"/>
  <c r="B758" i="9"/>
  <c r="C758" i="9" s="1"/>
  <c r="L757" i="9"/>
  <c r="B757" i="9"/>
  <c r="C757" i="9" s="1"/>
  <c r="L756" i="9"/>
  <c r="B756" i="9"/>
  <c r="C756" i="9" s="1"/>
  <c r="L755" i="9"/>
  <c r="B755" i="9"/>
  <c r="C755" i="9" s="1"/>
  <c r="L754" i="9"/>
  <c r="B754" i="9"/>
  <c r="C754" i="9" s="1"/>
  <c r="L753" i="9"/>
  <c r="B753" i="9"/>
  <c r="C753" i="9" s="1"/>
  <c r="L752" i="9"/>
  <c r="B752" i="9"/>
  <c r="C752" i="9" s="1"/>
  <c r="L751" i="9"/>
  <c r="B751" i="9"/>
  <c r="C751" i="9" s="1"/>
  <c r="L750" i="9"/>
  <c r="B750" i="9"/>
  <c r="C750" i="9" s="1"/>
  <c r="L749" i="9"/>
  <c r="B749" i="9"/>
  <c r="C749" i="9" s="1"/>
  <c r="L748" i="9"/>
  <c r="B748" i="9"/>
  <c r="C748" i="9" s="1"/>
  <c r="L747" i="9"/>
  <c r="B747" i="9"/>
  <c r="C747" i="9" s="1"/>
  <c r="L746" i="9"/>
  <c r="B746" i="9"/>
  <c r="C746" i="9" s="1"/>
  <c r="L745" i="9"/>
  <c r="B745" i="9"/>
  <c r="C745" i="9" s="1"/>
  <c r="L744" i="9"/>
  <c r="B744" i="9"/>
  <c r="C744" i="9" s="1"/>
  <c r="L743" i="9"/>
  <c r="B743" i="9"/>
  <c r="C743" i="9" s="1"/>
  <c r="L742" i="9"/>
  <c r="B742" i="9"/>
  <c r="C742" i="9" s="1"/>
  <c r="L741" i="9"/>
  <c r="B741" i="9"/>
  <c r="C741" i="9" s="1"/>
  <c r="L740" i="9"/>
  <c r="B740" i="9"/>
  <c r="C740" i="9" s="1"/>
  <c r="L739" i="9"/>
  <c r="B739" i="9"/>
  <c r="C739" i="9" s="1"/>
  <c r="L738" i="9"/>
  <c r="B738" i="9"/>
  <c r="C738" i="9" s="1"/>
  <c r="L737" i="9"/>
  <c r="B737" i="9"/>
  <c r="C737" i="9" s="1"/>
  <c r="L736" i="9"/>
  <c r="B736" i="9"/>
  <c r="C736" i="9" s="1"/>
  <c r="L735" i="9"/>
  <c r="B735" i="9"/>
  <c r="C735" i="9" s="1"/>
  <c r="L734" i="9"/>
  <c r="B734" i="9"/>
  <c r="C734" i="9" s="1"/>
  <c r="L733" i="9"/>
  <c r="B733" i="9"/>
  <c r="C733" i="9" s="1"/>
  <c r="L732" i="9"/>
  <c r="B732" i="9"/>
  <c r="C732" i="9" s="1"/>
  <c r="L731" i="9"/>
  <c r="B731" i="9"/>
  <c r="C731" i="9" s="1"/>
  <c r="L730" i="9"/>
  <c r="B730" i="9"/>
  <c r="C730" i="9" s="1"/>
  <c r="L729" i="9"/>
  <c r="B729" i="9"/>
  <c r="C729" i="9" s="1"/>
  <c r="L728" i="9"/>
  <c r="B728" i="9"/>
  <c r="C728" i="9" s="1"/>
  <c r="L727" i="9"/>
  <c r="B727" i="9"/>
  <c r="C727" i="9" s="1"/>
  <c r="L726" i="9"/>
  <c r="B726" i="9"/>
  <c r="C726" i="9" s="1"/>
  <c r="L725" i="9"/>
  <c r="B725" i="9"/>
  <c r="C725" i="9" s="1"/>
  <c r="L724" i="9"/>
  <c r="B724" i="9"/>
  <c r="C724" i="9" s="1"/>
  <c r="L723" i="9"/>
  <c r="B723" i="9"/>
  <c r="C723" i="9" s="1"/>
  <c r="L722" i="9"/>
  <c r="B722" i="9"/>
  <c r="C722" i="9" s="1"/>
  <c r="L721" i="9"/>
  <c r="B721" i="9"/>
  <c r="C721" i="9" s="1"/>
  <c r="L720" i="9"/>
  <c r="B720" i="9"/>
  <c r="C720" i="9" s="1"/>
  <c r="L719" i="9"/>
  <c r="B719" i="9"/>
  <c r="C719" i="9" s="1"/>
  <c r="L718" i="9"/>
  <c r="B718" i="9"/>
  <c r="C718" i="9" s="1"/>
  <c r="L717" i="9"/>
  <c r="B717" i="9"/>
  <c r="C717" i="9" s="1"/>
  <c r="L716" i="9"/>
  <c r="B716" i="9"/>
  <c r="C716" i="9" s="1"/>
  <c r="L715" i="9"/>
  <c r="B715" i="9"/>
  <c r="C715" i="9" s="1"/>
  <c r="L714" i="9"/>
  <c r="B714" i="9"/>
  <c r="C714" i="9" s="1"/>
  <c r="L713" i="9"/>
  <c r="B713" i="9"/>
  <c r="C713" i="9" s="1"/>
  <c r="L712" i="9"/>
  <c r="B712" i="9"/>
  <c r="C712" i="9" s="1"/>
  <c r="L711" i="9"/>
  <c r="B711" i="9"/>
  <c r="C711" i="9" s="1"/>
  <c r="L710" i="9"/>
  <c r="B710" i="9"/>
  <c r="C710" i="9" s="1"/>
  <c r="L709" i="9"/>
  <c r="B709" i="9"/>
  <c r="C709" i="9" s="1"/>
  <c r="L708" i="9"/>
  <c r="B708" i="9"/>
  <c r="C708" i="9" s="1"/>
  <c r="L707" i="9"/>
  <c r="B707" i="9"/>
  <c r="C707" i="9" s="1"/>
  <c r="L706" i="9"/>
  <c r="B706" i="9"/>
  <c r="C706" i="9" s="1"/>
  <c r="L705" i="9"/>
  <c r="B705" i="9"/>
  <c r="C705" i="9" s="1"/>
  <c r="L704" i="9"/>
  <c r="B704" i="9"/>
  <c r="C704" i="9" s="1"/>
  <c r="L703" i="9"/>
  <c r="B703" i="9"/>
  <c r="C703" i="9" s="1"/>
  <c r="L702" i="9"/>
  <c r="B702" i="9"/>
  <c r="C702" i="9" s="1"/>
  <c r="L701" i="9"/>
  <c r="B701" i="9"/>
  <c r="C701" i="9" s="1"/>
  <c r="L700" i="9"/>
  <c r="B700" i="9"/>
  <c r="C700" i="9" s="1"/>
  <c r="L699" i="9"/>
  <c r="B699" i="9"/>
  <c r="C699" i="9" s="1"/>
  <c r="L698" i="9"/>
  <c r="B698" i="9"/>
  <c r="C698" i="9" s="1"/>
  <c r="L697" i="9"/>
  <c r="B697" i="9"/>
  <c r="C697" i="9" s="1"/>
  <c r="L696" i="9"/>
  <c r="B696" i="9"/>
  <c r="C696" i="9" s="1"/>
  <c r="L695" i="9"/>
  <c r="B695" i="9"/>
  <c r="C695" i="9" s="1"/>
  <c r="L694" i="9"/>
  <c r="B694" i="9"/>
  <c r="C694" i="9" s="1"/>
  <c r="L693" i="9"/>
  <c r="B693" i="9"/>
  <c r="C693" i="9" s="1"/>
  <c r="L692" i="9"/>
  <c r="B692" i="9"/>
  <c r="C692" i="9" s="1"/>
  <c r="L691" i="9"/>
  <c r="B691" i="9"/>
  <c r="C691" i="9" s="1"/>
  <c r="L690" i="9"/>
  <c r="B690" i="9"/>
  <c r="C690" i="9" s="1"/>
  <c r="L689" i="9"/>
  <c r="B689" i="9"/>
  <c r="C689" i="9" s="1"/>
  <c r="L688" i="9"/>
  <c r="B688" i="9"/>
  <c r="C688" i="9" s="1"/>
  <c r="L687" i="9"/>
  <c r="B687" i="9"/>
  <c r="C687" i="9" s="1"/>
  <c r="L686" i="9"/>
  <c r="B686" i="9"/>
  <c r="C686" i="9" s="1"/>
  <c r="L685" i="9"/>
  <c r="B685" i="9"/>
  <c r="C685" i="9" s="1"/>
  <c r="L684" i="9"/>
  <c r="B684" i="9"/>
  <c r="C684" i="9" s="1"/>
  <c r="L683" i="9"/>
  <c r="B683" i="9"/>
  <c r="C683" i="9" s="1"/>
  <c r="L682" i="9"/>
  <c r="B682" i="9"/>
  <c r="C682" i="9" s="1"/>
  <c r="L681" i="9"/>
  <c r="B681" i="9"/>
  <c r="C681" i="9" s="1"/>
  <c r="L680" i="9"/>
  <c r="B680" i="9"/>
  <c r="C680" i="9" s="1"/>
  <c r="L679" i="9"/>
  <c r="B679" i="9"/>
  <c r="C679" i="9" s="1"/>
  <c r="L678" i="9"/>
  <c r="B678" i="9"/>
  <c r="C678" i="9" s="1"/>
  <c r="L677" i="9"/>
  <c r="B677" i="9"/>
  <c r="C677" i="9" s="1"/>
  <c r="L676" i="9"/>
  <c r="B676" i="9"/>
  <c r="C676" i="9" s="1"/>
  <c r="L675" i="9"/>
  <c r="B675" i="9"/>
  <c r="C675" i="9" s="1"/>
  <c r="L674" i="9"/>
  <c r="B674" i="9"/>
  <c r="C674" i="9" s="1"/>
  <c r="L673" i="9"/>
  <c r="B673" i="9"/>
  <c r="C673" i="9" s="1"/>
  <c r="L672" i="9"/>
  <c r="B672" i="9"/>
  <c r="C672" i="9" s="1"/>
  <c r="L671" i="9"/>
  <c r="B671" i="9"/>
  <c r="C671" i="9" s="1"/>
  <c r="L670" i="9"/>
  <c r="B670" i="9"/>
  <c r="C670" i="9" s="1"/>
  <c r="L669" i="9"/>
  <c r="B669" i="9"/>
  <c r="C669" i="9" s="1"/>
  <c r="L668" i="9"/>
  <c r="B668" i="9"/>
  <c r="C668" i="9" s="1"/>
  <c r="L667" i="9"/>
  <c r="B667" i="9"/>
  <c r="C667" i="9" s="1"/>
  <c r="L666" i="9"/>
  <c r="B666" i="9"/>
  <c r="C666" i="9" s="1"/>
  <c r="L665" i="9"/>
  <c r="B665" i="9"/>
  <c r="C665" i="9" s="1"/>
  <c r="L664" i="9"/>
  <c r="B664" i="9"/>
  <c r="C664" i="9" s="1"/>
  <c r="L663" i="9"/>
  <c r="B663" i="9"/>
  <c r="C663" i="9" s="1"/>
  <c r="L662" i="9"/>
  <c r="B662" i="9"/>
  <c r="C662" i="9" s="1"/>
  <c r="L661" i="9"/>
  <c r="B661" i="9"/>
  <c r="C661" i="9" s="1"/>
  <c r="L660" i="9"/>
  <c r="B660" i="9"/>
  <c r="C660" i="9" s="1"/>
  <c r="L659" i="9"/>
  <c r="B659" i="9"/>
  <c r="C659" i="9" s="1"/>
  <c r="L658" i="9"/>
  <c r="B658" i="9"/>
  <c r="C658" i="9" s="1"/>
  <c r="L657" i="9"/>
  <c r="B657" i="9"/>
  <c r="C657" i="9" s="1"/>
  <c r="L656" i="9"/>
  <c r="B656" i="9"/>
  <c r="C656" i="9" s="1"/>
  <c r="L655" i="9"/>
  <c r="B655" i="9"/>
  <c r="C655" i="9" s="1"/>
  <c r="L654" i="9"/>
  <c r="B654" i="9"/>
  <c r="C654" i="9" s="1"/>
  <c r="L653" i="9"/>
  <c r="B653" i="9"/>
  <c r="C653" i="9" s="1"/>
  <c r="L652" i="9"/>
  <c r="B652" i="9"/>
  <c r="C652" i="9" s="1"/>
  <c r="L651" i="9"/>
  <c r="B651" i="9"/>
  <c r="C651" i="9" s="1"/>
  <c r="L650" i="9"/>
  <c r="B650" i="9"/>
  <c r="C650" i="9" s="1"/>
  <c r="L649" i="9"/>
  <c r="B649" i="9"/>
  <c r="C649" i="9" s="1"/>
  <c r="L648" i="9"/>
  <c r="B648" i="9"/>
  <c r="C648" i="9" s="1"/>
  <c r="L647" i="9"/>
  <c r="B647" i="9"/>
  <c r="C647" i="9" s="1"/>
  <c r="L646" i="9"/>
  <c r="B646" i="9"/>
  <c r="C646" i="9" s="1"/>
  <c r="L645" i="9"/>
  <c r="B645" i="9"/>
  <c r="C645" i="9" s="1"/>
  <c r="L644" i="9"/>
  <c r="B644" i="9"/>
  <c r="C644" i="9" s="1"/>
  <c r="L643" i="9"/>
  <c r="B643" i="9"/>
  <c r="C643" i="9" s="1"/>
  <c r="L642" i="9"/>
  <c r="B642" i="9"/>
  <c r="C642" i="9" s="1"/>
  <c r="L641" i="9"/>
  <c r="B641" i="9"/>
  <c r="C641" i="9" s="1"/>
  <c r="L640" i="9"/>
  <c r="B640" i="9"/>
  <c r="C640" i="9" s="1"/>
  <c r="L639" i="9"/>
  <c r="B639" i="9"/>
  <c r="C639" i="9" s="1"/>
  <c r="L638" i="9"/>
  <c r="B638" i="9"/>
  <c r="C638" i="9" s="1"/>
  <c r="L637" i="9"/>
  <c r="B637" i="9"/>
  <c r="C637" i="9" s="1"/>
  <c r="L636" i="9"/>
  <c r="B636" i="9"/>
  <c r="C636" i="9" s="1"/>
  <c r="L635" i="9"/>
  <c r="B635" i="9"/>
  <c r="C635" i="9" s="1"/>
  <c r="L634" i="9"/>
  <c r="B634" i="9"/>
  <c r="C634" i="9" s="1"/>
  <c r="L633" i="9"/>
  <c r="B633" i="9"/>
  <c r="C633" i="9" s="1"/>
  <c r="L632" i="9"/>
  <c r="B632" i="9"/>
  <c r="C632" i="9" s="1"/>
  <c r="L631" i="9"/>
  <c r="B631" i="9"/>
  <c r="C631" i="9" s="1"/>
  <c r="L630" i="9"/>
  <c r="B630" i="9"/>
  <c r="C630" i="9" s="1"/>
  <c r="L629" i="9"/>
  <c r="B629" i="9"/>
  <c r="C629" i="9" s="1"/>
  <c r="L628" i="9"/>
  <c r="B628" i="9"/>
  <c r="C628" i="9" s="1"/>
  <c r="L627" i="9"/>
  <c r="B627" i="9"/>
  <c r="C627" i="9" s="1"/>
  <c r="L626" i="9"/>
  <c r="B626" i="9"/>
  <c r="C626" i="9" s="1"/>
  <c r="L625" i="9"/>
  <c r="B625" i="9"/>
  <c r="C625" i="9" s="1"/>
  <c r="L624" i="9"/>
  <c r="B624" i="9"/>
  <c r="C624" i="9" s="1"/>
  <c r="L623" i="9"/>
  <c r="B623" i="9"/>
  <c r="C623" i="9" s="1"/>
  <c r="L622" i="9"/>
  <c r="B622" i="9"/>
  <c r="C622" i="9" s="1"/>
  <c r="L621" i="9"/>
  <c r="B621" i="9"/>
  <c r="C621" i="9" s="1"/>
  <c r="L620" i="9"/>
  <c r="B620" i="9"/>
  <c r="C620" i="9" s="1"/>
  <c r="L619" i="9"/>
  <c r="B619" i="9"/>
  <c r="C619" i="9" s="1"/>
  <c r="L618" i="9"/>
  <c r="B618" i="9"/>
  <c r="C618" i="9" s="1"/>
  <c r="L617" i="9"/>
  <c r="B617" i="9"/>
  <c r="C617" i="9" s="1"/>
  <c r="L616" i="9"/>
  <c r="B616" i="9"/>
  <c r="C616" i="9" s="1"/>
  <c r="L615" i="9"/>
  <c r="B615" i="9"/>
  <c r="C615" i="9" s="1"/>
  <c r="L614" i="9"/>
  <c r="B614" i="9"/>
  <c r="C614" i="9" s="1"/>
  <c r="L613" i="9"/>
  <c r="B613" i="9"/>
  <c r="C613" i="9" s="1"/>
  <c r="L612" i="9"/>
  <c r="B612" i="9"/>
  <c r="C612" i="9" s="1"/>
  <c r="L611" i="9"/>
  <c r="B611" i="9"/>
  <c r="C611" i="9" s="1"/>
  <c r="L610" i="9"/>
  <c r="B610" i="9"/>
  <c r="C610" i="9" s="1"/>
  <c r="L609" i="9"/>
  <c r="B609" i="9"/>
  <c r="C609" i="9" s="1"/>
  <c r="L608" i="9"/>
  <c r="B608" i="9"/>
  <c r="C608" i="9" s="1"/>
  <c r="L607" i="9"/>
  <c r="B607" i="9"/>
  <c r="C607" i="9" s="1"/>
  <c r="L606" i="9"/>
  <c r="B606" i="9"/>
  <c r="C606" i="9" s="1"/>
  <c r="L605" i="9"/>
  <c r="B605" i="9"/>
  <c r="C605" i="9" s="1"/>
  <c r="L604" i="9"/>
  <c r="B604" i="9"/>
  <c r="C604" i="9" s="1"/>
  <c r="L603" i="9"/>
  <c r="B603" i="9"/>
  <c r="C603" i="9" s="1"/>
  <c r="L602" i="9"/>
  <c r="B602" i="9"/>
  <c r="C602" i="9" s="1"/>
  <c r="L601" i="9"/>
  <c r="B601" i="9"/>
  <c r="C601" i="9" s="1"/>
  <c r="L600" i="9"/>
  <c r="B600" i="9"/>
  <c r="C600" i="9" s="1"/>
  <c r="L599" i="9"/>
  <c r="B599" i="9"/>
  <c r="C599" i="9" s="1"/>
  <c r="L598" i="9"/>
  <c r="B598" i="9"/>
  <c r="C598" i="9" s="1"/>
  <c r="L597" i="9"/>
  <c r="B597" i="9"/>
  <c r="C597" i="9" s="1"/>
  <c r="L596" i="9"/>
  <c r="B596" i="9"/>
  <c r="C596" i="9" s="1"/>
  <c r="L595" i="9"/>
  <c r="B595" i="9"/>
  <c r="C595" i="9" s="1"/>
  <c r="L594" i="9"/>
  <c r="B594" i="9"/>
  <c r="C594" i="9" s="1"/>
  <c r="L593" i="9"/>
  <c r="B593" i="9"/>
  <c r="C593" i="9" s="1"/>
  <c r="L592" i="9"/>
  <c r="B592" i="9"/>
  <c r="C592" i="9" s="1"/>
  <c r="L591" i="9"/>
  <c r="B591" i="9"/>
  <c r="C591" i="9" s="1"/>
  <c r="L590" i="9"/>
  <c r="B590" i="9"/>
  <c r="C590" i="9" s="1"/>
  <c r="L589" i="9"/>
  <c r="B589" i="9"/>
  <c r="C589" i="9" s="1"/>
  <c r="L588" i="9"/>
  <c r="B588" i="9"/>
  <c r="C588" i="9" s="1"/>
  <c r="L587" i="9"/>
  <c r="B587" i="9"/>
  <c r="C587" i="9" s="1"/>
  <c r="L586" i="9"/>
  <c r="B586" i="9"/>
  <c r="C586" i="9" s="1"/>
  <c r="L585" i="9"/>
  <c r="B585" i="9"/>
  <c r="C585" i="9" s="1"/>
  <c r="L584" i="9"/>
  <c r="B584" i="9"/>
  <c r="C584" i="9" s="1"/>
  <c r="L583" i="9"/>
  <c r="B583" i="9"/>
  <c r="C583" i="9" s="1"/>
  <c r="L582" i="9"/>
  <c r="B582" i="9"/>
  <c r="C582" i="9" s="1"/>
  <c r="L581" i="9"/>
  <c r="B581" i="9"/>
  <c r="C581" i="9" s="1"/>
  <c r="L580" i="9"/>
  <c r="B580" i="9"/>
  <c r="C580" i="9" s="1"/>
  <c r="L579" i="9"/>
  <c r="B579" i="9"/>
  <c r="C579" i="9" s="1"/>
  <c r="L578" i="9"/>
  <c r="B578" i="9"/>
  <c r="C578" i="9" s="1"/>
  <c r="L577" i="9"/>
  <c r="B577" i="9"/>
  <c r="C577" i="9" s="1"/>
  <c r="L576" i="9"/>
  <c r="B576" i="9"/>
  <c r="C576" i="9" s="1"/>
  <c r="L575" i="9"/>
  <c r="B575" i="9"/>
  <c r="C575" i="9" s="1"/>
  <c r="L574" i="9"/>
  <c r="B574" i="9"/>
  <c r="C574" i="9" s="1"/>
  <c r="L573" i="9"/>
  <c r="B573" i="9"/>
  <c r="C573" i="9" s="1"/>
  <c r="L572" i="9"/>
  <c r="B572" i="9"/>
  <c r="C572" i="9" s="1"/>
  <c r="L571" i="9"/>
  <c r="B571" i="9"/>
  <c r="C571" i="9" s="1"/>
  <c r="L570" i="9"/>
  <c r="B570" i="9"/>
  <c r="C570" i="9" s="1"/>
  <c r="L569" i="9"/>
  <c r="B569" i="9"/>
  <c r="C569" i="9" s="1"/>
  <c r="L568" i="9"/>
  <c r="B568" i="9"/>
  <c r="C568" i="9" s="1"/>
  <c r="L567" i="9"/>
  <c r="B567" i="9"/>
  <c r="C567" i="9" s="1"/>
  <c r="L566" i="9"/>
  <c r="B566" i="9"/>
  <c r="C566" i="9" s="1"/>
  <c r="L565" i="9"/>
  <c r="B565" i="9"/>
  <c r="C565" i="9" s="1"/>
  <c r="L564" i="9"/>
  <c r="B564" i="9"/>
  <c r="C564" i="9" s="1"/>
  <c r="L563" i="9"/>
  <c r="B563" i="9"/>
  <c r="C563" i="9" s="1"/>
  <c r="L562" i="9"/>
  <c r="B562" i="9"/>
  <c r="C562" i="9" s="1"/>
  <c r="L561" i="9"/>
  <c r="B561" i="9"/>
  <c r="C561" i="9" s="1"/>
  <c r="L560" i="9"/>
  <c r="B560" i="9"/>
  <c r="C560" i="9" s="1"/>
  <c r="L559" i="9"/>
  <c r="B559" i="9"/>
  <c r="C559" i="9" s="1"/>
  <c r="L558" i="9"/>
  <c r="B558" i="9"/>
  <c r="C558" i="9" s="1"/>
  <c r="L557" i="9"/>
  <c r="B557" i="9"/>
  <c r="C557" i="9" s="1"/>
  <c r="L556" i="9"/>
  <c r="B556" i="9"/>
  <c r="C556" i="9" s="1"/>
  <c r="L555" i="9"/>
  <c r="B555" i="9"/>
  <c r="C555" i="9" s="1"/>
  <c r="L554" i="9"/>
  <c r="B554" i="9"/>
  <c r="C554" i="9" s="1"/>
  <c r="L553" i="9"/>
  <c r="B553" i="9"/>
  <c r="C553" i="9" s="1"/>
  <c r="L552" i="9"/>
  <c r="B552" i="9"/>
  <c r="C552" i="9" s="1"/>
  <c r="L551" i="9"/>
  <c r="B551" i="9"/>
  <c r="C551" i="9" s="1"/>
  <c r="L550" i="9"/>
  <c r="B550" i="9"/>
  <c r="C550" i="9" s="1"/>
  <c r="L549" i="9"/>
  <c r="B549" i="9"/>
  <c r="C549" i="9" s="1"/>
  <c r="L548" i="9"/>
  <c r="B548" i="9"/>
  <c r="C548" i="9" s="1"/>
  <c r="L547" i="9"/>
  <c r="B547" i="9"/>
  <c r="C547" i="9" s="1"/>
  <c r="L546" i="9"/>
  <c r="B546" i="9"/>
  <c r="C546" i="9" s="1"/>
  <c r="L545" i="9"/>
  <c r="B545" i="9"/>
  <c r="C545" i="9" s="1"/>
  <c r="L544" i="9"/>
  <c r="B544" i="9"/>
  <c r="C544" i="9" s="1"/>
  <c r="L543" i="9"/>
  <c r="B543" i="9"/>
  <c r="C543" i="9" s="1"/>
  <c r="L542" i="9"/>
  <c r="B542" i="9"/>
  <c r="C542" i="9" s="1"/>
  <c r="L541" i="9"/>
  <c r="B541" i="9"/>
  <c r="C541" i="9" s="1"/>
  <c r="L540" i="9"/>
  <c r="B540" i="9"/>
  <c r="C540" i="9" s="1"/>
  <c r="L539" i="9"/>
  <c r="B539" i="9"/>
  <c r="C539" i="9" s="1"/>
  <c r="L538" i="9"/>
  <c r="B538" i="9"/>
  <c r="C538" i="9" s="1"/>
  <c r="L537" i="9"/>
  <c r="B537" i="9"/>
  <c r="C537" i="9" s="1"/>
  <c r="L536" i="9"/>
  <c r="B536" i="9"/>
  <c r="C536" i="9" s="1"/>
  <c r="L535" i="9"/>
  <c r="B535" i="9"/>
  <c r="C535" i="9" s="1"/>
  <c r="L534" i="9"/>
  <c r="B534" i="9"/>
  <c r="C534" i="9" s="1"/>
  <c r="L533" i="9"/>
  <c r="B533" i="9"/>
  <c r="C533" i="9" s="1"/>
  <c r="L532" i="9"/>
  <c r="B532" i="9"/>
  <c r="C532" i="9" s="1"/>
  <c r="L531" i="9"/>
  <c r="B531" i="9"/>
  <c r="C531" i="9" s="1"/>
  <c r="L530" i="9"/>
  <c r="B530" i="9"/>
  <c r="C530" i="9" s="1"/>
  <c r="L529" i="9"/>
  <c r="B529" i="9"/>
  <c r="C529" i="9" s="1"/>
  <c r="L528" i="9"/>
  <c r="B528" i="9"/>
  <c r="C528" i="9" s="1"/>
  <c r="L527" i="9"/>
  <c r="B527" i="9"/>
  <c r="C527" i="9" s="1"/>
  <c r="L526" i="9"/>
  <c r="B526" i="9"/>
  <c r="C526" i="9" s="1"/>
  <c r="L525" i="9"/>
  <c r="B525" i="9"/>
  <c r="C525" i="9" s="1"/>
  <c r="L524" i="9"/>
  <c r="B524" i="9"/>
  <c r="C524" i="9" s="1"/>
  <c r="L523" i="9"/>
  <c r="B523" i="9"/>
  <c r="C523" i="9" s="1"/>
  <c r="L522" i="9"/>
  <c r="B522" i="9"/>
  <c r="C522" i="9" s="1"/>
  <c r="L521" i="9"/>
  <c r="B521" i="9"/>
  <c r="C521" i="9" s="1"/>
  <c r="L520" i="9"/>
  <c r="B520" i="9"/>
  <c r="C520" i="9" s="1"/>
  <c r="L519" i="9"/>
  <c r="B519" i="9"/>
  <c r="C519" i="9" s="1"/>
  <c r="L518" i="9"/>
  <c r="B518" i="9"/>
  <c r="C518" i="9" s="1"/>
  <c r="L517" i="9"/>
  <c r="B517" i="9"/>
  <c r="C517" i="9" s="1"/>
  <c r="L516" i="9"/>
  <c r="B516" i="9"/>
  <c r="C516" i="9" s="1"/>
  <c r="L515" i="9"/>
  <c r="B515" i="9"/>
  <c r="C515" i="9" s="1"/>
  <c r="L514" i="9"/>
  <c r="B514" i="9"/>
  <c r="C514" i="9" s="1"/>
  <c r="L513" i="9"/>
  <c r="B513" i="9"/>
  <c r="C513" i="9" s="1"/>
  <c r="L512" i="9"/>
  <c r="B512" i="9"/>
  <c r="C512" i="9" s="1"/>
  <c r="L511" i="9"/>
  <c r="B511" i="9"/>
  <c r="C511" i="9" s="1"/>
  <c r="L510" i="9"/>
  <c r="B510" i="9"/>
  <c r="C510" i="9" s="1"/>
  <c r="L509" i="9"/>
  <c r="B509" i="9"/>
  <c r="C509" i="9" s="1"/>
  <c r="L508" i="9"/>
  <c r="B508" i="9"/>
  <c r="C508" i="9" s="1"/>
  <c r="L507" i="9"/>
  <c r="B507" i="9"/>
  <c r="C507" i="9" s="1"/>
  <c r="L506" i="9"/>
  <c r="B506" i="9"/>
  <c r="C506" i="9" s="1"/>
  <c r="L505" i="9"/>
  <c r="B505" i="9"/>
  <c r="C505" i="9" s="1"/>
  <c r="L504" i="9"/>
  <c r="B504" i="9"/>
  <c r="C504" i="9" s="1"/>
  <c r="L503" i="9"/>
  <c r="B503" i="9"/>
  <c r="C503" i="9" s="1"/>
  <c r="L502" i="9"/>
  <c r="B502" i="9"/>
  <c r="C502" i="9" s="1"/>
  <c r="L501" i="9"/>
  <c r="B501" i="9"/>
  <c r="C501" i="9" s="1"/>
  <c r="L500" i="9"/>
  <c r="B500" i="9"/>
  <c r="C500" i="9" s="1"/>
  <c r="L499" i="9"/>
  <c r="B499" i="9"/>
  <c r="C499" i="9" s="1"/>
  <c r="L498" i="9"/>
  <c r="B498" i="9"/>
  <c r="C498" i="9" s="1"/>
  <c r="L497" i="9"/>
  <c r="B497" i="9"/>
  <c r="C497" i="9" s="1"/>
  <c r="L496" i="9"/>
  <c r="B496" i="9"/>
  <c r="C496" i="9" s="1"/>
  <c r="L495" i="9"/>
  <c r="B495" i="9"/>
  <c r="C495" i="9" s="1"/>
  <c r="L494" i="9"/>
  <c r="B494" i="9"/>
  <c r="C494" i="9" s="1"/>
  <c r="L493" i="9"/>
  <c r="B493" i="9"/>
  <c r="C493" i="9" s="1"/>
  <c r="L492" i="9"/>
  <c r="B492" i="9"/>
  <c r="C492" i="9" s="1"/>
  <c r="L491" i="9"/>
  <c r="B491" i="9"/>
  <c r="C491" i="9" s="1"/>
  <c r="L490" i="9"/>
  <c r="B490" i="9"/>
  <c r="C490" i="9" s="1"/>
  <c r="L489" i="9"/>
  <c r="B489" i="9"/>
  <c r="C489" i="9" s="1"/>
  <c r="L488" i="9"/>
  <c r="B488" i="9"/>
  <c r="C488" i="9" s="1"/>
  <c r="L487" i="9"/>
  <c r="B487" i="9"/>
  <c r="C487" i="9" s="1"/>
  <c r="L486" i="9"/>
  <c r="B486" i="9"/>
  <c r="C486" i="9" s="1"/>
  <c r="L485" i="9"/>
  <c r="B485" i="9"/>
  <c r="C485" i="9" s="1"/>
  <c r="L484" i="9"/>
  <c r="B484" i="9"/>
  <c r="C484" i="9" s="1"/>
  <c r="L483" i="9"/>
  <c r="B483" i="9"/>
  <c r="C483" i="9" s="1"/>
  <c r="L482" i="9"/>
  <c r="B482" i="9"/>
  <c r="C482" i="9" s="1"/>
  <c r="L481" i="9"/>
  <c r="B481" i="9"/>
  <c r="C481" i="9" s="1"/>
  <c r="L480" i="9"/>
  <c r="B480" i="9"/>
  <c r="C480" i="9" s="1"/>
  <c r="L479" i="9"/>
  <c r="B479" i="9"/>
  <c r="C479" i="9" s="1"/>
  <c r="L478" i="9"/>
  <c r="B478" i="9"/>
  <c r="C478" i="9" s="1"/>
  <c r="L477" i="9"/>
  <c r="B477" i="9"/>
  <c r="C477" i="9" s="1"/>
  <c r="L476" i="9"/>
  <c r="B476" i="9"/>
  <c r="C476" i="9" s="1"/>
  <c r="L475" i="9"/>
  <c r="B475" i="9"/>
  <c r="C475" i="9" s="1"/>
  <c r="L474" i="9"/>
  <c r="B474" i="9"/>
  <c r="C474" i="9" s="1"/>
  <c r="L473" i="9"/>
  <c r="B473" i="9"/>
  <c r="C473" i="9" s="1"/>
  <c r="L472" i="9"/>
  <c r="B472" i="9"/>
  <c r="C472" i="9" s="1"/>
  <c r="L471" i="9"/>
  <c r="B471" i="9"/>
  <c r="C471" i="9" s="1"/>
  <c r="L470" i="9"/>
  <c r="B470" i="9"/>
  <c r="C470" i="9" s="1"/>
  <c r="L469" i="9"/>
  <c r="B469" i="9"/>
  <c r="C469" i="9" s="1"/>
  <c r="L468" i="9"/>
  <c r="B468" i="9"/>
  <c r="C468" i="9" s="1"/>
  <c r="L467" i="9"/>
  <c r="B467" i="9"/>
  <c r="C467" i="9" s="1"/>
  <c r="L466" i="9"/>
  <c r="B466" i="9"/>
  <c r="C466" i="9" s="1"/>
  <c r="L465" i="9"/>
  <c r="B465" i="9"/>
  <c r="C465" i="9" s="1"/>
  <c r="L464" i="9"/>
  <c r="B464" i="9"/>
  <c r="C464" i="9" s="1"/>
  <c r="L463" i="9"/>
  <c r="B463" i="9"/>
  <c r="C463" i="9" s="1"/>
  <c r="L462" i="9"/>
  <c r="B462" i="9"/>
  <c r="C462" i="9" s="1"/>
  <c r="L461" i="9"/>
  <c r="B461" i="9"/>
  <c r="C461" i="9" s="1"/>
  <c r="L460" i="9"/>
  <c r="B460" i="9"/>
  <c r="C460" i="9" s="1"/>
  <c r="L459" i="9"/>
  <c r="B459" i="9"/>
  <c r="C459" i="9" s="1"/>
  <c r="L458" i="9"/>
  <c r="B458" i="9"/>
  <c r="C458" i="9" s="1"/>
  <c r="L457" i="9"/>
  <c r="B457" i="9"/>
  <c r="C457" i="9" s="1"/>
  <c r="L456" i="9"/>
  <c r="B456" i="9"/>
  <c r="C456" i="9" s="1"/>
  <c r="L455" i="9"/>
  <c r="B455" i="9"/>
  <c r="C455" i="9" s="1"/>
  <c r="L454" i="9"/>
  <c r="B454" i="9"/>
  <c r="C454" i="9" s="1"/>
  <c r="L453" i="9"/>
  <c r="B453" i="9"/>
  <c r="C453" i="9" s="1"/>
  <c r="L452" i="9"/>
  <c r="B452" i="9"/>
  <c r="C452" i="9" s="1"/>
  <c r="L451" i="9"/>
  <c r="B451" i="9"/>
  <c r="C451" i="9" s="1"/>
  <c r="L450" i="9"/>
  <c r="B450" i="9"/>
  <c r="C450" i="9" s="1"/>
  <c r="L449" i="9"/>
  <c r="B449" i="9"/>
  <c r="C449" i="9" s="1"/>
  <c r="L448" i="9"/>
  <c r="B448" i="9"/>
  <c r="C448" i="9" s="1"/>
  <c r="L447" i="9"/>
  <c r="B447" i="9"/>
  <c r="C447" i="9" s="1"/>
  <c r="L446" i="9"/>
  <c r="B446" i="9"/>
  <c r="C446" i="9" s="1"/>
  <c r="L445" i="9"/>
  <c r="B445" i="9"/>
  <c r="C445" i="9" s="1"/>
  <c r="L444" i="9"/>
  <c r="B444" i="9"/>
  <c r="C444" i="9" s="1"/>
  <c r="L443" i="9"/>
  <c r="B443" i="9"/>
  <c r="C443" i="9" s="1"/>
  <c r="L442" i="9"/>
  <c r="B442" i="9"/>
  <c r="C442" i="9" s="1"/>
  <c r="L441" i="9"/>
  <c r="B441" i="9"/>
  <c r="C441" i="9" s="1"/>
  <c r="L440" i="9"/>
  <c r="B440" i="9"/>
  <c r="C440" i="9" s="1"/>
  <c r="L439" i="9"/>
  <c r="B439" i="9"/>
  <c r="C439" i="9" s="1"/>
  <c r="L438" i="9"/>
  <c r="B438" i="9"/>
  <c r="C438" i="9" s="1"/>
  <c r="L437" i="9"/>
  <c r="B437" i="9"/>
  <c r="C437" i="9" s="1"/>
  <c r="L436" i="9"/>
  <c r="B436" i="9"/>
  <c r="C436" i="9" s="1"/>
  <c r="L435" i="9"/>
  <c r="B435" i="9"/>
  <c r="C435" i="9" s="1"/>
  <c r="L434" i="9"/>
  <c r="B434" i="9"/>
  <c r="C434" i="9" s="1"/>
  <c r="L433" i="9"/>
  <c r="B433" i="9"/>
  <c r="C433" i="9" s="1"/>
  <c r="L432" i="9"/>
  <c r="B432" i="9"/>
  <c r="C432" i="9" s="1"/>
  <c r="L431" i="9"/>
  <c r="B431" i="9"/>
  <c r="C431" i="9" s="1"/>
  <c r="L430" i="9"/>
  <c r="B430" i="9"/>
  <c r="C430" i="9" s="1"/>
  <c r="L429" i="9"/>
  <c r="B429" i="9"/>
  <c r="C429" i="9" s="1"/>
  <c r="L428" i="9"/>
  <c r="B428" i="9"/>
  <c r="C428" i="9" s="1"/>
  <c r="L427" i="9"/>
  <c r="B427" i="9"/>
  <c r="C427" i="9" s="1"/>
  <c r="L426" i="9"/>
  <c r="B426" i="9"/>
  <c r="C426" i="9" s="1"/>
  <c r="L425" i="9"/>
  <c r="B425" i="9"/>
  <c r="C425" i="9" s="1"/>
  <c r="L424" i="9"/>
  <c r="B424" i="9"/>
  <c r="C424" i="9" s="1"/>
  <c r="L423" i="9"/>
  <c r="B423" i="9"/>
  <c r="C423" i="9" s="1"/>
  <c r="L422" i="9"/>
  <c r="B422" i="9"/>
  <c r="C422" i="9" s="1"/>
  <c r="L421" i="9"/>
  <c r="B421" i="9"/>
  <c r="C421" i="9" s="1"/>
  <c r="L420" i="9"/>
  <c r="B420" i="9"/>
  <c r="C420" i="9" s="1"/>
  <c r="L419" i="9"/>
  <c r="B419" i="9"/>
  <c r="C419" i="9" s="1"/>
  <c r="L418" i="9"/>
  <c r="B418" i="9"/>
  <c r="C418" i="9" s="1"/>
  <c r="L417" i="9"/>
  <c r="B417" i="9"/>
  <c r="C417" i="9" s="1"/>
  <c r="L416" i="9"/>
  <c r="B416" i="9"/>
  <c r="C416" i="9" s="1"/>
  <c r="L415" i="9"/>
  <c r="B415" i="9"/>
  <c r="C415" i="9" s="1"/>
  <c r="L414" i="9"/>
  <c r="B414" i="9"/>
  <c r="C414" i="9" s="1"/>
  <c r="L413" i="9"/>
  <c r="B413" i="9"/>
  <c r="C413" i="9" s="1"/>
  <c r="L412" i="9"/>
  <c r="B412" i="9"/>
  <c r="C412" i="9" s="1"/>
  <c r="L411" i="9"/>
  <c r="B411" i="9"/>
  <c r="C411" i="9" s="1"/>
  <c r="L410" i="9"/>
  <c r="B410" i="9"/>
  <c r="C410" i="9" s="1"/>
  <c r="L409" i="9"/>
  <c r="B409" i="9"/>
  <c r="C409" i="9" s="1"/>
  <c r="L408" i="9"/>
  <c r="B408" i="9"/>
  <c r="C408" i="9" s="1"/>
  <c r="L407" i="9"/>
  <c r="B407" i="9"/>
  <c r="C407" i="9" s="1"/>
  <c r="L406" i="9"/>
  <c r="B406" i="9"/>
  <c r="C406" i="9" s="1"/>
  <c r="L405" i="9"/>
  <c r="B405" i="9"/>
  <c r="C405" i="9" s="1"/>
  <c r="L404" i="9"/>
  <c r="B404" i="9"/>
  <c r="C404" i="9" s="1"/>
  <c r="L403" i="9"/>
  <c r="B403" i="9"/>
  <c r="C403" i="9" s="1"/>
  <c r="L402" i="9"/>
  <c r="B402" i="9"/>
  <c r="C402" i="9" s="1"/>
  <c r="L401" i="9"/>
  <c r="B401" i="9"/>
  <c r="C401" i="9" s="1"/>
  <c r="L400" i="9"/>
  <c r="B400" i="9"/>
  <c r="C400" i="9" s="1"/>
  <c r="L399" i="9"/>
  <c r="B399" i="9"/>
  <c r="C399" i="9" s="1"/>
  <c r="L398" i="9"/>
  <c r="B398" i="9"/>
  <c r="C398" i="9" s="1"/>
  <c r="L397" i="9"/>
  <c r="B397" i="9"/>
  <c r="C397" i="9" s="1"/>
  <c r="L396" i="9"/>
  <c r="B396" i="9"/>
  <c r="C396" i="9" s="1"/>
  <c r="L395" i="9"/>
  <c r="B395" i="9"/>
  <c r="C395" i="9" s="1"/>
  <c r="L394" i="9"/>
  <c r="B394" i="9"/>
  <c r="C394" i="9" s="1"/>
  <c r="L393" i="9"/>
  <c r="B393" i="9"/>
  <c r="C393" i="9" s="1"/>
  <c r="L392" i="9"/>
  <c r="B392" i="9"/>
  <c r="C392" i="9" s="1"/>
  <c r="L391" i="9"/>
  <c r="B391" i="9"/>
  <c r="C391" i="9" s="1"/>
  <c r="L390" i="9"/>
  <c r="B390" i="9"/>
  <c r="C390" i="9" s="1"/>
  <c r="L389" i="9"/>
  <c r="B389" i="9"/>
  <c r="C389" i="9" s="1"/>
  <c r="L388" i="9"/>
  <c r="B388" i="9"/>
  <c r="C388" i="9" s="1"/>
  <c r="L387" i="9"/>
  <c r="B387" i="9"/>
  <c r="C387" i="9" s="1"/>
  <c r="L386" i="9"/>
  <c r="B386" i="9"/>
  <c r="C386" i="9" s="1"/>
  <c r="L385" i="9"/>
  <c r="B385" i="9"/>
  <c r="C385" i="9" s="1"/>
  <c r="L384" i="9"/>
  <c r="B384" i="9"/>
  <c r="C384" i="9" s="1"/>
  <c r="L383" i="9"/>
  <c r="B383" i="9"/>
  <c r="C383" i="9" s="1"/>
  <c r="L382" i="9"/>
  <c r="B382" i="9"/>
  <c r="C382" i="9" s="1"/>
  <c r="L381" i="9"/>
  <c r="B381" i="9"/>
  <c r="C381" i="9" s="1"/>
  <c r="L380" i="9"/>
  <c r="B380" i="9"/>
  <c r="C380" i="9" s="1"/>
  <c r="L379" i="9"/>
  <c r="B379" i="9"/>
  <c r="C379" i="9" s="1"/>
  <c r="L378" i="9"/>
  <c r="B378" i="9"/>
  <c r="C378" i="9" s="1"/>
  <c r="L377" i="9"/>
  <c r="B377" i="9"/>
  <c r="C377" i="9" s="1"/>
  <c r="L376" i="9"/>
  <c r="B376" i="9"/>
  <c r="C376" i="9" s="1"/>
  <c r="L375" i="9"/>
  <c r="B375" i="9"/>
  <c r="C375" i="9" s="1"/>
  <c r="L374" i="9"/>
  <c r="B374" i="9"/>
  <c r="C374" i="9" s="1"/>
  <c r="L373" i="9"/>
  <c r="B373" i="9"/>
  <c r="C373" i="9" s="1"/>
  <c r="L372" i="9"/>
  <c r="B372" i="9"/>
  <c r="C372" i="9" s="1"/>
  <c r="L371" i="9"/>
  <c r="B371" i="9"/>
  <c r="C371" i="9" s="1"/>
  <c r="L370" i="9"/>
  <c r="B370" i="9"/>
  <c r="C370" i="9" s="1"/>
  <c r="L369" i="9"/>
  <c r="B369" i="9"/>
  <c r="C369" i="9" s="1"/>
  <c r="L368" i="9"/>
  <c r="B368" i="9"/>
  <c r="C368" i="9" s="1"/>
  <c r="L367" i="9"/>
  <c r="B367" i="9"/>
  <c r="C367" i="9" s="1"/>
  <c r="L366" i="9"/>
  <c r="B366" i="9"/>
  <c r="C366" i="9" s="1"/>
  <c r="L365" i="9"/>
  <c r="B365" i="9"/>
  <c r="C365" i="9" s="1"/>
  <c r="L364" i="9"/>
  <c r="B364" i="9"/>
  <c r="C364" i="9" s="1"/>
  <c r="L363" i="9"/>
  <c r="B363" i="9"/>
  <c r="C363" i="9" s="1"/>
  <c r="L362" i="9"/>
  <c r="B362" i="9"/>
  <c r="C362" i="9" s="1"/>
  <c r="L361" i="9"/>
  <c r="B361" i="9"/>
  <c r="C361" i="9" s="1"/>
  <c r="L360" i="9"/>
  <c r="B360" i="9"/>
  <c r="C360" i="9" s="1"/>
  <c r="L359" i="9"/>
  <c r="B359" i="9"/>
  <c r="C359" i="9" s="1"/>
  <c r="L358" i="9"/>
  <c r="B358" i="9"/>
  <c r="C358" i="9" s="1"/>
  <c r="L357" i="9"/>
  <c r="B357" i="9"/>
  <c r="C357" i="9" s="1"/>
  <c r="L356" i="9"/>
  <c r="B356" i="9"/>
  <c r="C356" i="9" s="1"/>
  <c r="L355" i="9"/>
  <c r="B355" i="9"/>
  <c r="C355" i="9" s="1"/>
  <c r="L354" i="9"/>
  <c r="B354" i="9"/>
  <c r="C354" i="9" s="1"/>
  <c r="L353" i="9"/>
  <c r="B353" i="9"/>
  <c r="C353" i="9" s="1"/>
  <c r="L352" i="9"/>
  <c r="B352" i="9"/>
  <c r="C352" i="9" s="1"/>
  <c r="L351" i="9"/>
  <c r="B351" i="9"/>
  <c r="C351" i="9" s="1"/>
  <c r="L350" i="9"/>
  <c r="B350" i="9"/>
  <c r="C350" i="9" s="1"/>
  <c r="L349" i="9"/>
  <c r="B349" i="9"/>
  <c r="C349" i="9" s="1"/>
  <c r="L348" i="9"/>
  <c r="B348" i="9"/>
  <c r="C348" i="9" s="1"/>
  <c r="L347" i="9"/>
  <c r="B347" i="9"/>
  <c r="C347" i="9" s="1"/>
  <c r="L346" i="9"/>
  <c r="B346" i="9"/>
  <c r="C346" i="9" s="1"/>
  <c r="L345" i="9"/>
  <c r="B345" i="9"/>
  <c r="C345" i="9" s="1"/>
  <c r="L344" i="9"/>
  <c r="B344" i="9"/>
  <c r="C344" i="9" s="1"/>
  <c r="L343" i="9"/>
  <c r="B343" i="9"/>
  <c r="C343" i="9" s="1"/>
  <c r="L342" i="9"/>
  <c r="B342" i="9"/>
  <c r="C342" i="9" s="1"/>
  <c r="L341" i="9"/>
  <c r="B341" i="9"/>
  <c r="C341" i="9" s="1"/>
  <c r="L340" i="9"/>
  <c r="B340" i="9"/>
  <c r="C340" i="9" s="1"/>
  <c r="L339" i="9"/>
  <c r="B339" i="9"/>
  <c r="C339" i="9" s="1"/>
  <c r="L338" i="9"/>
  <c r="B338" i="9"/>
  <c r="C338" i="9" s="1"/>
  <c r="L337" i="9"/>
  <c r="B337" i="9"/>
  <c r="C337" i="9" s="1"/>
  <c r="L336" i="9"/>
  <c r="B336" i="9"/>
  <c r="C336" i="9" s="1"/>
  <c r="L335" i="9"/>
  <c r="B335" i="9"/>
  <c r="C335" i="9" s="1"/>
  <c r="L334" i="9"/>
  <c r="B334" i="9"/>
  <c r="C334" i="9" s="1"/>
  <c r="L333" i="9"/>
  <c r="B333" i="9"/>
  <c r="C333" i="9" s="1"/>
  <c r="L332" i="9"/>
  <c r="B332" i="9"/>
  <c r="C332" i="9" s="1"/>
  <c r="L331" i="9"/>
  <c r="B331" i="9"/>
  <c r="C331" i="9" s="1"/>
  <c r="L330" i="9"/>
  <c r="B330" i="9"/>
  <c r="C330" i="9" s="1"/>
  <c r="L329" i="9"/>
  <c r="B329" i="9"/>
  <c r="C329" i="9" s="1"/>
  <c r="L328" i="9"/>
  <c r="B328" i="9"/>
  <c r="C328" i="9" s="1"/>
  <c r="L327" i="9"/>
  <c r="B327" i="9"/>
  <c r="C327" i="9" s="1"/>
  <c r="L326" i="9"/>
  <c r="B326" i="9"/>
  <c r="C326" i="9" s="1"/>
  <c r="L325" i="9"/>
  <c r="B325" i="9"/>
  <c r="C325" i="9" s="1"/>
  <c r="L324" i="9"/>
  <c r="B324" i="9"/>
  <c r="C324" i="9" s="1"/>
  <c r="L323" i="9"/>
  <c r="B323" i="9"/>
  <c r="C323" i="9" s="1"/>
  <c r="L322" i="9"/>
  <c r="B322" i="9"/>
  <c r="C322" i="9" s="1"/>
  <c r="L321" i="9"/>
  <c r="B321" i="9"/>
  <c r="C321" i="9" s="1"/>
  <c r="L320" i="9"/>
  <c r="B320" i="9"/>
  <c r="C320" i="9" s="1"/>
  <c r="L319" i="9"/>
  <c r="B319" i="9"/>
  <c r="C319" i="9" s="1"/>
  <c r="L318" i="9"/>
  <c r="B318" i="9"/>
  <c r="C318" i="9" s="1"/>
  <c r="L317" i="9"/>
  <c r="B317" i="9"/>
  <c r="C317" i="9" s="1"/>
  <c r="L316" i="9"/>
  <c r="B316" i="9"/>
  <c r="C316" i="9" s="1"/>
  <c r="L315" i="9"/>
  <c r="B315" i="9"/>
  <c r="C315" i="9" s="1"/>
  <c r="L314" i="9"/>
  <c r="B314" i="9"/>
  <c r="C314" i="9" s="1"/>
  <c r="L313" i="9"/>
  <c r="B313" i="9"/>
  <c r="C313" i="9" s="1"/>
  <c r="L312" i="9"/>
  <c r="B312" i="9"/>
  <c r="C312" i="9" s="1"/>
  <c r="L311" i="9"/>
  <c r="B311" i="9"/>
  <c r="C311" i="9" s="1"/>
  <c r="L310" i="9"/>
  <c r="B310" i="9"/>
  <c r="C310" i="9" s="1"/>
  <c r="L309" i="9"/>
  <c r="B309" i="9"/>
  <c r="C309" i="9" s="1"/>
  <c r="L308" i="9"/>
  <c r="B308" i="9"/>
  <c r="C308" i="9" s="1"/>
  <c r="L307" i="9"/>
  <c r="B307" i="9"/>
  <c r="C307" i="9" s="1"/>
  <c r="L306" i="9"/>
  <c r="B306" i="9"/>
  <c r="C306" i="9" s="1"/>
  <c r="L305" i="9"/>
  <c r="B305" i="9"/>
  <c r="C305" i="9" s="1"/>
  <c r="L304" i="9"/>
  <c r="B304" i="9"/>
  <c r="C304" i="9" s="1"/>
  <c r="L303" i="9"/>
  <c r="B303" i="9"/>
  <c r="C303" i="9" s="1"/>
  <c r="L302" i="9"/>
  <c r="B302" i="9"/>
  <c r="C302" i="9" s="1"/>
  <c r="L301" i="9"/>
  <c r="B301" i="9"/>
  <c r="C301" i="9" s="1"/>
  <c r="L300" i="9"/>
  <c r="B300" i="9"/>
  <c r="C300" i="9" s="1"/>
  <c r="L299" i="9"/>
  <c r="B299" i="9"/>
  <c r="C299" i="9" s="1"/>
  <c r="L298" i="9"/>
  <c r="B298" i="9"/>
  <c r="C298" i="9" s="1"/>
  <c r="L297" i="9"/>
  <c r="B297" i="9"/>
  <c r="C297" i="9" s="1"/>
  <c r="L296" i="9"/>
  <c r="B296" i="9"/>
  <c r="C296" i="9" s="1"/>
  <c r="L295" i="9"/>
  <c r="B295" i="9"/>
  <c r="C295" i="9" s="1"/>
  <c r="L294" i="9"/>
  <c r="B294" i="9"/>
  <c r="C294" i="9" s="1"/>
  <c r="L293" i="9"/>
  <c r="B293" i="9"/>
  <c r="C293" i="9" s="1"/>
  <c r="L292" i="9"/>
  <c r="B292" i="9"/>
  <c r="C292" i="9" s="1"/>
  <c r="L291" i="9"/>
  <c r="B291" i="9"/>
  <c r="C291" i="9" s="1"/>
  <c r="L290" i="9"/>
  <c r="B290" i="9"/>
  <c r="C290" i="9" s="1"/>
  <c r="L289" i="9"/>
  <c r="B289" i="9"/>
  <c r="C289" i="9" s="1"/>
  <c r="L288" i="9"/>
  <c r="B288" i="9"/>
  <c r="C288" i="9" s="1"/>
  <c r="L287" i="9"/>
  <c r="B287" i="9"/>
  <c r="C287" i="9" s="1"/>
  <c r="L286" i="9"/>
  <c r="B286" i="9"/>
  <c r="C286" i="9" s="1"/>
  <c r="L285" i="9"/>
  <c r="B285" i="9"/>
  <c r="C285" i="9" s="1"/>
  <c r="L284" i="9"/>
  <c r="B284" i="9"/>
  <c r="C284" i="9" s="1"/>
  <c r="L283" i="9"/>
  <c r="B283" i="9"/>
  <c r="C283" i="9" s="1"/>
  <c r="L282" i="9"/>
  <c r="B282" i="9"/>
  <c r="C282" i="9" s="1"/>
  <c r="L281" i="9"/>
  <c r="B281" i="9"/>
  <c r="C281" i="9" s="1"/>
  <c r="L280" i="9"/>
  <c r="B280" i="9"/>
  <c r="C280" i="9" s="1"/>
  <c r="L279" i="9"/>
  <c r="B279" i="9"/>
  <c r="C279" i="9" s="1"/>
  <c r="L278" i="9"/>
  <c r="B278" i="9"/>
  <c r="C278" i="9" s="1"/>
  <c r="L277" i="9"/>
  <c r="B277" i="9"/>
  <c r="C277" i="9" s="1"/>
  <c r="L276" i="9"/>
  <c r="B276" i="9"/>
  <c r="C276" i="9" s="1"/>
  <c r="L275" i="9"/>
  <c r="B275" i="9"/>
  <c r="C275" i="9" s="1"/>
  <c r="L274" i="9"/>
  <c r="B274" i="9"/>
  <c r="C274" i="9" s="1"/>
  <c r="L273" i="9"/>
  <c r="B273" i="9"/>
  <c r="C273" i="9" s="1"/>
  <c r="L272" i="9"/>
  <c r="B272" i="9"/>
  <c r="C272" i="9" s="1"/>
  <c r="L271" i="9"/>
  <c r="B271" i="9"/>
  <c r="C271" i="9" s="1"/>
  <c r="L270" i="9"/>
  <c r="B270" i="9"/>
  <c r="C270" i="9" s="1"/>
  <c r="L269" i="9"/>
  <c r="B269" i="9"/>
  <c r="C269" i="9" s="1"/>
  <c r="L268" i="9"/>
  <c r="B268" i="9"/>
  <c r="C268" i="9" s="1"/>
  <c r="L267" i="9"/>
  <c r="B267" i="9"/>
  <c r="C267" i="9" s="1"/>
  <c r="L266" i="9"/>
  <c r="B266" i="9"/>
  <c r="C266" i="9" s="1"/>
  <c r="L265" i="9"/>
  <c r="B265" i="9"/>
  <c r="C265" i="9" s="1"/>
  <c r="L264" i="9"/>
  <c r="B264" i="9"/>
  <c r="C264" i="9" s="1"/>
  <c r="L263" i="9"/>
  <c r="B263" i="9"/>
  <c r="C263" i="9" s="1"/>
  <c r="L262" i="9"/>
  <c r="B262" i="9"/>
  <c r="C262" i="9" s="1"/>
  <c r="L261" i="9"/>
  <c r="B261" i="9"/>
  <c r="C261" i="9" s="1"/>
  <c r="L260" i="9"/>
  <c r="B260" i="9"/>
  <c r="C260" i="9" s="1"/>
  <c r="L259" i="9"/>
  <c r="B259" i="9"/>
  <c r="C259" i="9" s="1"/>
  <c r="L258" i="9"/>
  <c r="B258" i="9"/>
  <c r="C258" i="9" s="1"/>
  <c r="L257" i="9"/>
  <c r="B257" i="9"/>
  <c r="C257" i="9" s="1"/>
  <c r="L256" i="9"/>
  <c r="B256" i="9"/>
  <c r="C256" i="9" s="1"/>
  <c r="L255" i="9"/>
  <c r="B255" i="9"/>
  <c r="C255" i="9" s="1"/>
  <c r="L254" i="9"/>
  <c r="B254" i="9"/>
  <c r="C254" i="9" s="1"/>
  <c r="L253" i="9"/>
  <c r="B253" i="9"/>
  <c r="C253" i="9" s="1"/>
  <c r="L252" i="9"/>
  <c r="B252" i="9"/>
  <c r="C252" i="9" s="1"/>
  <c r="L251" i="9"/>
  <c r="B251" i="9"/>
  <c r="C251" i="9" s="1"/>
  <c r="L250" i="9"/>
  <c r="B250" i="9"/>
  <c r="C250" i="9" s="1"/>
  <c r="L249" i="9"/>
  <c r="B249" i="9"/>
  <c r="C249" i="9" s="1"/>
  <c r="L248" i="9"/>
  <c r="B248" i="9"/>
  <c r="C248" i="9" s="1"/>
  <c r="L247" i="9"/>
  <c r="B247" i="9"/>
  <c r="C247" i="9" s="1"/>
  <c r="L246" i="9"/>
  <c r="B246" i="9"/>
  <c r="C246" i="9" s="1"/>
  <c r="L245" i="9"/>
  <c r="B245" i="9"/>
  <c r="C245" i="9" s="1"/>
  <c r="L244" i="9"/>
  <c r="B244" i="9"/>
  <c r="C244" i="9" s="1"/>
  <c r="L243" i="9"/>
  <c r="B243" i="9"/>
  <c r="C243" i="9" s="1"/>
  <c r="L242" i="9"/>
  <c r="B242" i="9"/>
  <c r="C242" i="9" s="1"/>
  <c r="L241" i="9"/>
  <c r="B241" i="9"/>
  <c r="C241" i="9" s="1"/>
  <c r="L240" i="9"/>
  <c r="B240" i="9"/>
  <c r="C240" i="9" s="1"/>
  <c r="L239" i="9"/>
  <c r="B239" i="9"/>
  <c r="C239" i="9" s="1"/>
  <c r="L238" i="9"/>
  <c r="B238" i="9"/>
  <c r="C238" i="9" s="1"/>
  <c r="L237" i="9"/>
  <c r="B237" i="9"/>
  <c r="C237" i="9" s="1"/>
  <c r="L236" i="9"/>
  <c r="B236" i="9"/>
  <c r="C236" i="9" s="1"/>
  <c r="L235" i="9"/>
  <c r="B235" i="9"/>
  <c r="C235" i="9" s="1"/>
  <c r="L234" i="9"/>
  <c r="B234" i="9"/>
  <c r="C234" i="9" s="1"/>
  <c r="L233" i="9"/>
  <c r="B233" i="9"/>
  <c r="C233" i="9" s="1"/>
  <c r="L232" i="9"/>
  <c r="B232" i="9"/>
  <c r="C232" i="9" s="1"/>
  <c r="L231" i="9"/>
  <c r="B231" i="9"/>
  <c r="C231" i="9" s="1"/>
  <c r="L230" i="9"/>
  <c r="B230" i="9"/>
  <c r="C230" i="9" s="1"/>
  <c r="L229" i="9"/>
  <c r="B229" i="9"/>
  <c r="C229" i="9" s="1"/>
  <c r="L228" i="9"/>
  <c r="B228" i="9"/>
  <c r="C228" i="9" s="1"/>
  <c r="L227" i="9"/>
  <c r="B227" i="9"/>
  <c r="C227" i="9" s="1"/>
  <c r="L226" i="9"/>
  <c r="B226" i="9"/>
  <c r="C226" i="9" s="1"/>
  <c r="L225" i="9"/>
  <c r="B225" i="9"/>
  <c r="C225" i="9" s="1"/>
  <c r="L224" i="9"/>
  <c r="B224" i="9"/>
  <c r="C224" i="9" s="1"/>
  <c r="L223" i="9"/>
  <c r="B223" i="9"/>
  <c r="C223" i="9" s="1"/>
  <c r="L222" i="9"/>
  <c r="B222" i="9"/>
  <c r="C222" i="9" s="1"/>
  <c r="L221" i="9"/>
  <c r="B221" i="9"/>
  <c r="C221" i="9" s="1"/>
  <c r="L220" i="9"/>
  <c r="B220" i="9"/>
  <c r="C220" i="9" s="1"/>
  <c r="L219" i="9"/>
  <c r="B219" i="9"/>
  <c r="C219" i="9" s="1"/>
  <c r="L218" i="9"/>
  <c r="B218" i="9"/>
  <c r="C218" i="9" s="1"/>
  <c r="L217" i="9"/>
  <c r="B217" i="9"/>
  <c r="C217" i="9" s="1"/>
  <c r="L216" i="9"/>
  <c r="B216" i="9"/>
  <c r="C216" i="9" s="1"/>
  <c r="L215" i="9"/>
  <c r="B215" i="9"/>
  <c r="C215" i="9" s="1"/>
  <c r="L214" i="9"/>
  <c r="B214" i="9"/>
  <c r="C214" i="9" s="1"/>
  <c r="L213" i="9"/>
  <c r="B213" i="9"/>
  <c r="C213" i="9" s="1"/>
  <c r="L212" i="9"/>
  <c r="B212" i="9"/>
  <c r="C212" i="9" s="1"/>
  <c r="L211" i="9"/>
  <c r="B211" i="9"/>
  <c r="C211" i="9" s="1"/>
  <c r="L210" i="9"/>
  <c r="B210" i="9"/>
  <c r="C210" i="9" s="1"/>
  <c r="L209" i="9"/>
  <c r="B209" i="9"/>
  <c r="C209" i="9" s="1"/>
  <c r="L208" i="9"/>
  <c r="B208" i="9"/>
  <c r="C208" i="9" s="1"/>
  <c r="L207" i="9"/>
  <c r="B207" i="9"/>
  <c r="C207" i="9" s="1"/>
  <c r="L206" i="9"/>
  <c r="B206" i="9"/>
  <c r="C206" i="9" s="1"/>
  <c r="L205" i="9"/>
  <c r="B205" i="9"/>
  <c r="C205" i="9" s="1"/>
  <c r="L204" i="9"/>
  <c r="B204" i="9"/>
  <c r="C204" i="9" s="1"/>
  <c r="L203" i="9"/>
  <c r="B203" i="9"/>
  <c r="C203" i="9" s="1"/>
  <c r="L202" i="9"/>
  <c r="B202" i="9"/>
  <c r="C202" i="9" s="1"/>
  <c r="L201" i="9"/>
  <c r="B201" i="9"/>
  <c r="C201" i="9" s="1"/>
  <c r="L200" i="9"/>
  <c r="B200" i="9"/>
  <c r="C200" i="9" s="1"/>
  <c r="L199" i="9"/>
  <c r="B199" i="9"/>
  <c r="C199" i="9" s="1"/>
  <c r="L198" i="9"/>
  <c r="B198" i="9"/>
  <c r="C198" i="9" s="1"/>
  <c r="L197" i="9"/>
  <c r="B197" i="9"/>
  <c r="C197" i="9" s="1"/>
  <c r="L196" i="9"/>
  <c r="B196" i="9"/>
  <c r="C196" i="9" s="1"/>
  <c r="L195" i="9"/>
  <c r="B195" i="9"/>
  <c r="C195" i="9" s="1"/>
  <c r="L194" i="9"/>
  <c r="B194" i="9"/>
  <c r="C194" i="9" s="1"/>
  <c r="L193" i="9"/>
  <c r="B193" i="9"/>
  <c r="C193" i="9" s="1"/>
  <c r="L192" i="9"/>
  <c r="B192" i="9"/>
  <c r="C192" i="9" s="1"/>
  <c r="L191" i="9"/>
  <c r="B191" i="9"/>
  <c r="C191" i="9" s="1"/>
  <c r="L190" i="9"/>
  <c r="B190" i="9"/>
  <c r="C190" i="9" s="1"/>
  <c r="L189" i="9"/>
  <c r="B189" i="9"/>
  <c r="C189" i="9" s="1"/>
  <c r="L188" i="9"/>
  <c r="B188" i="9"/>
  <c r="C188" i="9" s="1"/>
  <c r="L187" i="9"/>
  <c r="B187" i="9"/>
  <c r="C187" i="9" s="1"/>
  <c r="L186" i="9"/>
  <c r="B186" i="9"/>
  <c r="C186" i="9" s="1"/>
  <c r="L185" i="9"/>
  <c r="B185" i="9"/>
  <c r="C185" i="9" s="1"/>
  <c r="L184" i="9"/>
  <c r="B184" i="9"/>
  <c r="C184" i="9" s="1"/>
  <c r="L183" i="9"/>
  <c r="B183" i="9"/>
  <c r="C183" i="9" s="1"/>
  <c r="L182" i="9"/>
  <c r="B182" i="9"/>
  <c r="C182" i="9" s="1"/>
  <c r="L181" i="9"/>
  <c r="B181" i="9"/>
  <c r="C181" i="9" s="1"/>
  <c r="L180" i="9"/>
  <c r="B180" i="9"/>
  <c r="C180" i="9" s="1"/>
  <c r="L179" i="9"/>
  <c r="B179" i="9"/>
  <c r="C179" i="9" s="1"/>
  <c r="L178" i="9"/>
  <c r="B178" i="9"/>
  <c r="C178" i="9" s="1"/>
  <c r="L177" i="9"/>
  <c r="B177" i="9"/>
  <c r="C177" i="9" s="1"/>
  <c r="L176" i="9"/>
  <c r="B176" i="9"/>
  <c r="C176" i="9" s="1"/>
  <c r="L175" i="9"/>
  <c r="B175" i="9"/>
  <c r="C175" i="9" s="1"/>
  <c r="L174" i="9"/>
  <c r="B174" i="9"/>
  <c r="C174" i="9" s="1"/>
  <c r="L173" i="9"/>
  <c r="B173" i="9"/>
  <c r="C173" i="9" s="1"/>
  <c r="L172" i="9"/>
  <c r="B172" i="9"/>
  <c r="C172" i="9" s="1"/>
  <c r="L171" i="9"/>
  <c r="B171" i="9"/>
  <c r="C171" i="9" s="1"/>
  <c r="L170" i="9"/>
  <c r="B170" i="9"/>
  <c r="C170" i="9" s="1"/>
  <c r="L169" i="9"/>
  <c r="B169" i="9"/>
  <c r="C169" i="9" s="1"/>
  <c r="L168" i="9"/>
  <c r="B168" i="9"/>
  <c r="C168" i="9" s="1"/>
  <c r="L167" i="9"/>
  <c r="B167" i="9"/>
  <c r="C167" i="9" s="1"/>
  <c r="L166" i="9"/>
  <c r="B166" i="9"/>
  <c r="C166" i="9" s="1"/>
  <c r="L165" i="9"/>
  <c r="B165" i="9"/>
  <c r="C165" i="9" s="1"/>
  <c r="L164" i="9"/>
  <c r="B164" i="9"/>
  <c r="C164" i="9" s="1"/>
  <c r="L163" i="9"/>
  <c r="B163" i="9"/>
  <c r="C163" i="9" s="1"/>
  <c r="L162" i="9"/>
  <c r="B162" i="9"/>
  <c r="C162" i="9" s="1"/>
  <c r="L161" i="9"/>
  <c r="B161" i="9"/>
  <c r="C161" i="9" s="1"/>
  <c r="L160" i="9"/>
  <c r="B160" i="9"/>
  <c r="C160" i="9" s="1"/>
  <c r="L159" i="9"/>
  <c r="B159" i="9"/>
  <c r="C159" i="9" s="1"/>
  <c r="L158" i="9"/>
  <c r="B158" i="9"/>
  <c r="C158" i="9" s="1"/>
  <c r="L157" i="9"/>
  <c r="B157" i="9"/>
  <c r="C157" i="9" s="1"/>
  <c r="L156" i="9"/>
  <c r="B156" i="9"/>
  <c r="C156" i="9" s="1"/>
  <c r="L155" i="9"/>
  <c r="B155" i="9"/>
  <c r="C155" i="9" s="1"/>
  <c r="L154" i="9"/>
  <c r="B154" i="9"/>
  <c r="C154" i="9" s="1"/>
  <c r="L153" i="9"/>
  <c r="B153" i="9"/>
  <c r="C153" i="9" s="1"/>
  <c r="L152" i="9"/>
  <c r="B152" i="9"/>
  <c r="C152" i="9" s="1"/>
  <c r="L151" i="9"/>
  <c r="B151" i="9"/>
  <c r="C151" i="9" s="1"/>
  <c r="L150" i="9"/>
  <c r="B150" i="9"/>
  <c r="C150" i="9" s="1"/>
  <c r="L149" i="9"/>
  <c r="B149" i="9"/>
  <c r="C149" i="9" s="1"/>
  <c r="L148" i="9"/>
  <c r="B148" i="9"/>
  <c r="C148" i="9" s="1"/>
  <c r="L147" i="9"/>
  <c r="B147" i="9"/>
  <c r="C147" i="9" s="1"/>
  <c r="L146" i="9"/>
  <c r="B146" i="9"/>
  <c r="C146" i="9" s="1"/>
  <c r="L145" i="9"/>
  <c r="B145" i="9"/>
  <c r="C145" i="9" s="1"/>
  <c r="L144" i="9"/>
  <c r="B144" i="9"/>
  <c r="C144" i="9" s="1"/>
  <c r="L143" i="9"/>
  <c r="B143" i="9"/>
  <c r="C143" i="9" s="1"/>
  <c r="L142" i="9"/>
  <c r="B142" i="9"/>
  <c r="C142" i="9" s="1"/>
  <c r="L141" i="9"/>
  <c r="B141" i="9"/>
  <c r="C141" i="9" s="1"/>
  <c r="L140" i="9"/>
  <c r="B140" i="9"/>
  <c r="C140" i="9" s="1"/>
  <c r="L139" i="9"/>
  <c r="B139" i="9"/>
  <c r="C139" i="9" s="1"/>
  <c r="L138" i="9"/>
  <c r="B138" i="9"/>
  <c r="C138" i="9" s="1"/>
  <c r="L137" i="9"/>
  <c r="B137" i="9"/>
  <c r="C137" i="9" s="1"/>
  <c r="L136" i="9"/>
  <c r="B136" i="9"/>
  <c r="C136" i="9" s="1"/>
  <c r="L135" i="9"/>
  <c r="B135" i="9"/>
  <c r="C135" i="9" s="1"/>
  <c r="L134" i="9"/>
  <c r="B134" i="9"/>
  <c r="C134" i="9" s="1"/>
  <c r="L133" i="9"/>
  <c r="B133" i="9"/>
  <c r="C133" i="9" s="1"/>
  <c r="L132" i="9"/>
  <c r="B132" i="9"/>
  <c r="C132" i="9" s="1"/>
  <c r="L131" i="9"/>
  <c r="B131" i="9"/>
  <c r="C131" i="9" s="1"/>
  <c r="L130" i="9"/>
  <c r="B130" i="9"/>
  <c r="C130" i="9" s="1"/>
  <c r="L129" i="9"/>
  <c r="B129" i="9"/>
  <c r="C129" i="9" s="1"/>
  <c r="L128" i="9"/>
  <c r="B128" i="9"/>
  <c r="C128" i="9" s="1"/>
  <c r="L127" i="9"/>
  <c r="B127" i="9"/>
  <c r="C127" i="9" s="1"/>
  <c r="L126" i="9"/>
  <c r="B126" i="9"/>
  <c r="C126" i="9" s="1"/>
  <c r="L125" i="9"/>
  <c r="B125" i="9"/>
  <c r="C125" i="9" s="1"/>
  <c r="L124" i="9"/>
  <c r="B124" i="9"/>
  <c r="C124" i="9" s="1"/>
  <c r="L123" i="9"/>
  <c r="B123" i="9"/>
  <c r="C123" i="9" s="1"/>
  <c r="L122" i="9"/>
  <c r="B122" i="9"/>
  <c r="C122" i="9" s="1"/>
  <c r="L121" i="9"/>
  <c r="B121" i="9"/>
  <c r="C121" i="9" s="1"/>
  <c r="L120" i="9"/>
  <c r="B120" i="9"/>
  <c r="C120" i="9" s="1"/>
  <c r="L119" i="9"/>
  <c r="B119" i="9"/>
  <c r="C119" i="9" s="1"/>
  <c r="L118" i="9"/>
  <c r="B118" i="9"/>
  <c r="C118" i="9" s="1"/>
  <c r="L117" i="9"/>
  <c r="B117" i="9"/>
  <c r="C117" i="9" s="1"/>
  <c r="L116" i="9"/>
  <c r="B116" i="9"/>
  <c r="C116" i="9" s="1"/>
  <c r="L115" i="9"/>
  <c r="B115" i="9"/>
  <c r="C115" i="9" s="1"/>
  <c r="L114" i="9"/>
  <c r="B114" i="9"/>
  <c r="C114" i="9" s="1"/>
  <c r="L113" i="9"/>
  <c r="B113" i="9"/>
  <c r="C113" i="9" s="1"/>
  <c r="L112" i="9"/>
  <c r="B112" i="9"/>
  <c r="C112" i="9" s="1"/>
  <c r="L111" i="9"/>
  <c r="B111" i="9"/>
  <c r="C111" i="9" s="1"/>
  <c r="L110" i="9"/>
  <c r="B110" i="9"/>
  <c r="C110" i="9" s="1"/>
  <c r="L109" i="9"/>
  <c r="B109" i="9"/>
  <c r="C109" i="9" s="1"/>
  <c r="L108" i="9"/>
  <c r="B108" i="9"/>
  <c r="C108" i="9" s="1"/>
  <c r="L107" i="9"/>
  <c r="B107" i="9"/>
  <c r="C107" i="9" s="1"/>
  <c r="L106" i="9"/>
  <c r="B106" i="9"/>
  <c r="C106" i="9" s="1"/>
  <c r="L105" i="9"/>
  <c r="B105" i="9"/>
  <c r="C105" i="9" s="1"/>
  <c r="L104" i="9"/>
  <c r="B104" i="9"/>
  <c r="C104" i="9" s="1"/>
  <c r="L103" i="9"/>
  <c r="B103" i="9"/>
  <c r="C103" i="9" s="1"/>
  <c r="L102" i="9"/>
  <c r="B102" i="9"/>
  <c r="C102" i="9" s="1"/>
  <c r="L101" i="9"/>
  <c r="B101" i="9"/>
  <c r="C101" i="9" s="1"/>
  <c r="L100" i="9"/>
  <c r="B100" i="9"/>
  <c r="C100" i="9" s="1"/>
  <c r="L99" i="9"/>
  <c r="B99" i="9"/>
  <c r="C99" i="9" s="1"/>
  <c r="L98" i="9"/>
  <c r="B98" i="9"/>
  <c r="C98" i="9" s="1"/>
  <c r="L97" i="9"/>
  <c r="B97" i="9"/>
  <c r="C97" i="9" s="1"/>
  <c r="L96" i="9"/>
  <c r="B96" i="9"/>
  <c r="C96" i="9" s="1"/>
  <c r="L95" i="9"/>
  <c r="B95" i="9"/>
  <c r="C95" i="9" s="1"/>
  <c r="L94" i="9"/>
  <c r="B94" i="9"/>
  <c r="C94" i="9" s="1"/>
  <c r="L93" i="9"/>
  <c r="B93" i="9"/>
  <c r="C93" i="9" s="1"/>
  <c r="L92" i="9"/>
  <c r="B92" i="9"/>
  <c r="C92" i="9" s="1"/>
  <c r="L91" i="9"/>
  <c r="B91" i="9"/>
  <c r="C91" i="9" s="1"/>
  <c r="L90" i="9"/>
  <c r="B90" i="9"/>
  <c r="C90" i="9" s="1"/>
  <c r="L89" i="9"/>
  <c r="B89" i="9"/>
  <c r="C89" i="9" s="1"/>
  <c r="L88" i="9"/>
  <c r="B88" i="9"/>
  <c r="C88" i="9" s="1"/>
  <c r="L87" i="9"/>
  <c r="B87" i="9"/>
  <c r="C87" i="9" s="1"/>
  <c r="L86" i="9"/>
  <c r="B86" i="9"/>
  <c r="C86" i="9" s="1"/>
  <c r="L85" i="9"/>
  <c r="B85" i="9"/>
  <c r="C85" i="9" s="1"/>
  <c r="L84" i="9"/>
  <c r="B84" i="9"/>
  <c r="C84" i="9" s="1"/>
  <c r="L83" i="9"/>
  <c r="B83" i="9"/>
  <c r="C83" i="9" s="1"/>
  <c r="L82" i="9"/>
  <c r="B82" i="9"/>
  <c r="C82" i="9" s="1"/>
  <c r="L81" i="9"/>
  <c r="B81" i="9"/>
  <c r="C81" i="9" s="1"/>
  <c r="L80" i="9"/>
  <c r="B80" i="9"/>
  <c r="C80" i="9" s="1"/>
  <c r="L79" i="9"/>
  <c r="B79" i="9"/>
  <c r="C79" i="9" s="1"/>
  <c r="L78" i="9"/>
  <c r="B78" i="9"/>
  <c r="C78" i="9" s="1"/>
  <c r="L77" i="9"/>
  <c r="B77" i="9"/>
  <c r="C77" i="9" s="1"/>
  <c r="L76" i="9"/>
  <c r="B76" i="9"/>
  <c r="C76" i="9" s="1"/>
  <c r="L75" i="9"/>
  <c r="B75" i="9"/>
  <c r="C75" i="9" s="1"/>
  <c r="L74" i="9"/>
  <c r="B74" i="9"/>
  <c r="C74" i="9" s="1"/>
  <c r="L73" i="9"/>
  <c r="B73" i="9"/>
  <c r="C73" i="9" s="1"/>
  <c r="L72" i="9"/>
  <c r="B72" i="9"/>
  <c r="C72" i="9" s="1"/>
  <c r="L71" i="9"/>
  <c r="B71" i="9"/>
  <c r="C71" i="9" s="1"/>
  <c r="L70" i="9"/>
  <c r="B70" i="9"/>
  <c r="C70" i="9" s="1"/>
  <c r="L69" i="9"/>
  <c r="B69" i="9"/>
  <c r="C69" i="9" s="1"/>
  <c r="L68" i="9"/>
  <c r="B68" i="9"/>
  <c r="C68" i="9" s="1"/>
  <c r="L67" i="9"/>
  <c r="B67" i="9"/>
  <c r="C67" i="9" s="1"/>
  <c r="L66" i="9"/>
  <c r="B66" i="9"/>
  <c r="C66" i="9" s="1"/>
  <c r="L65" i="9"/>
  <c r="B65" i="9"/>
  <c r="C65" i="9" s="1"/>
  <c r="L64" i="9"/>
  <c r="B64" i="9"/>
  <c r="C64" i="9" s="1"/>
  <c r="L63" i="9"/>
  <c r="B63" i="9"/>
  <c r="C63" i="9" s="1"/>
  <c r="L62" i="9"/>
  <c r="B62" i="9"/>
  <c r="C62" i="9" s="1"/>
  <c r="L61" i="9"/>
  <c r="B61" i="9"/>
  <c r="C61" i="9" s="1"/>
  <c r="L60" i="9"/>
  <c r="B60" i="9"/>
  <c r="C60" i="9" s="1"/>
  <c r="L59" i="9"/>
  <c r="B59" i="9"/>
  <c r="C59" i="9" s="1"/>
  <c r="L58" i="9"/>
  <c r="B58" i="9"/>
  <c r="C58" i="9" s="1"/>
  <c r="L57" i="9"/>
  <c r="B57" i="9"/>
  <c r="C57" i="9" s="1"/>
  <c r="L56" i="9"/>
  <c r="B56" i="9"/>
  <c r="C56" i="9" s="1"/>
  <c r="L55" i="9"/>
  <c r="B55" i="9"/>
  <c r="C55" i="9" s="1"/>
  <c r="L54" i="9"/>
  <c r="B54" i="9"/>
  <c r="C54" i="9" s="1"/>
  <c r="L53" i="9"/>
  <c r="B53" i="9"/>
  <c r="C53" i="9" s="1"/>
  <c r="L52" i="9"/>
  <c r="B52" i="9"/>
  <c r="C52" i="9" s="1"/>
  <c r="L51" i="9"/>
  <c r="B51" i="9"/>
  <c r="C51" i="9" s="1"/>
  <c r="L50" i="9"/>
  <c r="B50" i="9"/>
  <c r="C50" i="9" s="1"/>
  <c r="L49" i="9"/>
  <c r="B49" i="9"/>
  <c r="C49" i="9" s="1"/>
  <c r="L48" i="9"/>
  <c r="B48" i="9"/>
  <c r="C48" i="9" s="1"/>
  <c r="L47" i="9"/>
  <c r="B47" i="9"/>
  <c r="C47" i="9" s="1"/>
  <c r="L46" i="9"/>
  <c r="B46" i="9"/>
  <c r="C46" i="9" s="1"/>
  <c r="L44" i="9"/>
  <c r="B44" i="9"/>
  <c r="C44" i="9" s="1"/>
  <c r="L43" i="9"/>
  <c r="B43" i="9"/>
  <c r="C43" i="9" s="1"/>
  <c r="L42" i="9"/>
  <c r="B42" i="9"/>
  <c r="C42" i="9" s="1"/>
  <c r="L41" i="9"/>
  <c r="B41" i="9"/>
  <c r="C41" i="9" s="1"/>
  <c r="L40" i="9"/>
  <c r="B40" i="9"/>
  <c r="C40" i="9" s="1"/>
  <c r="L39" i="9"/>
  <c r="B39" i="9"/>
  <c r="C39" i="9" s="1"/>
  <c r="L38" i="9"/>
  <c r="B38" i="9"/>
  <c r="C38" i="9" s="1"/>
  <c r="L37" i="9"/>
  <c r="B37" i="9"/>
  <c r="C37" i="9" s="1"/>
  <c r="L36" i="9"/>
  <c r="B36" i="9"/>
  <c r="C36" i="9" s="1"/>
  <c r="L35" i="9"/>
  <c r="B35" i="9"/>
  <c r="C35" i="9" s="1"/>
  <c r="L34" i="9"/>
  <c r="B34" i="9"/>
  <c r="C34" i="9" s="1"/>
  <c r="L33" i="9"/>
  <c r="B33" i="9"/>
  <c r="C33" i="9" s="1"/>
  <c r="L32" i="9"/>
  <c r="B32" i="9"/>
  <c r="C32" i="9" s="1"/>
  <c r="L31" i="9"/>
  <c r="B31" i="9"/>
  <c r="C31" i="9" s="1"/>
  <c r="L30" i="9"/>
  <c r="B30" i="9"/>
  <c r="C30" i="9" s="1"/>
  <c r="L29" i="9"/>
  <c r="B29" i="9"/>
  <c r="C29" i="9" s="1"/>
  <c r="L28" i="9"/>
  <c r="B28" i="9"/>
  <c r="C28" i="9" s="1"/>
  <c r="L27" i="9"/>
  <c r="B27" i="9"/>
  <c r="C27" i="9" s="1"/>
  <c r="L26" i="9"/>
  <c r="B26" i="9"/>
  <c r="C26" i="9" s="1"/>
  <c r="L25" i="9"/>
  <c r="B25" i="9"/>
  <c r="C25" i="9" s="1"/>
  <c r="L24" i="9"/>
  <c r="B24" i="9"/>
  <c r="C24" i="9" s="1"/>
  <c r="L23" i="9"/>
  <c r="B23" i="9"/>
  <c r="C23" i="9" s="1"/>
  <c r="L22" i="9"/>
  <c r="B22" i="9"/>
  <c r="C22" i="9" s="1"/>
  <c r="L21" i="9"/>
  <c r="B21" i="9"/>
  <c r="C21" i="9" s="1"/>
  <c r="L20" i="9"/>
  <c r="B20" i="9"/>
  <c r="C20" i="9" s="1"/>
  <c r="L19" i="9"/>
  <c r="B19" i="9"/>
  <c r="C19" i="9" s="1"/>
  <c r="L18" i="9"/>
  <c r="B18" i="9"/>
  <c r="C18" i="9" s="1"/>
  <c r="L17" i="9"/>
  <c r="B17" i="9"/>
  <c r="C17" i="9" s="1"/>
  <c r="L16" i="9"/>
  <c r="B16" i="9"/>
  <c r="C16" i="9" s="1"/>
  <c r="L15" i="9"/>
  <c r="B15" i="9"/>
  <c r="C15" i="9" s="1"/>
  <c r="L14" i="9"/>
  <c r="B14" i="9"/>
  <c r="C14" i="9" s="1"/>
  <c r="L13" i="9"/>
  <c r="B13" i="9"/>
  <c r="C13" i="9" s="1"/>
  <c r="L12" i="9"/>
  <c r="B12" i="9"/>
  <c r="C12" i="9" s="1"/>
  <c r="L11" i="9"/>
  <c r="B11" i="9"/>
  <c r="C11" i="9" s="1"/>
  <c r="L10" i="9"/>
  <c r="B10" i="9"/>
  <c r="C10" i="9" s="1"/>
  <c r="L9" i="9"/>
  <c r="B9" i="9"/>
  <c r="D6" i="9"/>
  <c r="D5" i="9"/>
  <c r="D4" i="9"/>
  <c r="D3" i="9"/>
  <c r="L1005" i="8"/>
  <c r="B1005" i="8"/>
  <c r="C1005" i="8" s="1"/>
  <c r="L1004" i="8"/>
  <c r="B1004" i="8"/>
  <c r="C1004" i="8" s="1"/>
  <c r="L1003" i="8"/>
  <c r="B1003" i="8"/>
  <c r="C1003" i="8" s="1"/>
  <c r="L1002" i="8"/>
  <c r="B1002" i="8"/>
  <c r="C1002" i="8" s="1"/>
  <c r="L1001" i="8"/>
  <c r="B1001" i="8"/>
  <c r="C1001" i="8" s="1"/>
  <c r="L1000" i="8"/>
  <c r="B1000" i="8"/>
  <c r="C1000" i="8" s="1"/>
  <c r="L999" i="8"/>
  <c r="B999" i="8"/>
  <c r="C999" i="8" s="1"/>
  <c r="L998" i="8"/>
  <c r="B998" i="8"/>
  <c r="C998" i="8" s="1"/>
  <c r="L997" i="8"/>
  <c r="B997" i="8"/>
  <c r="C997" i="8" s="1"/>
  <c r="L996" i="8"/>
  <c r="B996" i="8"/>
  <c r="C996" i="8" s="1"/>
  <c r="L995" i="8"/>
  <c r="B995" i="8"/>
  <c r="C995" i="8" s="1"/>
  <c r="L994" i="8"/>
  <c r="B994" i="8"/>
  <c r="C994" i="8" s="1"/>
  <c r="L993" i="8"/>
  <c r="B993" i="8"/>
  <c r="C993" i="8" s="1"/>
  <c r="L992" i="8"/>
  <c r="B992" i="8"/>
  <c r="C992" i="8" s="1"/>
  <c r="L991" i="8"/>
  <c r="B991" i="8"/>
  <c r="C991" i="8" s="1"/>
  <c r="L990" i="8"/>
  <c r="B990" i="8"/>
  <c r="C990" i="8" s="1"/>
  <c r="L989" i="8"/>
  <c r="B989" i="8"/>
  <c r="C989" i="8" s="1"/>
  <c r="L988" i="8"/>
  <c r="B988" i="8"/>
  <c r="C988" i="8" s="1"/>
  <c r="L987" i="8"/>
  <c r="B987" i="8"/>
  <c r="C987" i="8" s="1"/>
  <c r="L986" i="8"/>
  <c r="B986" i="8"/>
  <c r="C986" i="8" s="1"/>
  <c r="L985" i="8"/>
  <c r="B985" i="8"/>
  <c r="C985" i="8" s="1"/>
  <c r="L984" i="8"/>
  <c r="B984" i="8"/>
  <c r="C984" i="8" s="1"/>
  <c r="L983" i="8"/>
  <c r="B983" i="8"/>
  <c r="C983" i="8" s="1"/>
  <c r="L982" i="8"/>
  <c r="B982" i="8"/>
  <c r="C982" i="8" s="1"/>
  <c r="L981" i="8"/>
  <c r="B981" i="8"/>
  <c r="C981" i="8" s="1"/>
  <c r="L980" i="8"/>
  <c r="B980" i="8"/>
  <c r="C980" i="8" s="1"/>
  <c r="L979" i="8"/>
  <c r="B979" i="8"/>
  <c r="C979" i="8" s="1"/>
  <c r="L978" i="8"/>
  <c r="B978" i="8"/>
  <c r="C978" i="8" s="1"/>
  <c r="L977" i="8"/>
  <c r="B977" i="8"/>
  <c r="C977" i="8" s="1"/>
  <c r="L976" i="8"/>
  <c r="B976" i="8"/>
  <c r="C976" i="8" s="1"/>
  <c r="L975" i="8"/>
  <c r="B975" i="8"/>
  <c r="C975" i="8" s="1"/>
  <c r="L974" i="8"/>
  <c r="B974" i="8"/>
  <c r="C974" i="8" s="1"/>
  <c r="L973" i="8"/>
  <c r="B973" i="8"/>
  <c r="C973" i="8" s="1"/>
  <c r="L972" i="8"/>
  <c r="B972" i="8"/>
  <c r="C972" i="8" s="1"/>
  <c r="L971" i="8"/>
  <c r="B971" i="8"/>
  <c r="C971" i="8" s="1"/>
  <c r="L970" i="8"/>
  <c r="B970" i="8"/>
  <c r="C970" i="8" s="1"/>
  <c r="L969" i="8"/>
  <c r="B969" i="8"/>
  <c r="C969" i="8" s="1"/>
  <c r="L968" i="8"/>
  <c r="B968" i="8"/>
  <c r="C968" i="8" s="1"/>
  <c r="L967" i="8"/>
  <c r="B967" i="8"/>
  <c r="C967" i="8" s="1"/>
  <c r="L966" i="8"/>
  <c r="B966" i="8"/>
  <c r="C966" i="8" s="1"/>
  <c r="L965" i="8"/>
  <c r="B965" i="8"/>
  <c r="C965" i="8" s="1"/>
  <c r="L964" i="8"/>
  <c r="B964" i="8"/>
  <c r="C964" i="8" s="1"/>
  <c r="L963" i="8"/>
  <c r="B963" i="8"/>
  <c r="C963" i="8" s="1"/>
  <c r="L962" i="8"/>
  <c r="B962" i="8"/>
  <c r="C962" i="8" s="1"/>
  <c r="L961" i="8"/>
  <c r="B961" i="8"/>
  <c r="C961" i="8" s="1"/>
  <c r="L960" i="8"/>
  <c r="B960" i="8"/>
  <c r="C960" i="8" s="1"/>
  <c r="L959" i="8"/>
  <c r="B959" i="8"/>
  <c r="C959" i="8" s="1"/>
  <c r="L958" i="8"/>
  <c r="B958" i="8"/>
  <c r="C958" i="8" s="1"/>
  <c r="L957" i="8"/>
  <c r="B957" i="8"/>
  <c r="C957" i="8" s="1"/>
  <c r="L956" i="8"/>
  <c r="B956" i="8"/>
  <c r="C956" i="8" s="1"/>
  <c r="L955" i="8"/>
  <c r="B955" i="8"/>
  <c r="C955" i="8" s="1"/>
  <c r="L954" i="8"/>
  <c r="B954" i="8"/>
  <c r="C954" i="8" s="1"/>
  <c r="L953" i="8"/>
  <c r="B953" i="8"/>
  <c r="C953" i="8" s="1"/>
  <c r="L952" i="8"/>
  <c r="B952" i="8"/>
  <c r="C952" i="8" s="1"/>
  <c r="L951" i="8"/>
  <c r="B951" i="8"/>
  <c r="C951" i="8" s="1"/>
  <c r="L950" i="8"/>
  <c r="B950" i="8"/>
  <c r="C950" i="8" s="1"/>
  <c r="L949" i="8"/>
  <c r="B949" i="8"/>
  <c r="C949" i="8" s="1"/>
  <c r="L948" i="8"/>
  <c r="B948" i="8"/>
  <c r="C948" i="8" s="1"/>
  <c r="L947" i="8"/>
  <c r="B947" i="8"/>
  <c r="C947" i="8" s="1"/>
  <c r="L946" i="8"/>
  <c r="B946" i="8"/>
  <c r="C946" i="8" s="1"/>
  <c r="L945" i="8"/>
  <c r="B945" i="8"/>
  <c r="C945" i="8" s="1"/>
  <c r="L944" i="8"/>
  <c r="B944" i="8"/>
  <c r="C944" i="8" s="1"/>
  <c r="L943" i="8"/>
  <c r="B943" i="8"/>
  <c r="C943" i="8" s="1"/>
  <c r="L942" i="8"/>
  <c r="B942" i="8"/>
  <c r="C942" i="8" s="1"/>
  <c r="L941" i="8"/>
  <c r="B941" i="8"/>
  <c r="C941" i="8" s="1"/>
  <c r="L940" i="8"/>
  <c r="B940" i="8"/>
  <c r="C940" i="8" s="1"/>
  <c r="L939" i="8"/>
  <c r="B939" i="8"/>
  <c r="C939" i="8" s="1"/>
  <c r="L938" i="8"/>
  <c r="B938" i="8"/>
  <c r="C938" i="8" s="1"/>
  <c r="L937" i="8"/>
  <c r="B937" i="8"/>
  <c r="C937" i="8" s="1"/>
  <c r="L936" i="8"/>
  <c r="B936" i="8"/>
  <c r="C936" i="8" s="1"/>
  <c r="L935" i="8"/>
  <c r="B935" i="8"/>
  <c r="C935" i="8" s="1"/>
  <c r="L934" i="8"/>
  <c r="B934" i="8"/>
  <c r="C934" i="8" s="1"/>
  <c r="L933" i="8"/>
  <c r="B933" i="8"/>
  <c r="C933" i="8" s="1"/>
  <c r="L932" i="8"/>
  <c r="B932" i="8"/>
  <c r="C932" i="8" s="1"/>
  <c r="L931" i="8"/>
  <c r="B931" i="8"/>
  <c r="C931" i="8" s="1"/>
  <c r="L930" i="8"/>
  <c r="B930" i="8"/>
  <c r="C930" i="8" s="1"/>
  <c r="L929" i="8"/>
  <c r="B929" i="8"/>
  <c r="C929" i="8" s="1"/>
  <c r="L928" i="8"/>
  <c r="B928" i="8"/>
  <c r="C928" i="8" s="1"/>
  <c r="L927" i="8"/>
  <c r="B927" i="8"/>
  <c r="C927" i="8" s="1"/>
  <c r="L926" i="8"/>
  <c r="B926" i="8"/>
  <c r="C926" i="8" s="1"/>
  <c r="L925" i="8"/>
  <c r="B925" i="8"/>
  <c r="C925" i="8" s="1"/>
  <c r="L924" i="8"/>
  <c r="B924" i="8"/>
  <c r="C924" i="8" s="1"/>
  <c r="L923" i="8"/>
  <c r="B923" i="8"/>
  <c r="C923" i="8" s="1"/>
  <c r="L922" i="8"/>
  <c r="B922" i="8"/>
  <c r="C922" i="8" s="1"/>
  <c r="L921" i="8"/>
  <c r="B921" i="8"/>
  <c r="C921" i="8" s="1"/>
  <c r="L920" i="8"/>
  <c r="B920" i="8"/>
  <c r="C920" i="8" s="1"/>
  <c r="L919" i="8"/>
  <c r="B919" i="8"/>
  <c r="C919" i="8" s="1"/>
  <c r="L918" i="8"/>
  <c r="B918" i="8"/>
  <c r="C918" i="8" s="1"/>
  <c r="L917" i="8"/>
  <c r="B917" i="8"/>
  <c r="C917" i="8" s="1"/>
  <c r="L916" i="8"/>
  <c r="B916" i="8"/>
  <c r="C916" i="8" s="1"/>
  <c r="L915" i="8"/>
  <c r="B915" i="8"/>
  <c r="C915" i="8" s="1"/>
  <c r="L914" i="8"/>
  <c r="B914" i="8"/>
  <c r="C914" i="8" s="1"/>
  <c r="L913" i="8"/>
  <c r="B913" i="8"/>
  <c r="C913" i="8" s="1"/>
  <c r="L912" i="8"/>
  <c r="B912" i="8"/>
  <c r="C912" i="8" s="1"/>
  <c r="L911" i="8"/>
  <c r="B911" i="8"/>
  <c r="C911" i="8" s="1"/>
  <c r="L910" i="8"/>
  <c r="B910" i="8"/>
  <c r="C910" i="8" s="1"/>
  <c r="L909" i="8"/>
  <c r="B909" i="8"/>
  <c r="C909" i="8" s="1"/>
  <c r="L908" i="8"/>
  <c r="B908" i="8"/>
  <c r="C908" i="8" s="1"/>
  <c r="L907" i="8"/>
  <c r="B907" i="8"/>
  <c r="C907" i="8" s="1"/>
  <c r="L906" i="8"/>
  <c r="B906" i="8"/>
  <c r="C906" i="8" s="1"/>
  <c r="L905" i="8"/>
  <c r="B905" i="8"/>
  <c r="C905" i="8" s="1"/>
  <c r="L904" i="8"/>
  <c r="B904" i="8"/>
  <c r="C904" i="8" s="1"/>
  <c r="L903" i="8"/>
  <c r="B903" i="8"/>
  <c r="C903" i="8" s="1"/>
  <c r="L902" i="8"/>
  <c r="B902" i="8"/>
  <c r="C902" i="8" s="1"/>
  <c r="L901" i="8"/>
  <c r="B901" i="8"/>
  <c r="C901" i="8" s="1"/>
  <c r="L900" i="8"/>
  <c r="B900" i="8"/>
  <c r="C900" i="8" s="1"/>
  <c r="L899" i="8"/>
  <c r="B899" i="8"/>
  <c r="C899" i="8" s="1"/>
  <c r="L898" i="8"/>
  <c r="B898" i="8"/>
  <c r="C898" i="8" s="1"/>
  <c r="L897" i="8"/>
  <c r="B897" i="8"/>
  <c r="C897" i="8" s="1"/>
  <c r="L896" i="8"/>
  <c r="B896" i="8"/>
  <c r="C896" i="8" s="1"/>
  <c r="L895" i="8"/>
  <c r="B895" i="8"/>
  <c r="C895" i="8" s="1"/>
  <c r="L894" i="8"/>
  <c r="B894" i="8"/>
  <c r="C894" i="8" s="1"/>
  <c r="L893" i="8"/>
  <c r="B893" i="8"/>
  <c r="C893" i="8" s="1"/>
  <c r="L892" i="8"/>
  <c r="B892" i="8"/>
  <c r="C892" i="8" s="1"/>
  <c r="L891" i="8"/>
  <c r="B891" i="8"/>
  <c r="C891" i="8" s="1"/>
  <c r="L890" i="8"/>
  <c r="B890" i="8"/>
  <c r="C890" i="8" s="1"/>
  <c r="L889" i="8"/>
  <c r="B889" i="8"/>
  <c r="C889" i="8" s="1"/>
  <c r="L888" i="8"/>
  <c r="B888" i="8"/>
  <c r="C888" i="8" s="1"/>
  <c r="L887" i="8"/>
  <c r="B887" i="8"/>
  <c r="C887" i="8" s="1"/>
  <c r="L886" i="8"/>
  <c r="B886" i="8"/>
  <c r="C886" i="8" s="1"/>
  <c r="L885" i="8"/>
  <c r="B885" i="8"/>
  <c r="C885" i="8" s="1"/>
  <c r="L884" i="8"/>
  <c r="B884" i="8"/>
  <c r="C884" i="8" s="1"/>
  <c r="L883" i="8"/>
  <c r="B883" i="8"/>
  <c r="C883" i="8" s="1"/>
  <c r="L882" i="8"/>
  <c r="B882" i="8"/>
  <c r="C882" i="8" s="1"/>
  <c r="L881" i="8"/>
  <c r="B881" i="8"/>
  <c r="C881" i="8" s="1"/>
  <c r="L880" i="8"/>
  <c r="B880" i="8"/>
  <c r="C880" i="8" s="1"/>
  <c r="L879" i="8"/>
  <c r="B879" i="8"/>
  <c r="C879" i="8" s="1"/>
  <c r="L878" i="8"/>
  <c r="B878" i="8"/>
  <c r="C878" i="8" s="1"/>
  <c r="L877" i="8"/>
  <c r="B877" i="8"/>
  <c r="C877" i="8" s="1"/>
  <c r="L876" i="8"/>
  <c r="B876" i="8"/>
  <c r="C876" i="8" s="1"/>
  <c r="L875" i="8"/>
  <c r="B875" i="8"/>
  <c r="C875" i="8" s="1"/>
  <c r="L874" i="8"/>
  <c r="B874" i="8"/>
  <c r="C874" i="8" s="1"/>
  <c r="L873" i="8"/>
  <c r="B873" i="8"/>
  <c r="C873" i="8" s="1"/>
  <c r="L872" i="8"/>
  <c r="B872" i="8"/>
  <c r="C872" i="8" s="1"/>
  <c r="L871" i="8"/>
  <c r="B871" i="8"/>
  <c r="C871" i="8" s="1"/>
  <c r="L870" i="8"/>
  <c r="B870" i="8"/>
  <c r="C870" i="8" s="1"/>
  <c r="L869" i="8"/>
  <c r="B869" i="8"/>
  <c r="C869" i="8" s="1"/>
  <c r="L868" i="8"/>
  <c r="B868" i="8"/>
  <c r="C868" i="8" s="1"/>
  <c r="L867" i="8"/>
  <c r="B867" i="8"/>
  <c r="C867" i="8" s="1"/>
  <c r="L866" i="8"/>
  <c r="B866" i="8"/>
  <c r="C866" i="8" s="1"/>
  <c r="L865" i="8"/>
  <c r="B865" i="8"/>
  <c r="C865" i="8" s="1"/>
  <c r="L864" i="8"/>
  <c r="B864" i="8"/>
  <c r="C864" i="8" s="1"/>
  <c r="L863" i="8"/>
  <c r="B863" i="8"/>
  <c r="C863" i="8" s="1"/>
  <c r="L862" i="8"/>
  <c r="B862" i="8"/>
  <c r="C862" i="8" s="1"/>
  <c r="L861" i="8"/>
  <c r="B861" i="8"/>
  <c r="C861" i="8" s="1"/>
  <c r="L860" i="8"/>
  <c r="B860" i="8"/>
  <c r="C860" i="8" s="1"/>
  <c r="L859" i="8"/>
  <c r="B859" i="8"/>
  <c r="C859" i="8" s="1"/>
  <c r="L858" i="8"/>
  <c r="B858" i="8"/>
  <c r="C858" i="8" s="1"/>
  <c r="L857" i="8"/>
  <c r="B857" i="8"/>
  <c r="C857" i="8" s="1"/>
  <c r="L856" i="8"/>
  <c r="B856" i="8"/>
  <c r="C856" i="8" s="1"/>
  <c r="L855" i="8"/>
  <c r="B855" i="8"/>
  <c r="C855" i="8" s="1"/>
  <c r="L854" i="8"/>
  <c r="B854" i="8"/>
  <c r="C854" i="8" s="1"/>
  <c r="L853" i="8"/>
  <c r="B853" i="8"/>
  <c r="C853" i="8" s="1"/>
  <c r="L852" i="8"/>
  <c r="B852" i="8"/>
  <c r="C852" i="8" s="1"/>
  <c r="L851" i="8"/>
  <c r="B851" i="8"/>
  <c r="C851" i="8" s="1"/>
  <c r="L850" i="8"/>
  <c r="B850" i="8"/>
  <c r="C850" i="8" s="1"/>
  <c r="L849" i="8"/>
  <c r="B849" i="8"/>
  <c r="C849" i="8" s="1"/>
  <c r="L848" i="8"/>
  <c r="B848" i="8"/>
  <c r="C848" i="8" s="1"/>
  <c r="L847" i="8"/>
  <c r="B847" i="8"/>
  <c r="C847" i="8" s="1"/>
  <c r="L846" i="8"/>
  <c r="B846" i="8"/>
  <c r="C846" i="8" s="1"/>
  <c r="L845" i="8"/>
  <c r="B845" i="8"/>
  <c r="C845" i="8" s="1"/>
  <c r="L844" i="8"/>
  <c r="B844" i="8"/>
  <c r="C844" i="8" s="1"/>
  <c r="L843" i="8"/>
  <c r="B843" i="8"/>
  <c r="C843" i="8" s="1"/>
  <c r="L842" i="8"/>
  <c r="B842" i="8"/>
  <c r="C842" i="8" s="1"/>
  <c r="L841" i="8"/>
  <c r="B841" i="8"/>
  <c r="C841" i="8" s="1"/>
  <c r="L840" i="8"/>
  <c r="B840" i="8"/>
  <c r="C840" i="8" s="1"/>
  <c r="L839" i="8"/>
  <c r="B839" i="8"/>
  <c r="C839" i="8" s="1"/>
  <c r="L838" i="8"/>
  <c r="B838" i="8"/>
  <c r="C838" i="8" s="1"/>
  <c r="L837" i="8"/>
  <c r="B837" i="8"/>
  <c r="C837" i="8" s="1"/>
  <c r="L836" i="8"/>
  <c r="B836" i="8"/>
  <c r="C836" i="8" s="1"/>
  <c r="L835" i="8"/>
  <c r="B835" i="8"/>
  <c r="C835" i="8" s="1"/>
  <c r="L834" i="8"/>
  <c r="B834" i="8"/>
  <c r="C834" i="8" s="1"/>
  <c r="L833" i="8"/>
  <c r="B833" i="8"/>
  <c r="C833" i="8" s="1"/>
  <c r="L832" i="8"/>
  <c r="B832" i="8"/>
  <c r="C832" i="8" s="1"/>
  <c r="L831" i="8"/>
  <c r="B831" i="8"/>
  <c r="C831" i="8" s="1"/>
  <c r="L830" i="8"/>
  <c r="B830" i="8"/>
  <c r="C830" i="8" s="1"/>
  <c r="L829" i="8"/>
  <c r="B829" i="8"/>
  <c r="C829" i="8" s="1"/>
  <c r="L828" i="8"/>
  <c r="B828" i="8"/>
  <c r="C828" i="8" s="1"/>
  <c r="L827" i="8"/>
  <c r="B827" i="8"/>
  <c r="C827" i="8" s="1"/>
  <c r="L826" i="8"/>
  <c r="B826" i="8"/>
  <c r="C826" i="8" s="1"/>
  <c r="L825" i="8"/>
  <c r="B825" i="8"/>
  <c r="C825" i="8" s="1"/>
  <c r="L824" i="8"/>
  <c r="B824" i="8"/>
  <c r="C824" i="8" s="1"/>
  <c r="L823" i="8"/>
  <c r="B823" i="8"/>
  <c r="C823" i="8" s="1"/>
  <c r="L822" i="8"/>
  <c r="B822" i="8"/>
  <c r="C822" i="8" s="1"/>
  <c r="L821" i="8"/>
  <c r="B821" i="8"/>
  <c r="C821" i="8" s="1"/>
  <c r="L820" i="8"/>
  <c r="B820" i="8"/>
  <c r="C820" i="8" s="1"/>
  <c r="L819" i="8"/>
  <c r="B819" i="8"/>
  <c r="C819" i="8" s="1"/>
  <c r="L818" i="8"/>
  <c r="B818" i="8"/>
  <c r="C818" i="8" s="1"/>
  <c r="L817" i="8"/>
  <c r="B817" i="8"/>
  <c r="C817" i="8" s="1"/>
  <c r="L816" i="8"/>
  <c r="B816" i="8"/>
  <c r="C816" i="8" s="1"/>
  <c r="L815" i="8"/>
  <c r="B815" i="8"/>
  <c r="C815" i="8" s="1"/>
  <c r="L814" i="8"/>
  <c r="B814" i="8"/>
  <c r="C814" i="8" s="1"/>
  <c r="L813" i="8"/>
  <c r="B813" i="8"/>
  <c r="C813" i="8" s="1"/>
  <c r="L812" i="8"/>
  <c r="B812" i="8"/>
  <c r="C812" i="8" s="1"/>
  <c r="L811" i="8"/>
  <c r="B811" i="8"/>
  <c r="C811" i="8" s="1"/>
  <c r="L810" i="8"/>
  <c r="B810" i="8"/>
  <c r="C810" i="8" s="1"/>
  <c r="L809" i="8"/>
  <c r="B809" i="8"/>
  <c r="C809" i="8" s="1"/>
  <c r="L808" i="8"/>
  <c r="B808" i="8"/>
  <c r="C808" i="8" s="1"/>
  <c r="L807" i="8"/>
  <c r="B807" i="8"/>
  <c r="C807" i="8" s="1"/>
  <c r="L806" i="8"/>
  <c r="B806" i="8"/>
  <c r="C806" i="8" s="1"/>
  <c r="L805" i="8"/>
  <c r="B805" i="8"/>
  <c r="C805" i="8" s="1"/>
  <c r="L804" i="8"/>
  <c r="B804" i="8"/>
  <c r="C804" i="8" s="1"/>
  <c r="L803" i="8"/>
  <c r="B803" i="8"/>
  <c r="C803" i="8" s="1"/>
  <c r="L802" i="8"/>
  <c r="B802" i="8"/>
  <c r="C802" i="8" s="1"/>
  <c r="L801" i="8"/>
  <c r="B801" i="8"/>
  <c r="C801" i="8" s="1"/>
  <c r="L800" i="8"/>
  <c r="B800" i="8"/>
  <c r="C800" i="8" s="1"/>
  <c r="L799" i="8"/>
  <c r="B799" i="8"/>
  <c r="C799" i="8" s="1"/>
  <c r="L798" i="8"/>
  <c r="B798" i="8"/>
  <c r="C798" i="8" s="1"/>
  <c r="L797" i="8"/>
  <c r="B797" i="8"/>
  <c r="C797" i="8" s="1"/>
  <c r="L796" i="8"/>
  <c r="B796" i="8"/>
  <c r="C796" i="8" s="1"/>
  <c r="L795" i="8"/>
  <c r="B795" i="8"/>
  <c r="C795" i="8" s="1"/>
  <c r="L794" i="8"/>
  <c r="B794" i="8"/>
  <c r="C794" i="8" s="1"/>
  <c r="L793" i="8"/>
  <c r="B793" i="8"/>
  <c r="C793" i="8" s="1"/>
  <c r="L792" i="8"/>
  <c r="B792" i="8"/>
  <c r="C792" i="8" s="1"/>
  <c r="L791" i="8"/>
  <c r="B791" i="8"/>
  <c r="C791" i="8" s="1"/>
  <c r="L790" i="8"/>
  <c r="B790" i="8"/>
  <c r="C790" i="8" s="1"/>
  <c r="L789" i="8"/>
  <c r="B789" i="8"/>
  <c r="C789" i="8" s="1"/>
  <c r="L788" i="8"/>
  <c r="B788" i="8"/>
  <c r="C788" i="8" s="1"/>
  <c r="L787" i="8"/>
  <c r="B787" i="8"/>
  <c r="C787" i="8" s="1"/>
  <c r="L786" i="8"/>
  <c r="B786" i="8"/>
  <c r="C786" i="8" s="1"/>
  <c r="L785" i="8"/>
  <c r="B785" i="8"/>
  <c r="C785" i="8" s="1"/>
  <c r="L784" i="8"/>
  <c r="B784" i="8"/>
  <c r="C784" i="8" s="1"/>
  <c r="L783" i="8"/>
  <c r="B783" i="8"/>
  <c r="C783" i="8" s="1"/>
  <c r="L782" i="8"/>
  <c r="B782" i="8"/>
  <c r="C782" i="8" s="1"/>
  <c r="L781" i="8"/>
  <c r="B781" i="8"/>
  <c r="C781" i="8" s="1"/>
  <c r="L780" i="8"/>
  <c r="B780" i="8"/>
  <c r="C780" i="8" s="1"/>
  <c r="L779" i="8"/>
  <c r="B779" i="8"/>
  <c r="C779" i="8" s="1"/>
  <c r="L778" i="8"/>
  <c r="B778" i="8"/>
  <c r="C778" i="8" s="1"/>
  <c r="L777" i="8"/>
  <c r="B777" i="8"/>
  <c r="C777" i="8" s="1"/>
  <c r="L776" i="8"/>
  <c r="B776" i="8"/>
  <c r="C776" i="8" s="1"/>
  <c r="L775" i="8"/>
  <c r="B775" i="8"/>
  <c r="C775" i="8" s="1"/>
  <c r="L774" i="8"/>
  <c r="B774" i="8"/>
  <c r="C774" i="8" s="1"/>
  <c r="L773" i="8"/>
  <c r="B773" i="8"/>
  <c r="C773" i="8" s="1"/>
  <c r="L772" i="8"/>
  <c r="B772" i="8"/>
  <c r="C772" i="8" s="1"/>
  <c r="L771" i="8"/>
  <c r="B771" i="8"/>
  <c r="C771" i="8" s="1"/>
  <c r="L770" i="8"/>
  <c r="B770" i="8"/>
  <c r="C770" i="8" s="1"/>
  <c r="L769" i="8"/>
  <c r="B769" i="8"/>
  <c r="C769" i="8" s="1"/>
  <c r="L768" i="8"/>
  <c r="B768" i="8"/>
  <c r="C768" i="8" s="1"/>
  <c r="L767" i="8"/>
  <c r="B767" i="8"/>
  <c r="C767" i="8" s="1"/>
  <c r="L766" i="8"/>
  <c r="B766" i="8"/>
  <c r="C766" i="8" s="1"/>
  <c r="L765" i="8"/>
  <c r="B765" i="8"/>
  <c r="C765" i="8" s="1"/>
  <c r="L764" i="8"/>
  <c r="B764" i="8"/>
  <c r="C764" i="8" s="1"/>
  <c r="L763" i="8"/>
  <c r="B763" i="8"/>
  <c r="C763" i="8" s="1"/>
  <c r="L762" i="8"/>
  <c r="B762" i="8"/>
  <c r="C762" i="8" s="1"/>
  <c r="L761" i="8"/>
  <c r="B761" i="8"/>
  <c r="C761" i="8" s="1"/>
  <c r="L760" i="8"/>
  <c r="B760" i="8"/>
  <c r="C760" i="8" s="1"/>
  <c r="L759" i="8"/>
  <c r="B759" i="8"/>
  <c r="C759" i="8" s="1"/>
  <c r="L758" i="8"/>
  <c r="B758" i="8"/>
  <c r="C758" i="8" s="1"/>
  <c r="L757" i="8"/>
  <c r="B757" i="8"/>
  <c r="C757" i="8" s="1"/>
  <c r="L756" i="8"/>
  <c r="B756" i="8"/>
  <c r="C756" i="8" s="1"/>
  <c r="L755" i="8"/>
  <c r="B755" i="8"/>
  <c r="C755" i="8" s="1"/>
  <c r="L754" i="8"/>
  <c r="B754" i="8"/>
  <c r="C754" i="8" s="1"/>
  <c r="L753" i="8"/>
  <c r="B753" i="8"/>
  <c r="C753" i="8" s="1"/>
  <c r="L752" i="8"/>
  <c r="B752" i="8"/>
  <c r="C752" i="8" s="1"/>
  <c r="L751" i="8"/>
  <c r="B751" i="8"/>
  <c r="C751" i="8" s="1"/>
  <c r="L750" i="8"/>
  <c r="B750" i="8"/>
  <c r="C750" i="8" s="1"/>
  <c r="L749" i="8"/>
  <c r="B749" i="8"/>
  <c r="C749" i="8" s="1"/>
  <c r="L748" i="8"/>
  <c r="B748" i="8"/>
  <c r="C748" i="8" s="1"/>
  <c r="L747" i="8"/>
  <c r="B747" i="8"/>
  <c r="C747" i="8" s="1"/>
  <c r="L746" i="8"/>
  <c r="B746" i="8"/>
  <c r="C746" i="8" s="1"/>
  <c r="L745" i="8"/>
  <c r="B745" i="8"/>
  <c r="C745" i="8" s="1"/>
  <c r="L744" i="8"/>
  <c r="B744" i="8"/>
  <c r="C744" i="8" s="1"/>
  <c r="L743" i="8"/>
  <c r="B743" i="8"/>
  <c r="C743" i="8" s="1"/>
  <c r="L742" i="8"/>
  <c r="B742" i="8"/>
  <c r="C742" i="8" s="1"/>
  <c r="L741" i="8"/>
  <c r="B741" i="8"/>
  <c r="C741" i="8" s="1"/>
  <c r="L740" i="8"/>
  <c r="B740" i="8"/>
  <c r="C740" i="8" s="1"/>
  <c r="L739" i="8"/>
  <c r="B739" i="8"/>
  <c r="C739" i="8" s="1"/>
  <c r="L738" i="8"/>
  <c r="B738" i="8"/>
  <c r="C738" i="8" s="1"/>
  <c r="L737" i="8"/>
  <c r="B737" i="8"/>
  <c r="C737" i="8" s="1"/>
  <c r="L736" i="8"/>
  <c r="B736" i="8"/>
  <c r="C736" i="8" s="1"/>
  <c r="L735" i="8"/>
  <c r="B735" i="8"/>
  <c r="C735" i="8" s="1"/>
  <c r="L734" i="8"/>
  <c r="B734" i="8"/>
  <c r="C734" i="8" s="1"/>
  <c r="L733" i="8"/>
  <c r="B733" i="8"/>
  <c r="C733" i="8" s="1"/>
  <c r="L732" i="8"/>
  <c r="B732" i="8"/>
  <c r="C732" i="8" s="1"/>
  <c r="L731" i="8"/>
  <c r="B731" i="8"/>
  <c r="C731" i="8" s="1"/>
  <c r="L730" i="8"/>
  <c r="B730" i="8"/>
  <c r="C730" i="8" s="1"/>
  <c r="L729" i="8"/>
  <c r="B729" i="8"/>
  <c r="C729" i="8" s="1"/>
  <c r="L728" i="8"/>
  <c r="B728" i="8"/>
  <c r="C728" i="8" s="1"/>
  <c r="L727" i="8"/>
  <c r="B727" i="8"/>
  <c r="C727" i="8" s="1"/>
  <c r="L726" i="8"/>
  <c r="B726" i="8"/>
  <c r="C726" i="8" s="1"/>
  <c r="L725" i="8"/>
  <c r="B725" i="8"/>
  <c r="C725" i="8" s="1"/>
  <c r="L724" i="8"/>
  <c r="B724" i="8"/>
  <c r="C724" i="8" s="1"/>
  <c r="L723" i="8"/>
  <c r="B723" i="8"/>
  <c r="C723" i="8" s="1"/>
  <c r="L722" i="8"/>
  <c r="B722" i="8"/>
  <c r="C722" i="8" s="1"/>
  <c r="L721" i="8"/>
  <c r="B721" i="8"/>
  <c r="C721" i="8" s="1"/>
  <c r="L720" i="8"/>
  <c r="B720" i="8"/>
  <c r="C720" i="8" s="1"/>
  <c r="L719" i="8"/>
  <c r="B719" i="8"/>
  <c r="C719" i="8" s="1"/>
  <c r="L718" i="8"/>
  <c r="B718" i="8"/>
  <c r="C718" i="8" s="1"/>
  <c r="L717" i="8"/>
  <c r="B717" i="8"/>
  <c r="C717" i="8" s="1"/>
  <c r="L716" i="8"/>
  <c r="B716" i="8"/>
  <c r="C716" i="8" s="1"/>
  <c r="L715" i="8"/>
  <c r="B715" i="8"/>
  <c r="C715" i="8" s="1"/>
  <c r="L714" i="8"/>
  <c r="B714" i="8"/>
  <c r="C714" i="8" s="1"/>
  <c r="L713" i="8"/>
  <c r="B713" i="8"/>
  <c r="C713" i="8" s="1"/>
  <c r="L712" i="8"/>
  <c r="B712" i="8"/>
  <c r="C712" i="8" s="1"/>
  <c r="L711" i="8"/>
  <c r="B711" i="8"/>
  <c r="C711" i="8" s="1"/>
  <c r="L710" i="8"/>
  <c r="B710" i="8"/>
  <c r="C710" i="8" s="1"/>
  <c r="L709" i="8"/>
  <c r="B709" i="8"/>
  <c r="C709" i="8" s="1"/>
  <c r="L708" i="8"/>
  <c r="B708" i="8"/>
  <c r="C708" i="8" s="1"/>
  <c r="L707" i="8"/>
  <c r="B707" i="8"/>
  <c r="C707" i="8" s="1"/>
  <c r="L706" i="8"/>
  <c r="B706" i="8"/>
  <c r="C706" i="8" s="1"/>
  <c r="L705" i="8"/>
  <c r="B705" i="8"/>
  <c r="C705" i="8" s="1"/>
  <c r="L704" i="8"/>
  <c r="B704" i="8"/>
  <c r="C704" i="8" s="1"/>
  <c r="L703" i="8"/>
  <c r="B703" i="8"/>
  <c r="C703" i="8" s="1"/>
  <c r="L702" i="8"/>
  <c r="B702" i="8"/>
  <c r="C702" i="8" s="1"/>
  <c r="L701" i="8"/>
  <c r="B701" i="8"/>
  <c r="C701" i="8" s="1"/>
  <c r="L700" i="8"/>
  <c r="B700" i="8"/>
  <c r="C700" i="8" s="1"/>
  <c r="L699" i="8"/>
  <c r="B699" i="8"/>
  <c r="C699" i="8" s="1"/>
  <c r="L698" i="8"/>
  <c r="B698" i="8"/>
  <c r="C698" i="8" s="1"/>
  <c r="L697" i="8"/>
  <c r="B697" i="8"/>
  <c r="C697" i="8" s="1"/>
  <c r="L696" i="8"/>
  <c r="B696" i="8"/>
  <c r="C696" i="8" s="1"/>
  <c r="L695" i="8"/>
  <c r="B695" i="8"/>
  <c r="C695" i="8" s="1"/>
  <c r="L694" i="8"/>
  <c r="B694" i="8"/>
  <c r="C694" i="8" s="1"/>
  <c r="L693" i="8"/>
  <c r="B693" i="8"/>
  <c r="C693" i="8" s="1"/>
  <c r="L692" i="8"/>
  <c r="B692" i="8"/>
  <c r="C692" i="8" s="1"/>
  <c r="L691" i="8"/>
  <c r="B691" i="8"/>
  <c r="C691" i="8" s="1"/>
  <c r="L690" i="8"/>
  <c r="B690" i="8"/>
  <c r="C690" i="8" s="1"/>
  <c r="L689" i="8"/>
  <c r="B689" i="8"/>
  <c r="C689" i="8" s="1"/>
  <c r="L688" i="8"/>
  <c r="B688" i="8"/>
  <c r="C688" i="8" s="1"/>
  <c r="L687" i="8"/>
  <c r="B687" i="8"/>
  <c r="C687" i="8" s="1"/>
  <c r="L686" i="8"/>
  <c r="B686" i="8"/>
  <c r="C686" i="8" s="1"/>
  <c r="L685" i="8"/>
  <c r="B685" i="8"/>
  <c r="C685" i="8" s="1"/>
  <c r="L684" i="8"/>
  <c r="B684" i="8"/>
  <c r="C684" i="8" s="1"/>
  <c r="L683" i="8"/>
  <c r="B683" i="8"/>
  <c r="C683" i="8" s="1"/>
  <c r="L682" i="8"/>
  <c r="B682" i="8"/>
  <c r="C682" i="8" s="1"/>
  <c r="L681" i="8"/>
  <c r="B681" i="8"/>
  <c r="C681" i="8" s="1"/>
  <c r="L680" i="8"/>
  <c r="B680" i="8"/>
  <c r="C680" i="8" s="1"/>
  <c r="L679" i="8"/>
  <c r="B679" i="8"/>
  <c r="C679" i="8" s="1"/>
  <c r="L678" i="8"/>
  <c r="B678" i="8"/>
  <c r="C678" i="8" s="1"/>
  <c r="L677" i="8"/>
  <c r="B677" i="8"/>
  <c r="C677" i="8" s="1"/>
  <c r="L676" i="8"/>
  <c r="B676" i="8"/>
  <c r="C676" i="8" s="1"/>
  <c r="L675" i="8"/>
  <c r="B675" i="8"/>
  <c r="C675" i="8" s="1"/>
  <c r="L674" i="8"/>
  <c r="B674" i="8"/>
  <c r="C674" i="8" s="1"/>
  <c r="L673" i="8"/>
  <c r="B673" i="8"/>
  <c r="C673" i="8" s="1"/>
  <c r="L672" i="8"/>
  <c r="B672" i="8"/>
  <c r="C672" i="8" s="1"/>
  <c r="L671" i="8"/>
  <c r="B671" i="8"/>
  <c r="C671" i="8" s="1"/>
  <c r="L670" i="8"/>
  <c r="B670" i="8"/>
  <c r="C670" i="8" s="1"/>
  <c r="L669" i="8"/>
  <c r="B669" i="8"/>
  <c r="C669" i="8" s="1"/>
  <c r="L668" i="8"/>
  <c r="B668" i="8"/>
  <c r="C668" i="8" s="1"/>
  <c r="L667" i="8"/>
  <c r="B667" i="8"/>
  <c r="C667" i="8" s="1"/>
  <c r="L666" i="8"/>
  <c r="B666" i="8"/>
  <c r="C666" i="8" s="1"/>
  <c r="L665" i="8"/>
  <c r="B665" i="8"/>
  <c r="C665" i="8" s="1"/>
  <c r="L664" i="8"/>
  <c r="B664" i="8"/>
  <c r="C664" i="8" s="1"/>
  <c r="L663" i="8"/>
  <c r="B663" i="8"/>
  <c r="C663" i="8" s="1"/>
  <c r="L662" i="8"/>
  <c r="B662" i="8"/>
  <c r="C662" i="8" s="1"/>
  <c r="L661" i="8"/>
  <c r="B661" i="8"/>
  <c r="C661" i="8" s="1"/>
  <c r="L660" i="8"/>
  <c r="B660" i="8"/>
  <c r="C660" i="8" s="1"/>
  <c r="L659" i="8"/>
  <c r="B659" i="8"/>
  <c r="C659" i="8" s="1"/>
  <c r="L658" i="8"/>
  <c r="B658" i="8"/>
  <c r="C658" i="8" s="1"/>
  <c r="L657" i="8"/>
  <c r="B657" i="8"/>
  <c r="C657" i="8" s="1"/>
  <c r="L656" i="8"/>
  <c r="B656" i="8"/>
  <c r="C656" i="8" s="1"/>
  <c r="L655" i="8"/>
  <c r="B655" i="8"/>
  <c r="C655" i="8" s="1"/>
  <c r="L654" i="8"/>
  <c r="B654" i="8"/>
  <c r="C654" i="8" s="1"/>
  <c r="L653" i="8"/>
  <c r="B653" i="8"/>
  <c r="C653" i="8" s="1"/>
  <c r="L652" i="8"/>
  <c r="B652" i="8"/>
  <c r="C652" i="8" s="1"/>
  <c r="L651" i="8"/>
  <c r="B651" i="8"/>
  <c r="C651" i="8" s="1"/>
  <c r="L650" i="8"/>
  <c r="B650" i="8"/>
  <c r="C650" i="8" s="1"/>
  <c r="L649" i="8"/>
  <c r="B649" i="8"/>
  <c r="C649" i="8" s="1"/>
  <c r="L648" i="8"/>
  <c r="B648" i="8"/>
  <c r="C648" i="8" s="1"/>
  <c r="L647" i="8"/>
  <c r="B647" i="8"/>
  <c r="C647" i="8" s="1"/>
  <c r="L646" i="8"/>
  <c r="B646" i="8"/>
  <c r="C646" i="8" s="1"/>
  <c r="L645" i="8"/>
  <c r="B645" i="8"/>
  <c r="C645" i="8" s="1"/>
  <c r="L644" i="8"/>
  <c r="B644" i="8"/>
  <c r="C644" i="8" s="1"/>
  <c r="L643" i="8"/>
  <c r="B643" i="8"/>
  <c r="C643" i="8" s="1"/>
  <c r="L642" i="8"/>
  <c r="B642" i="8"/>
  <c r="C642" i="8" s="1"/>
  <c r="L641" i="8"/>
  <c r="B641" i="8"/>
  <c r="C641" i="8" s="1"/>
  <c r="L640" i="8"/>
  <c r="B640" i="8"/>
  <c r="C640" i="8" s="1"/>
  <c r="L639" i="8"/>
  <c r="B639" i="8"/>
  <c r="C639" i="8" s="1"/>
  <c r="L638" i="8"/>
  <c r="B638" i="8"/>
  <c r="C638" i="8" s="1"/>
  <c r="L637" i="8"/>
  <c r="B637" i="8"/>
  <c r="C637" i="8" s="1"/>
  <c r="L636" i="8"/>
  <c r="B636" i="8"/>
  <c r="C636" i="8" s="1"/>
  <c r="L635" i="8"/>
  <c r="B635" i="8"/>
  <c r="C635" i="8" s="1"/>
  <c r="L634" i="8"/>
  <c r="B634" i="8"/>
  <c r="C634" i="8" s="1"/>
  <c r="L633" i="8"/>
  <c r="B633" i="8"/>
  <c r="C633" i="8" s="1"/>
  <c r="L632" i="8"/>
  <c r="B632" i="8"/>
  <c r="C632" i="8" s="1"/>
  <c r="L631" i="8"/>
  <c r="B631" i="8"/>
  <c r="C631" i="8" s="1"/>
  <c r="L630" i="8"/>
  <c r="B630" i="8"/>
  <c r="C630" i="8" s="1"/>
  <c r="L629" i="8"/>
  <c r="B629" i="8"/>
  <c r="C629" i="8" s="1"/>
  <c r="L628" i="8"/>
  <c r="B628" i="8"/>
  <c r="C628" i="8" s="1"/>
  <c r="L627" i="8"/>
  <c r="B627" i="8"/>
  <c r="C627" i="8" s="1"/>
  <c r="L626" i="8"/>
  <c r="B626" i="8"/>
  <c r="C626" i="8" s="1"/>
  <c r="L625" i="8"/>
  <c r="B625" i="8"/>
  <c r="C625" i="8" s="1"/>
  <c r="L624" i="8"/>
  <c r="B624" i="8"/>
  <c r="C624" i="8" s="1"/>
  <c r="L623" i="8"/>
  <c r="B623" i="8"/>
  <c r="C623" i="8" s="1"/>
  <c r="L622" i="8"/>
  <c r="B622" i="8"/>
  <c r="C622" i="8" s="1"/>
  <c r="L621" i="8"/>
  <c r="B621" i="8"/>
  <c r="C621" i="8" s="1"/>
  <c r="L620" i="8"/>
  <c r="B620" i="8"/>
  <c r="C620" i="8" s="1"/>
  <c r="L619" i="8"/>
  <c r="B619" i="8"/>
  <c r="C619" i="8" s="1"/>
  <c r="L618" i="8"/>
  <c r="B618" i="8"/>
  <c r="C618" i="8" s="1"/>
  <c r="L617" i="8"/>
  <c r="B617" i="8"/>
  <c r="C617" i="8" s="1"/>
  <c r="L616" i="8"/>
  <c r="B616" i="8"/>
  <c r="C616" i="8" s="1"/>
  <c r="L615" i="8"/>
  <c r="B615" i="8"/>
  <c r="C615" i="8" s="1"/>
  <c r="L614" i="8"/>
  <c r="B614" i="8"/>
  <c r="C614" i="8" s="1"/>
  <c r="L613" i="8"/>
  <c r="B613" i="8"/>
  <c r="C613" i="8" s="1"/>
  <c r="L612" i="8"/>
  <c r="B612" i="8"/>
  <c r="C612" i="8" s="1"/>
  <c r="L611" i="8"/>
  <c r="B611" i="8"/>
  <c r="C611" i="8" s="1"/>
  <c r="L610" i="8"/>
  <c r="B610" i="8"/>
  <c r="C610" i="8" s="1"/>
  <c r="L609" i="8"/>
  <c r="B609" i="8"/>
  <c r="C609" i="8" s="1"/>
  <c r="L608" i="8"/>
  <c r="B608" i="8"/>
  <c r="C608" i="8" s="1"/>
  <c r="L607" i="8"/>
  <c r="B607" i="8"/>
  <c r="C607" i="8" s="1"/>
  <c r="L606" i="8"/>
  <c r="B606" i="8"/>
  <c r="C606" i="8" s="1"/>
  <c r="L605" i="8"/>
  <c r="B605" i="8"/>
  <c r="C605" i="8" s="1"/>
  <c r="L604" i="8"/>
  <c r="B604" i="8"/>
  <c r="C604" i="8" s="1"/>
  <c r="L603" i="8"/>
  <c r="B603" i="8"/>
  <c r="C603" i="8" s="1"/>
  <c r="L602" i="8"/>
  <c r="B602" i="8"/>
  <c r="C602" i="8" s="1"/>
  <c r="L601" i="8"/>
  <c r="B601" i="8"/>
  <c r="C601" i="8" s="1"/>
  <c r="L600" i="8"/>
  <c r="B600" i="8"/>
  <c r="C600" i="8" s="1"/>
  <c r="L599" i="8"/>
  <c r="B599" i="8"/>
  <c r="C599" i="8" s="1"/>
  <c r="L598" i="8"/>
  <c r="B598" i="8"/>
  <c r="C598" i="8" s="1"/>
  <c r="L597" i="8"/>
  <c r="B597" i="8"/>
  <c r="C597" i="8" s="1"/>
  <c r="L596" i="8"/>
  <c r="B596" i="8"/>
  <c r="C596" i="8" s="1"/>
  <c r="L595" i="8"/>
  <c r="B595" i="8"/>
  <c r="C595" i="8" s="1"/>
  <c r="L594" i="8"/>
  <c r="B594" i="8"/>
  <c r="C594" i="8" s="1"/>
  <c r="L593" i="8"/>
  <c r="B593" i="8"/>
  <c r="C593" i="8" s="1"/>
  <c r="L592" i="8"/>
  <c r="B592" i="8"/>
  <c r="C592" i="8" s="1"/>
  <c r="L591" i="8"/>
  <c r="B591" i="8"/>
  <c r="C591" i="8" s="1"/>
  <c r="L590" i="8"/>
  <c r="B590" i="8"/>
  <c r="C590" i="8" s="1"/>
  <c r="L589" i="8"/>
  <c r="B589" i="8"/>
  <c r="C589" i="8" s="1"/>
  <c r="L588" i="8"/>
  <c r="B588" i="8"/>
  <c r="C588" i="8" s="1"/>
  <c r="L587" i="8"/>
  <c r="B587" i="8"/>
  <c r="C587" i="8" s="1"/>
  <c r="L586" i="8"/>
  <c r="B586" i="8"/>
  <c r="C586" i="8" s="1"/>
  <c r="L585" i="8"/>
  <c r="B585" i="8"/>
  <c r="C585" i="8" s="1"/>
  <c r="L584" i="8"/>
  <c r="B584" i="8"/>
  <c r="C584" i="8" s="1"/>
  <c r="L583" i="8"/>
  <c r="B583" i="8"/>
  <c r="C583" i="8" s="1"/>
  <c r="L582" i="8"/>
  <c r="B582" i="8"/>
  <c r="C582" i="8" s="1"/>
  <c r="L581" i="8"/>
  <c r="B581" i="8"/>
  <c r="C581" i="8" s="1"/>
  <c r="L580" i="8"/>
  <c r="B580" i="8"/>
  <c r="C580" i="8" s="1"/>
  <c r="L579" i="8"/>
  <c r="B579" i="8"/>
  <c r="C579" i="8" s="1"/>
  <c r="L578" i="8"/>
  <c r="B578" i="8"/>
  <c r="C578" i="8" s="1"/>
  <c r="L577" i="8"/>
  <c r="B577" i="8"/>
  <c r="C577" i="8" s="1"/>
  <c r="L576" i="8"/>
  <c r="B576" i="8"/>
  <c r="C576" i="8" s="1"/>
  <c r="L575" i="8"/>
  <c r="B575" i="8"/>
  <c r="C575" i="8" s="1"/>
  <c r="L574" i="8"/>
  <c r="B574" i="8"/>
  <c r="C574" i="8" s="1"/>
  <c r="L573" i="8"/>
  <c r="B573" i="8"/>
  <c r="C573" i="8" s="1"/>
  <c r="L572" i="8"/>
  <c r="B572" i="8"/>
  <c r="C572" i="8" s="1"/>
  <c r="L571" i="8"/>
  <c r="B571" i="8"/>
  <c r="C571" i="8" s="1"/>
  <c r="L570" i="8"/>
  <c r="B570" i="8"/>
  <c r="C570" i="8" s="1"/>
  <c r="L569" i="8"/>
  <c r="B569" i="8"/>
  <c r="C569" i="8" s="1"/>
  <c r="L568" i="8"/>
  <c r="B568" i="8"/>
  <c r="C568" i="8" s="1"/>
  <c r="L567" i="8"/>
  <c r="B567" i="8"/>
  <c r="C567" i="8" s="1"/>
  <c r="L566" i="8"/>
  <c r="B566" i="8"/>
  <c r="C566" i="8" s="1"/>
  <c r="L565" i="8"/>
  <c r="B565" i="8"/>
  <c r="C565" i="8" s="1"/>
  <c r="L564" i="8"/>
  <c r="B564" i="8"/>
  <c r="C564" i="8" s="1"/>
  <c r="L563" i="8"/>
  <c r="B563" i="8"/>
  <c r="C563" i="8" s="1"/>
  <c r="L562" i="8"/>
  <c r="B562" i="8"/>
  <c r="C562" i="8" s="1"/>
  <c r="L561" i="8"/>
  <c r="B561" i="8"/>
  <c r="C561" i="8" s="1"/>
  <c r="L560" i="8"/>
  <c r="B560" i="8"/>
  <c r="C560" i="8" s="1"/>
  <c r="L559" i="8"/>
  <c r="B559" i="8"/>
  <c r="C559" i="8" s="1"/>
  <c r="L558" i="8"/>
  <c r="B558" i="8"/>
  <c r="C558" i="8" s="1"/>
  <c r="L557" i="8"/>
  <c r="B557" i="8"/>
  <c r="C557" i="8" s="1"/>
  <c r="L556" i="8"/>
  <c r="B556" i="8"/>
  <c r="C556" i="8" s="1"/>
  <c r="L555" i="8"/>
  <c r="B555" i="8"/>
  <c r="C555" i="8" s="1"/>
  <c r="L554" i="8"/>
  <c r="B554" i="8"/>
  <c r="C554" i="8" s="1"/>
  <c r="L553" i="8"/>
  <c r="B553" i="8"/>
  <c r="C553" i="8" s="1"/>
  <c r="L552" i="8"/>
  <c r="B552" i="8"/>
  <c r="C552" i="8" s="1"/>
  <c r="L551" i="8"/>
  <c r="B551" i="8"/>
  <c r="C551" i="8" s="1"/>
  <c r="L550" i="8"/>
  <c r="B550" i="8"/>
  <c r="C550" i="8" s="1"/>
  <c r="L549" i="8"/>
  <c r="B549" i="8"/>
  <c r="C549" i="8" s="1"/>
  <c r="L548" i="8"/>
  <c r="B548" i="8"/>
  <c r="C548" i="8" s="1"/>
  <c r="L547" i="8"/>
  <c r="B547" i="8"/>
  <c r="C547" i="8" s="1"/>
  <c r="L546" i="8"/>
  <c r="B546" i="8"/>
  <c r="C546" i="8" s="1"/>
  <c r="L545" i="8"/>
  <c r="B545" i="8"/>
  <c r="C545" i="8" s="1"/>
  <c r="L544" i="8"/>
  <c r="B544" i="8"/>
  <c r="C544" i="8" s="1"/>
  <c r="L543" i="8"/>
  <c r="B543" i="8"/>
  <c r="C543" i="8" s="1"/>
  <c r="L542" i="8"/>
  <c r="B542" i="8"/>
  <c r="C542" i="8" s="1"/>
  <c r="L541" i="8"/>
  <c r="B541" i="8"/>
  <c r="C541" i="8" s="1"/>
  <c r="L540" i="8"/>
  <c r="B540" i="8"/>
  <c r="C540" i="8" s="1"/>
  <c r="L539" i="8"/>
  <c r="B539" i="8"/>
  <c r="C539" i="8" s="1"/>
  <c r="L538" i="8"/>
  <c r="B538" i="8"/>
  <c r="C538" i="8" s="1"/>
  <c r="L537" i="8"/>
  <c r="B537" i="8"/>
  <c r="C537" i="8" s="1"/>
  <c r="L536" i="8"/>
  <c r="B536" i="8"/>
  <c r="C536" i="8" s="1"/>
  <c r="L535" i="8"/>
  <c r="B535" i="8"/>
  <c r="C535" i="8" s="1"/>
  <c r="L534" i="8"/>
  <c r="B534" i="8"/>
  <c r="C534" i="8" s="1"/>
  <c r="L533" i="8"/>
  <c r="B533" i="8"/>
  <c r="C533" i="8" s="1"/>
  <c r="L532" i="8"/>
  <c r="B532" i="8"/>
  <c r="C532" i="8" s="1"/>
  <c r="L531" i="8"/>
  <c r="B531" i="8"/>
  <c r="C531" i="8" s="1"/>
  <c r="L530" i="8"/>
  <c r="B530" i="8"/>
  <c r="C530" i="8" s="1"/>
  <c r="L529" i="8"/>
  <c r="B529" i="8"/>
  <c r="C529" i="8" s="1"/>
  <c r="L528" i="8"/>
  <c r="B528" i="8"/>
  <c r="C528" i="8" s="1"/>
  <c r="L527" i="8"/>
  <c r="B527" i="8"/>
  <c r="C527" i="8" s="1"/>
  <c r="L526" i="8"/>
  <c r="B526" i="8"/>
  <c r="C526" i="8" s="1"/>
  <c r="L525" i="8"/>
  <c r="B525" i="8"/>
  <c r="C525" i="8" s="1"/>
  <c r="L524" i="8"/>
  <c r="B524" i="8"/>
  <c r="C524" i="8" s="1"/>
  <c r="L523" i="8"/>
  <c r="B523" i="8"/>
  <c r="C523" i="8" s="1"/>
  <c r="L522" i="8"/>
  <c r="B522" i="8"/>
  <c r="C522" i="8" s="1"/>
  <c r="L521" i="8"/>
  <c r="B521" i="8"/>
  <c r="C521" i="8" s="1"/>
  <c r="L520" i="8"/>
  <c r="B520" i="8"/>
  <c r="C520" i="8" s="1"/>
  <c r="L519" i="8"/>
  <c r="B519" i="8"/>
  <c r="C519" i="8" s="1"/>
  <c r="L518" i="8"/>
  <c r="B518" i="8"/>
  <c r="C518" i="8" s="1"/>
  <c r="L517" i="8"/>
  <c r="B517" i="8"/>
  <c r="C517" i="8" s="1"/>
  <c r="L516" i="8"/>
  <c r="B516" i="8"/>
  <c r="C516" i="8" s="1"/>
  <c r="L515" i="8"/>
  <c r="B515" i="8"/>
  <c r="C515" i="8" s="1"/>
  <c r="L514" i="8"/>
  <c r="B514" i="8"/>
  <c r="C514" i="8" s="1"/>
  <c r="L513" i="8"/>
  <c r="B513" i="8"/>
  <c r="C513" i="8" s="1"/>
  <c r="L512" i="8"/>
  <c r="B512" i="8"/>
  <c r="C512" i="8" s="1"/>
  <c r="L511" i="8"/>
  <c r="B511" i="8"/>
  <c r="C511" i="8" s="1"/>
  <c r="L510" i="8"/>
  <c r="B510" i="8"/>
  <c r="C510" i="8" s="1"/>
  <c r="L509" i="8"/>
  <c r="B509" i="8"/>
  <c r="C509" i="8" s="1"/>
  <c r="L508" i="8"/>
  <c r="B508" i="8"/>
  <c r="C508" i="8" s="1"/>
  <c r="L507" i="8"/>
  <c r="B507" i="8"/>
  <c r="C507" i="8" s="1"/>
  <c r="L506" i="8"/>
  <c r="B506" i="8"/>
  <c r="C506" i="8" s="1"/>
  <c r="L505" i="8"/>
  <c r="B505" i="8"/>
  <c r="C505" i="8" s="1"/>
  <c r="L504" i="8"/>
  <c r="B504" i="8"/>
  <c r="C504" i="8" s="1"/>
  <c r="L503" i="8"/>
  <c r="B503" i="8"/>
  <c r="C503" i="8" s="1"/>
  <c r="L502" i="8"/>
  <c r="B502" i="8"/>
  <c r="C502" i="8" s="1"/>
  <c r="L501" i="8"/>
  <c r="B501" i="8"/>
  <c r="C501" i="8" s="1"/>
  <c r="L500" i="8"/>
  <c r="B500" i="8"/>
  <c r="C500" i="8" s="1"/>
  <c r="L499" i="8"/>
  <c r="B499" i="8"/>
  <c r="C499" i="8" s="1"/>
  <c r="L498" i="8"/>
  <c r="B498" i="8"/>
  <c r="C498" i="8" s="1"/>
  <c r="L497" i="8"/>
  <c r="B497" i="8"/>
  <c r="C497" i="8" s="1"/>
  <c r="L496" i="8"/>
  <c r="B496" i="8"/>
  <c r="C496" i="8" s="1"/>
  <c r="L495" i="8"/>
  <c r="B495" i="8"/>
  <c r="C495" i="8" s="1"/>
  <c r="L494" i="8"/>
  <c r="B494" i="8"/>
  <c r="C494" i="8" s="1"/>
  <c r="L493" i="8"/>
  <c r="B493" i="8"/>
  <c r="C493" i="8" s="1"/>
  <c r="L492" i="8"/>
  <c r="B492" i="8"/>
  <c r="C492" i="8" s="1"/>
  <c r="L491" i="8"/>
  <c r="B491" i="8"/>
  <c r="C491" i="8" s="1"/>
  <c r="L490" i="8"/>
  <c r="B490" i="8"/>
  <c r="C490" i="8" s="1"/>
  <c r="L489" i="8"/>
  <c r="B489" i="8"/>
  <c r="C489" i="8" s="1"/>
  <c r="L488" i="8"/>
  <c r="B488" i="8"/>
  <c r="C488" i="8" s="1"/>
  <c r="L487" i="8"/>
  <c r="B487" i="8"/>
  <c r="C487" i="8" s="1"/>
  <c r="L486" i="8"/>
  <c r="B486" i="8"/>
  <c r="C486" i="8" s="1"/>
  <c r="L485" i="8"/>
  <c r="B485" i="8"/>
  <c r="C485" i="8" s="1"/>
  <c r="L484" i="8"/>
  <c r="B484" i="8"/>
  <c r="C484" i="8" s="1"/>
  <c r="L483" i="8"/>
  <c r="B483" i="8"/>
  <c r="C483" i="8" s="1"/>
  <c r="L482" i="8"/>
  <c r="B482" i="8"/>
  <c r="C482" i="8" s="1"/>
  <c r="L481" i="8"/>
  <c r="B481" i="8"/>
  <c r="C481" i="8" s="1"/>
  <c r="L480" i="8"/>
  <c r="B480" i="8"/>
  <c r="C480" i="8" s="1"/>
  <c r="L479" i="8"/>
  <c r="B479" i="8"/>
  <c r="C479" i="8" s="1"/>
  <c r="L478" i="8"/>
  <c r="B478" i="8"/>
  <c r="C478" i="8" s="1"/>
  <c r="L477" i="8"/>
  <c r="B477" i="8"/>
  <c r="C477" i="8" s="1"/>
  <c r="L476" i="8"/>
  <c r="B476" i="8"/>
  <c r="C476" i="8" s="1"/>
  <c r="L475" i="8"/>
  <c r="B475" i="8"/>
  <c r="C475" i="8" s="1"/>
  <c r="L474" i="8"/>
  <c r="B474" i="8"/>
  <c r="C474" i="8" s="1"/>
  <c r="L473" i="8"/>
  <c r="B473" i="8"/>
  <c r="C473" i="8" s="1"/>
  <c r="L472" i="8"/>
  <c r="B472" i="8"/>
  <c r="C472" i="8" s="1"/>
  <c r="L471" i="8"/>
  <c r="B471" i="8"/>
  <c r="C471" i="8" s="1"/>
  <c r="L470" i="8"/>
  <c r="B470" i="8"/>
  <c r="C470" i="8" s="1"/>
  <c r="L469" i="8"/>
  <c r="B469" i="8"/>
  <c r="C469" i="8" s="1"/>
  <c r="L468" i="8"/>
  <c r="B468" i="8"/>
  <c r="C468" i="8" s="1"/>
  <c r="L467" i="8"/>
  <c r="B467" i="8"/>
  <c r="C467" i="8" s="1"/>
  <c r="L466" i="8"/>
  <c r="B466" i="8"/>
  <c r="C466" i="8" s="1"/>
  <c r="L465" i="8"/>
  <c r="B465" i="8"/>
  <c r="C465" i="8" s="1"/>
  <c r="L464" i="8"/>
  <c r="B464" i="8"/>
  <c r="C464" i="8" s="1"/>
  <c r="L463" i="8"/>
  <c r="B463" i="8"/>
  <c r="C463" i="8" s="1"/>
  <c r="L462" i="8"/>
  <c r="B462" i="8"/>
  <c r="C462" i="8" s="1"/>
  <c r="L461" i="8"/>
  <c r="B461" i="8"/>
  <c r="C461" i="8" s="1"/>
  <c r="L460" i="8"/>
  <c r="B460" i="8"/>
  <c r="C460" i="8" s="1"/>
  <c r="L459" i="8"/>
  <c r="B459" i="8"/>
  <c r="C459" i="8" s="1"/>
  <c r="L458" i="8"/>
  <c r="B458" i="8"/>
  <c r="C458" i="8" s="1"/>
  <c r="L457" i="8"/>
  <c r="B457" i="8"/>
  <c r="C457" i="8" s="1"/>
  <c r="L456" i="8"/>
  <c r="B456" i="8"/>
  <c r="C456" i="8" s="1"/>
  <c r="L455" i="8"/>
  <c r="B455" i="8"/>
  <c r="C455" i="8" s="1"/>
  <c r="L454" i="8"/>
  <c r="B454" i="8"/>
  <c r="C454" i="8" s="1"/>
  <c r="L453" i="8"/>
  <c r="B453" i="8"/>
  <c r="C453" i="8" s="1"/>
  <c r="L452" i="8"/>
  <c r="B452" i="8"/>
  <c r="C452" i="8" s="1"/>
  <c r="L451" i="8"/>
  <c r="B451" i="8"/>
  <c r="C451" i="8" s="1"/>
  <c r="L450" i="8"/>
  <c r="B450" i="8"/>
  <c r="C450" i="8" s="1"/>
  <c r="L449" i="8"/>
  <c r="B449" i="8"/>
  <c r="C449" i="8" s="1"/>
  <c r="L448" i="8"/>
  <c r="B448" i="8"/>
  <c r="C448" i="8" s="1"/>
  <c r="L447" i="8"/>
  <c r="B447" i="8"/>
  <c r="C447" i="8" s="1"/>
  <c r="L446" i="8"/>
  <c r="B446" i="8"/>
  <c r="C446" i="8" s="1"/>
  <c r="L445" i="8"/>
  <c r="B445" i="8"/>
  <c r="C445" i="8" s="1"/>
  <c r="L444" i="8"/>
  <c r="B444" i="8"/>
  <c r="C444" i="8" s="1"/>
  <c r="L443" i="8"/>
  <c r="B443" i="8"/>
  <c r="C443" i="8" s="1"/>
  <c r="L442" i="8"/>
  <c r="B442" i="8"/>
  <c r="C442" i="8" s="1"/>
  <c r="L441" i="8"/>
  <c r="B441" i="8"/>
  <c r="C441" i="8" s="1"/>
  <c r="L440" i="8"/>
  <c r="B440" i="8"/>
  <c r="C440" i="8" s="1"/>
  <c r="L439" i="8"/>
  <c r="B439" i="8"/>
  <c r="C439" i="8" s="1"/>
  <c r="L438" i="8"/>
  <c r="B438" i="8"/>
  <c r="C438" i="8" s="1"/>
  <c r="L437" i="8"/>
  <c r="B437" i="8"/>
  <c r="C437" i="8" s="1"/>
  <c r="L436" i="8"/>
  <c r="B436" i="8"/>
  <c r="C436" i="8" s="1"/>
  <c r="L435" i="8"/>
  <c r="B435" i="8"/>
  <c r="C435" i="8" s="1"/>
  <c r="L434" i="8"/>
  <c r="B434" i="8"/>
  <c r="C434" i="8" s="1"/>
  <c r="L433" i="8"/>
  <c r="B433" i="8"/>
  <c r="C433" i="8" s="1"/>
  <c r="L432" i="8"/>
  <c r="B432" i="8"/>
  <c r="C432" i="8" s="1"/>
  <c r="L431" i="8"/>
  <c r="B431" i="8"/>
  <c r="C431" i="8" s="1"/>
  <c r="L430" i="8"/>
  <c r="B430" i="8"/>
  <c r="C430" i="8" s="1"/>
  <c r="L429" i="8"/>
  <c r="B429" i="8"/>
  <c r="C429" i="8" s="1"/>
  <c r="L428" i="8"/>
  <c r="B428" i="8"/>
  <c r="C428" i="8" s="1"/>
  <c r="L427" i="8"/>
  <c r="B427" i="8"/>
  <c r="C427" i="8" s="1"/>
  <c r="L426" i="8"/>
  <c r="B426" i="8"/>
  <c r="C426" i="8" s="1"/>
  <c r="L425" i="8"/>
  <c r="B425" i="8"/>
  <c r="C425" i="8" s="1"/>
  <c r="L424" i="8"/>
  <c r="B424" i="8"/>
  <c r="C424" i="8" s="1"/>
  <c r="L423" i="8"/>
  <c r="B423" i="8"/>
  <c r="C423" i="8" s="1"/>
  <c r="L422" i="8"/>
  <c r="B422" i="8"/>
  <c r="C422" i="8" s="1"/>
  <c r="L421" i="8"/>
  <c r="B421" i="8"/>
  <c r="C421" i="8" s="1"/>
  <c r="L420" i="8"/>
  <c r="B420" i="8"/>
  <c r="C420" i="8" s="1"/>
  <c r="L419" i="8"/>
  <c r="B419" i="8"/>
  <c r="C419" i="8" s="1"/>
  <c r="L418" i="8"/>
  <c r="B418" i="8"/>
  <c r="C418" i="8" s="1"/>
  <c r="L417" i="8"/>
  <c r="B417" i="8"/>
  <c r="C417" i="8" s="1"/>
  <c r="L416" i="8"/>
  <c r="B416" i="8"/>
  <c r="C416" i="8" s="1"/>
  <c r="L415" i="8"/>
  <c r="B415" i="8"/>
  <c r="C415" i="8" s="1"/>
  <c r="L414" i="8"/>
  <c r="B414" i="8"/>
  <c r="C414" i="8" s="1"/>
  <c r="L413" i="8"/>
  <c r="B413" i="8"/>
  <c r="C413" i="8" s="1"/>
  <c r="L412" i="8"/>
  <c r="B412" i="8"/>
  <c r="C412" i="8" s="1"/>
  <c r="L411" i="8"/>
  <c r="B411" i="8"/>
  <c r="C411" i="8" s="1"/>
  <c r="L410" i="8"/>
  <c r="B410" i="8"/>
  <c r="C410" i="8" s="1"/>
  <c r="L409" i="8"/>
  <c r="B409" i="8"/>
  <c r="C409" i="8" s="1"/>
  <c r="L408" i="8"/>
  <c r="B408" i="8"/>
  <c r="C408" i="8" s="1"/>
  <c r="L407" i="8"/>
  <c r="B407" i="8"/>
  <c r="C407" i="8" s="1"/>
  <c r="L406" i="8"/>
  <c r="B406" i="8"/>
  <c r="C406" i="8" s="1"/>
  <c r="L405" i="8"/>
  <c r="B405" i="8"/>
  <c r="C405" i="8" s="1"/>
  <c r="L404" i="8"/>
  <c r="B404" i="8"/>
  <c r="C404" i="8" s="1"/>
  <c r="L403" i="8"/>
  <c r="B403" i="8"/>
  <c r="C403" i="8" s="1"/>
  <c r="L402" i="8"/>
  <c r="B402" i="8"/>
  <c r="C402" i="8" s="1"/>
  <c r="L401" i="8"/>
  <c r="B401" i="8"/>
  <c r="C401" i="8" s="1"/>
  <c r="L400" i="8"/>
  <c r="B400" i="8"/>
  <c r="C400" i="8" s="1"/>
  <c r="L399" i="8"/>
  <c r="B399" i="8"/>
  <c r="C399" i="8" s="1"/>
  <c r="L398" i="8"/>
  <c r="B398" i="8"/>
  <c r="C398" i="8" s="1"/>
  <c r="L397" i="8"/>
  <c r="B397" i="8"/>
  <c r="C397" i="8" s="1"/>
  <c r="L396" i="8"/>
  <c r="B396" i="8"/>
  <c r="C396" i="8" s="1"/>
  <c r="L395" i="8"/>
  <c r="B395" i="8"/>
  <c r="C395" i="8" s="1"/>
  <c r="L394" i="8"/>
  <c r="B394" i="8"/>
  <c r="C394" i="8" s="1"/>
  <c r="L393" i="8"/>
  <c r="B393" i="8"/>
  <c r="C393" i="8" s="1"/>
  <c r="L392" i="8"/>
  <c r="B392" i="8"/>
  <c r="C392" i="8" s="1"/>
  <c r="L391" i="8"/>
  <c r="B391" i="8"/>
  <c r="C391" i="8" s="1"/>
  <c r="L390" i="8"/>
  <c r="B390" i="8"/>
  <c r="C390" i="8" s="1"/>
  <c r="L389" i="8"/>
  <c r="B389" i="8"/>
  <c r="C389" i="8" s="1"/>
  <c r="L388" i="8"/>
  <c r="B388" i="8"/>
  <c r="C388" i="8" s="1"/>
  <c r="L387" i="8"/>
  <c r="B387" i="8"/>
  <c r="C387" i="8" s="1"/>
  <c r="L386" i="8"/>
  <c r="B386" i="8"/>
  <c r="C386" i="8" s="1"/>
  <c r="L385" i="8"/>
  <c r="B385" i="8"/>
  <c r="C385" i="8" s="1"/>
  <c r="L384" i="8"/>
  <c r="B384" i="8"/>
  <c r="C384" i="8" s="1"/>
  <c r="L383" i="8"/>
  <c r="B383" i="8"/>
  <c r="C383" i="8" s="1"/>
  <c r="L382" i="8"/>
  <c r="B382" i="8"/>
  <c r="C382" i="8" s="1"/>
  <c r="L381" i="8"/>
  <c r="B381" i="8"/>
  <c r="C381" i="8" s="1"/>
  <c r="L380" i="8"/>
  <c r="B380" i="8"/>
  <c r="C380" i="8" s="1"/>
  <c r="L379" i="8"/>
  <c r="B379" i="8"/>
  <c r="C379" i="8" s="1"/>
  <c r="L378" i="8"/>
  <c r="B378" i="8"/>
  <c r="C378" i="8" s="1"/>
  <c r="L377" i="8"/>
  <c r="B377" i="8"/>
  <c r="C377" i="8" s="1"/>
  <c r="L376" i="8"/>
  <c r="B376" i="8"/>
  <c r="C376" i="8" s="1"/>
  <c r="L375" i="8"/>
  <c r="B375" i="8"/>
  <c r="C375" i="8" s="1"/>
  <c r="L374" i="8"/>
  <c r="B374" i="8"/>
  <c r="C374" i="8" s="1"/>
  <c r="L373" i="8"/>
  <c r="B373" i="8"/>
  <c r="C373" i="8" s="1"/>
  <c r="L372" i="8"/>
  <c r="B372" i="8"/>
  <c r="C372" i="8" s="1"/>
  <c r="L371" i="8"/>
  <c r="B371" i="8"/>
  <c r="C371" i="8" s="1"/>
  <c r="L370" i="8"/>
  <c r="B370" i="8"/>
  <c r="C370" i="8" s="1"/>
  <c r="L369" i="8"/>
  <c r="B369" i="8"/>
  <c r="C369" i="8" s="1"/>
  <c r="L368" i="8"/>
  <c r="B368" i="8"/>
  <c r="C368" i="8" s="1"/>
  <c r="L367" i="8"/>
  <c r="B367" i="8"/>
  <c r="C367" i="8" s="1"/>
  <c r="L366" i="8"/>
  <c r="B366" i="8"/>
  <c r="C366" i="8" s="1"/>
  <c r="L365" i="8"/>
  <c r="B365" i="8"/>
  <c r="C365" i="8" s="1"/>
  <c r="L364" i="8"/>
  <c r="B364" i="8"/>
  <c r="C364" i="8" s="1"/>
  <c r="L363" i="8"/>
  <c r="B363" i="8"/>
  <c r="C363" i="8" s="1"/>
  <c r="L362" i="8"/>
  <c r="B362" i="8"/>
  <c r="C362" i="8" s="1"/>
  <c r="L361" i="8"/>
  <c r="B361" i="8"/>
  <c r="C361" i="8" s="1"/>
  <c r="L360" i="8"/>
  <c r="B360" i="8"/>
  <c r="C360" i="8" s="1"/>
  <c r="L359" i="8"/>
  <c r="B359" i="8"/>
  <c r="C359" i="8" s="1"/>
  <c r="L358" i="8"/>
  <c r="B358" i="8"/>
  <c r="C358" i="8" s="1"/>
  <c r="L357" i="8"/>
  <c r="B357" i="8"/>
  <c r="C357" i="8" s="1"/>
  <c r="L356" i="8"/>
  <c r="B356" i="8"/>
  <c r="C356" i="8" s="1"/>
  <c r="L355" i="8"/>
  <c r="B355" i="8"/>
  <c r="C355" i="8" s="1"/>
  <c r="L354" i="8"/>
  <c r="B354" i="8"/>
  <c r="C354" i="8" s="1"/>
  <c r="L353" i="8"/>
  <c r="B353" i="8"/>
  <c r="C353" i="8" s="1"/>
  <c r="L352" i="8"/>
  <c r="B352" i="8"/>
  <c r="C352" i="8" s="1"/>
  <c r="L351" i="8"/>
  <c r="B351" i="8"/>
  <c r="C351" i="8" s="1"/>
  <c r="L350" i="8"/>
  <c r="B350" i="8"/>
  <c r="C350" i="8" s="1"/>
  <c r="L349" i="8"/>
  <c r="B349" i="8"/>
  <c r="C349" i="8" s="1"/>
  <c r="L348" i="8"/>
  <c r="B348" i="8"/>
  <c r="C348" i="8" s="1"/>
  <c r="L347" i="8"/>
  <c r="B347" i="8"/>
  <c r="C347" i="8" s="1"/>
  <c r="L346" i="8"/>
  <c r="B346" i="8"/>
  <c r="C346" i="8" s="1"/>
  <c r="L345" i="8"/>
  <c r="B345" i="8"/>
  <c r="C345" i="8" s="1"/>
  <c r="L344" i="8"/>
  <c r="B344" i="8"/>
  <c r="C344" i="8" s="1"/>
  <c r="L343" i="8"/>
  <c r="B343" i="8"/>
  <c r="C343" i="8" s="1"/>
  <c r="L342" i="8"/>
  <c r="B342" i="8"/>
  <c r="C342" i="8" s="1"/>
  <c r="L341" i="8"/>
  <c r="B341" i="8"/>
  <c r="C341" i="8" s="1"/>
  <c r="L340" i="8"/>
  <c r="B340" i="8"/>
  <c r="C340" i="8" s="1"/>
  <c r="L339" i="8"/>
  <c r="B339" i="8"/>
  <c r="C339" i="8" s="1"/>
  <c r="L338" i="8"/>
  <c r="B338" i="8"/>
  <c r="C338" i="8" s="1"/>
  <c r="L337" i="8"/>
  <c r="B337" i="8"/>
  <c r="C337" i="8" s="1"/>
  <c r="L336" i="8"/>
  <c r="B336" i="8"/>
  <c r="C336" i="8" s="1"/>
  <c r="L335" i="8"/>
  <c r="B335" i="8"/>
  <c r="C335" i="8" s="1"/>
  <c r="L334" i="8"/>
  <c r="B334" i="8"/>
  <c r="C334" i="8" s="1"/>
  <c r="L333" i="8"/>
  <c r="B333" i="8"/>
  <c r="C333" i="8" s="1"/>
  <c r="L332" i="8"/>
  <c r="B332" i="8"/>
  <c r="C332" i="8" s="1"/>
  <c r="L331" i="8"/>
  <c r="B331" i="8"/>
  <c r="C331" i="8" s="1"/>
  <c r="L330" i="8"/>
  <c r="B330" i="8"/>
  <c r="C330" i="8" s="1"/>
  <c r="L329" i="8"/>
  <c r="B329" i="8"/>
  <c r="C329" i="8" s="1"/>
  <c r="L328" i="8"/>
  <c r="B328" i="8"/>
  <c r="C328" i="8" s="1"/>
  <c r="L327" i="8"/>
  <c r="B327" i="8"/>
  <c r="C327" i="8" s="1"/>
  <c r="L326" i="8"/>
  <c r="B326" i="8"/>
  <c r="C326" i="8" s="1"/>
  <c r="L325" i="8"/>
  <c r="B325" i="8"/>
  <c r="C325" i="8" s="1"/>
  <c r="L324" i="8"/>
  <c r="B324" i="8"/>
  <c r="C324" i="8" s="1"/>
  <c r="L323" i="8"/>
  <c r="B323" i="8"/>
  <c r="C323" i="8" s="1"/>
  <c r="L322" i="8"/>
  <c r="B322" i="8"/>
  <c r="C322" i="8" s="1"/>
  <c r="L321" i="8"/>
  <c r="B321" i="8"/>
  <c r="C321" i="8" s="1"/>
  <c r="L320" i="8"/>
  <c r="B320" i="8"/>
  <c r="C320" i="8" s="1"/>
  <c r="L319" i="8"/>
  <c r="B319" i="8"/>
  <c r="C319" i="8" s="1"/>
  <c r="L318" i="8"/>
  <c r="B318" i="8"/>
  <c r="C318" i="8" s="1"/>
  <c r="L317" i="8"/>
  <c r="B317" i="8"/>
  <c r="C317" i="8" s="1"/>
  <c r="L316" i="8"/>
  <c r="B316" i="8"/>
  <c r="C316" i="8" s="1"/>
  <c r="L315" i="8"/>
  <c r="B315" i="8"/>
  <c r="C315" i="8" s="1"/>
  <c r="L314" i="8"/>
  <c r="B314" i="8"/>
  <c r="C314" i="8" s="1"/>
  <c r="L313" i="8"/>
  <c r="B313" i="8"/>
  <c r="C313" i="8" s="1"/>
  <c r="L312" i="8"/>
  <c r="B312" i="8"/>
  <c r="C312" i="8" s="1"/>
  <c r="L311" i="8"/>
  <c r="B311" i="8"/>
  <c r="C311" i="8" s="1"/>
  <c r="L310" i="8"/>
  <c r="B310" i="8"/>
  <c r="C310" i="8" s="1"/>
  <c r="L309" i="8"/>
  <c r="B309" i="8"/>
  <c r="C309" i="8" s="1"/>
  <c r="L308" i="8"/>
  <c r="B308" i="8"/>
  <c r="C308" i="8" s="1"/>
  <c r="L307" i="8"/>
  <c r="B307" i="8"/>
  <c r="C307" i="8" s="1"/>
  <c r="L306" i="8"/>
  <c r="B306" i="8"/>
  <c r="C306" i="8" s="1"/>
  <c r="L305" i="8"/>
  <c r="B305" i="8"/>
  <c r="C305" i="8" s="1"/>
  <c r="L304" i="8"/>
  <c r="B304" i="8"/>
  <c r="C304" i="8" s="1"/>
  <c r="L303" i="8"/>
  <c r="B303" i="8"/>
  <c r="C303" i="8" s="1"/>
  <c r="L302" i="8"/>
  <c r="B302" i="8"/>
  <c r="C302" i="8" s="1"/>
  <c r="L301" i="8"/>
  <c r="B301" i="8"/>
  <c r="C301" i="8" s="1"/>
  <c r="L300" i="8"/>
  <c r="B300" i="8"/>
  <c r="C300" i="8" s="1"/>
  <c r="L299" i="8"/>
  <c r="B299" i="8"/>
  <c r="C299" i="8" s="1"/>
  <c r="L298" i="8"/>
  <c r="B298" i="8"/>
  <c r="C298" i="8" s="1"/>
  <c r="L297" i="8"/>
  <c r="B297" i="8"/>
  <c r="C297" i="8" s="1"/>
  <c r="L296" i="8"/>
  <c r="B296" i="8"/>
  <c r="C296" i="8" s="1"/>
  <c r="L295" i="8"/>
  <c r="B295" i="8"/>
  <c r="C295" i="8" s="1"/>
  <c r="L294" i="8"/>
  <c r="B294" i="8"/>
  <c r="C294" i="8" s="1"/>
  <c r="L293" i="8"/>
  <c r="B293" i="8"/>
  <c r="C293" i="8" s="1"/>
  <c r="L292" i="8"/>
  <c r="B292" i="8"/>
  <c r="C292" i="8" s="1"/>
  <c r="L291" i="8"/>
  <c r="B291" i="8"/>
  <c r="C291" i="8" s="1"/>
  <c r="L290" i="8"/>
  <c r="B290" i="8"/>
  <c r="C290" i="8" s="1"/>
  <c r="L289" i="8"/>
  <c r="B289" i="8"/>
  <c r="C289" i="8" s="1"/>
  <c r="L288" i="8"/>
  <c r="B288" i="8"/>
  <c r="C288" i="8" s="1"/>
  <c r="L287" i="8"/>
  <c r="B287" i="8"/>
  <c r="C287" i="8" s="1"/>
  <c r="L286" i="8"/>
  <c r="B286" i="8"/>
  <c r="C286" i="8" s="1"/>
  <c r="L285" i="8"/>
  <c r="B285" i="8"/>
  <c r="C285" i="8" s="1"/>
  <c r="L284" i="8"/>
  <c r="B284" i="8"/>
  <c r="C284" i="8" s="1"/>
  <c r="L283" i="8"/>
  <c r="B283" i="8"/>
  <c r="C283" i="8" s="1"/>
  <c r="L282" i="8"/>
  <c r="B282" i="8"/>
  <c r="C282" i="8" s="1"/>
  <c r="L281" i="8"/>
  <c r="B281" i="8"/>
  <c r="C281" i="8" s="1"/>
  <c r="L280" i="8"/>
  <c r="B280" i="8"/>
  <c r="C280" i="8" s="1"/>
  <c r="L279" i="8"/>
  <c r="B279" i="8"/>
  <c r="C279" i="8" s="1"/>
  <c r="L278" i="8"/>
  <c r="B278" i="8"/>
  <c r="C278" i="8" s="1"/>
  <c r="L277" i="8"/>
  <c r="B277" i="8"/>
  <c r="C277" i="8" s="1"/>
  <c r="L276" i="8"/>
  <c r="B276" i="8"/>
  <c r="C276" i="8" s="1"/>
  <c r="L275" i="8"/>
  <c r="B275" i="8"/>
  <c r="C275" i="8" s="1"/>
  <c r="L274" i="8"/>
  <c r="B274" i="8"/>
  <c r="C274" i="8" s="1"/>
  <c r="L273" i="8"/>
  <c r="B273" i="8"/>
  <c r="C273" i="8" s="1"/>
  <c r="L272" i="8"/>
  <c r="B272" i="8"/>
  <c r="C272" i="8" s="1"/>
  <c r="L271" i="8"/>
  <c r="B271" i="8"/>
  <c r="C271" i="8" s="1"/>
  <c r="L270" i="8"/>
  <c r="B270" i="8"/>
  <c r="C270" i="8" s="1"/>
  <c r="L269" i="8"/>
  <c r="B269" i="8"/>
  <c r="C269" i="8" s="1"/>
  <c r="L268" i="8"/>
  <c r="B268" i="8"/>
  <c r="C268" i="8" s="1"/>
  <c r="L267" i="8"/>
  <c r="B267" i="8"/>
  <c r="C267" i="8" s="1"/>
  <c r="L266" i="8"/>
  <c r="B266" i="8"/>
  <c r="C266" i="8" s="1"/>
  <c r="L265" i="8"/>
  <c r="B265" i="8"/>
  <c r="C265" i="8" s="1"/>
  <c r="L264" i="8"/>
  <c r="B264" i="8"/>
  <c r="C264" i="8" s="1"/>
  <c r="L263" i="8"/>
  <c r="B263" i="8"/>
  <c r="C263" i="8" s="1"/>
  <c r="L262" i="8"/>
  <c r="B262" i="8"/>
  <c r="C262" i="8" s="1"/>
  <c r="L261" i="8"/>
  <c r="B261" i="8"/>
  <c r="C261" i="8" s="1"/>
  <c r="L260" i="8"/>
  <c r="B260" i="8"/>
  <c r="C260" i="8" s="1"/>
  <c r="L259" i="8"/>
  <c r="B259" i="8"/>
  <c r="C259" i="8" s="1"/>
  <c r="L258" i="8"/>
  <c r="B258" i="8"/>
  <c r="C258" i="8" s="1"/>
  <c r="L257" i="8"/>
  <c r="B257" i="8"/>
  <c r="C257" i="8" s="1"/>
  <c r="L256" i="8"/>
  <c r="B256" i="8"/>
  <c r="C256" i="8" s="1"/>
  <c r="L255" i="8"/>
  <c r="B255" i="8"/>
  <c r="C255" i="8" s="1"/>
  <c r="L254" i="8"/>
  <c r="B254" i="8"/>
  <c r="C254" i="8" s="1"/>
  <c r="L253" i="8"/>
  <c r="B253" i="8"/>
  <c r="C253" i="8" s="1"/>
  <c r="L252" i="8"/>
  <c r="B252" i="8"/>
  <c r="C252" i="8" s="1"/>
  <c r="L251" i="8"/>
  <c r="B251" i="8"/>
  <c r="C251" i="8" s="1"/>
  <c r="L250" i="8"/>
  <c r="B250" i="8"/>
  <c r="C250" i="8" s="1"/>
  <c r="L249" i="8"/>
  <c r="B249" i="8"/>
  <c r="C249" i="8" s="1"/>
  <c r="L248" i="8"/>
  <c r="B248" i="8"/>
  <c r="C248" i="8" s="1"/>
  <c r="L247" i="8"/>
  <c r="B247" i="8"/>
  <c r="C247" i="8" s="1"/>
  <c r="L246" i="8"/>
  <c r="B246" i="8"/>
  <c r="C246" i="8" s="1"/>
  <c r="L245" i="8"/>
  <c r="B245" i="8"/>
  <c r="C245" i="8" s="1"/>
  <c r="L244" i="8"/>
  <c r="B244" i="8"/>
  <c r="C244" i="8" s="1"/>
  <c r="L243" i="8"/>
  <c r="B243" i="8"/>
  <c r="C243" i="8" s="1"/>
  <c r="L242" i="8"/>
  <c r="B242" i="8"/>
  <c r="C242" i="8" s="1"/>
  <c r="L241" i="8"/>
  <c r="B241" i="8"/>
  <c r="C241" i="8" s="1"/>
  <c r="L240" i="8"/>
  <c r="B240" i="8"/>
  <c r="C240" i="8" s="1"/>
  <c r="L239" i="8"/>
  <c r="B239" i="8"/>
  <c r="C239" i="8" s="1"/>
  <c r="L238" i="8"/>
  <c r="B238" i="8"/>
  <c r="C238" i="8" s="1"/>
  <c r="L237" i="8"/>
  <c r="B237" i="8"/>
  <c r="C237" i="8" s="1"/>
  <c r="L236" i="8"/>
  <c r="B236" i="8"/>
  <c r="C236" i="8" s="1"/>
  <c r="L235" i="8"/>
  <c r="B235" i="8"/>
  <c r="C235" i="8" s="1"/>
  <c r="L234" i="8"/>
  <c r="B234" i="8"/>
  <c r="C234" i="8" s="1"/>
  <c r="L233" i="8"/>
  <c r="B233" i="8"/>
  <c r="C233" i="8" s="1"/>
  <c r="L232" i="8"/>
  <c r="B232" i="8"/>
  <c r="C232" i="8" s="1"/>
  <c r="L231" i="8"/>
  <c r="B231" i="8"/>
  <c r="C231" i="8" s="1"/>
  <c r="L230" i="8"/>
  <c r="B230" i="8"/>
  <c r="C230" i="8" s="1"/>
  <c r="L229" i="8"/>
  <c r="B229" i="8"/>
  <c r="C229" i="8" s="1"/>
  <c r="L228" i="8"/>
  <c r="B228" i="8"/>
  <c r="C228" i="8" s="1"/>
  <c r="L227" i="8"/>
  <c r="B227" i="8"/>
  <c r="C227" i="8" s="1"/>
  <c r="L226" i="8"/>
  <c r="B226" i="8"/>
  <c r="C226" i="8" s="1"/>
  <c r="L225" i="8"/>
  <c r="B225" i="8"/>
  <c r="C225" i="8" s="1"/>
  <c r="L224" i="8"/>
  <c r="B224" i="8"/>
  <c r="C224" i="8" s="1"/>
  <c r="L223" i="8"/>
  <c r="B223" i="8"/>
  <c r="C223" i="8" s="1"/>
  <c r="L222" i="8"/>
  <c r="B222" i="8"/>
  <c r="C222" i="8" s="1"/>
  <c r="L221" i="8"/>
  <c r="B221" i="8"/>
  <c r="C221" i="8" s="1"/>
  <c r="L220" i="8"/>
  <c r="B220" i="8"/>
  <c r="C220" i="8" s="1"/>
  <c r="L219" i="8"/>
  <c r="B219" i="8"/>
  <c r="C219" i="8" s="1"/>
  <c r="L218" i="8"/>
  <c r="B218" i="8"/>
  <c r="C218" i="8" s="1"/>
  <c r="L217" i="8"/>
  <c r="B217" i="8"/>
  <c r="C217" i="8" s="1"/>
  <c r="L216" i="8"/>
  <c r="B216" i="8"/>
  <c r="C216" i="8" s="1"/>
  <c r="L215" i="8"/>
  <c r="B215" i="8"/>
  <c r="C215" i="8" s="1"/>
  <c r="L214" i="8"/>
  <c r="B214" i="8"/>
  <c r="C214" i="8" s="1"/>
  <c r="L213" i="8"/>
  <c r="B213" i="8"/>
  <c r="C213" i="8" s="1"/>
  <c r="L212" i="8"/>
  <c r="B212" i="8"/>
  <c r="C212" i="8" s="1"/>
  <c r="L211" i="8"/>
  <c r="B211" i="8"/>
  <c r="C211" i="8" s="1"/>
  <c r="L210" i="8"/>
  <c r="B210" i="8"/>
  <c r="C210" i="8" s="1"/>
  <c r="L209" i="8"/>
  <c r="B209" i="8"/>
  <c r="C209" i="8" s="1"/>
  <c r="L208" i="8"/>
  <c r="B208" i="8"/>
  <c r="C208" i="8" s="1"/>
  <c r="L207" i="8"/>
  <c r="B207" i="8"/>
  <c r="C207" i="8" s="1"/>
  <c r="L206" i="8"/>
  <c r="B206" i="8"/>
  <c r="C206" i="8" s="1"/>
  <c r="L205" i="8"/>
  <c r="B205" i="8"/>
  <c r="C205" i="8" s="1"/>
  <c r="L204" i="8"/>
  <c r="B204" i="8"/>
  <c r="C204" i="8" s="1"/>
  <c r="L203" i="8"/>
  <c r="B203" i="8"/>
  <c r="C203" i="8" s="1"/>
  <c r="L202" i="8"/>
  <c r="B202" i="8"/>
  <c r="C202" i="8" s="1"/>
  <c r="L201" i="8"/>
  <c r="B201" i="8"/>
  <c r="C201" i="8" s="1"/>
  <c r="L200" i="8"/>
  <c r="B200" i="8"/>
  <c r="C200" i="8" s="1"/>
  <c r="L199" i="8"/>
  <c r="B199" i="8"/>
  <c r="C199" i="8" s="1"/>
  <c r="L198" i="8"/>
  <c r="B198" i="8"/>
  <c r="C198" i="8" s="1"/>
  <c r="L197" i="8"/>
  <c r="B197" i="8"/>
  <c r="C197" i="8" s="1"/>
  <c r="L196" i="8"/>
  <c r="B196" i="8"/>
  <c r="C196" i="8" s="1"/>
  <c r="L195" i="8"/>
  <c r="B195" i="8"/>
  <c r="C195" i="8" s="1"/>
  <c r="L194" i="8"/>
  <c r="B194" i="8"/>
  <c r="C194" i="8" s="1"/>
  <c r="L193" i="8"/>
  <c r="B193" i="8"/>
  <c r="C193" i="8" s="1"/>
  <c r="L192" i="8"/>
  <c r="B192" i="8"/>
  <c r="C192" i="8" s="1"/>
  <c r="L191" i="8"/>
  <c r="B191" i="8"/>
  <c r="C191" i="8" s="1"/>
  <c r="L190" i="8"/>
  <c r="B190" i="8"/>
  <c r="C190" i="8" s="1"/>
  <c r="L189" i="8"/>
  <c r="B189" i="8"/>
  <c r="C189" i="8" s="1"/>
  <c r="L188" i="8"/>
  <c r="B188" i="8"/>
  <c r="C188" i="8" s="1"/>
  <c r="L187" i="8"/>
  <c r="B187" i="8"/>
  <c r="C187" i="8" s="1"/>
  <c r="L186" i="8"/>
  <c r="B186" i="8"/>
  <c r="C186" i="8" s="1"/>
  <c r="L185" i="8"/>
  <c r="B185" i="8"/>
  <c r="C185" i="8" s="1"/>
  <c r="L184" i="8"/>
  <c r="B184" i="8"/>
  <c r="C184" i="8" s="1"/>
  <c r="L183" i="8"/>
  <c r="B183" i="8"/>
  <c r="C183" i="8" s="1"/>
  <c r="L182" i="8"/>
  <c r="B182" i="8"/>
  <c r="C182" i="8" s="1"/>
  <c r="L181" i="8"/>
  <c r="B181" i="8"/>
  <c r="C181" i="8" s="1"/>
  <c r="L180" i="8"/>
  <c r="B180" i="8"/>
  <c r="C180" i="8" s="1"/>
  <c r="L179" i="8"/>
  <c r="B179" i="8"/>
  <c r="C179" i="8" s="1"/>
  <c r="L178" i="8"/>
  <c r="B178" i="8"/>
  <c r="C178" i="8" s="1"/>
  <c r="L177" i="8"/>
  <c r="B177" i="8"/>
  <c r="C177" i="8" s="1"/>
  <c r="L176" i="8"/>
  <c r="B176" i="8"/>
  <c r="C176" i="8" s="1"/>
  <c r="L175" i="8"/>
  <c r="B175" i="8"/>
  <c r="C175" i="8" s="1"/>
  <c r="L174" i="8"/>
  <c r="B174" i="8"/>
  <c r="C174" i="8" s="1"/>
  <c r="L173" i="8"/>
  <c r="B173" i="8"/>
  <c r="C173" i="8" s="1"/>
  <c r="L172" i="8"/>
  <c r="B172" i="8"/>
  <c r="C172" i="8" s="1"/>
  <c r="L171" i="8"/>
  <c r="B171" i="8"/>
  <c r="C171" i="8" s="1"/>
  <c r="L170" i="8"/>
  <c r="B170" i="8"/>
  <c r="C170" i="8" s="1"/>
  <c r="L169" i="8"/>
  <c r="B169" i="8"/>
  <c r="C169" i="8" s="1"/>
  <c r="L168" i="8"/>
  <c r="B168" i="8"/>
  <c r="C168" i="8" s="1"/>
  <c r="L167" i="8"/>
  <c r="B167" i="8"/>
  <c r="C167" i="8" s="1"/>
  <c r="L166" i="8"/>
  <c r="B166" i="8"/>
  <c r="C166" i="8" s="1"/>
  <c r="L165" i="8"/>
  <c r="B165" i="8"/>
  <c r="C165" i="8" s="1"/>
  <c r="L164" i="8"/>
  <c r="B164" i="8"/>
  <c r="C164" i="8" s="1"/>
  <c r="L163" i="8"/>
  <c r="B163" i="8"/>
  <c r="C163" i="8" s="1"/>
  <c r="L162" i="8"/>
  <c r="B162" i="8"/>
  <c r="C162" i="8" s="1"/>
  <c r="L161" i="8"/>
  <c r="B161" i="8"/>
  <c r="C161" i="8" s="1"/>
  <c r="L160" i="8"/>
  <c r="B160" i="8"/>
  <c r="C160" i="8" s="1"/>
  <c r="L159" i="8"/>
  <c r="B159" i="8"/>
  <c r="C159" i="8" s="1"/>
  <c r="L158" i="8"/>
  <c r="B158" i="8"/>
  <c r="C158" i="8" s="1"/>
  <c r="L157" i="8"/>
  <c r="B157" i="8"/>
  <c r="C157" i="8" s="1"/>
  <c r="L156" i="8"/>
  <c r="B156" i="8"/>
  <c r="C156" i="8" s="1"/>
  <c r="L155" i="8"/>
  <c r="B155" i="8"/>
  <c r="C155" i="8" s="1"/>
  <c r="L154" i="8"/>
  <c r="B154" i="8"/>
  <c r="C154" i="8" s="1"/>
  <c r="L153" i="8"/>
  <c r="B153" i="8"/>
  <c r="C153" i="8" s="1"/>
  <c r="L152" i="8"/>
  <c r="B152" i="8"/>
  <c r="C152" i="8" s="1"/>
  <c r="L151" i="8"/>
  <c r="B151" i="8"/>
  <c r="C151" i="8" s="1"/>
  <c r="L150" i="8"/>
  <c r="B150" i="8"/>
  <c r="C150" i="8" s="1"/>
  <c r="L149" i="8"/>
  <c r="B149" i="8"/>
  <c r="C149" i="8" s="1"/>
  <c r="L148" i="8"/>
  <c r="B148" i="8"/>
  <c r="C148" i="8" s="1"/>
  <c r="L147" i="8"/>
  <c r="B147" i="8"/>
  <c r="C147" i="8" s="1"/>
  <c r="L146" i="8"/>
  <c r="B146" i="8"/>
  <c r="C146" i="8" s="1"/>
  <c r="L145" i="8"/>
  <c r="B145" i="8"/>
  <c r="C145" i="8" s="1"/>
  <c r="L144" i="8"/>
  <c r="B144" i="8"/>
  <c r="C144" i="8" s="1"/>
  <c r="L143" i="8"/>
  <c r="B143" i="8"/>
  <c r="C143" i="8" s="1"/>
  <c r="L142" i="8"/>
  <c r="B142" i="8"/>
  <c r="C142" i="8" s="1"/>
  <c r="L141" i="8"/>
  <c r="B141" i="8"/>
  <c r="C141" i="8" s="1"/>
  <c r="L140" i="8"/>
  <c r="B140" i="8"/>
  <c r="C140" i="8" s="1"/>
  <c r="L139" i="8"/>
  <c r="B139" i="8"/>
  <c r="C139" i="8" s="1"/>
  <c r="L138" i="8"/>
  <c r="B138" i="8"/>
  <c r="C138" i="8" s="1"/>
  <c r="L137" i="8"/>
  <c r="B137" i="8"/>
  <c r="C137" i="8" s="1"/>
  <c r="L136" i="8"/>
  <c r="B136" i="8"/>
  <c r="C136" i="8" s="1"/>
  <c r="L135" i="8"/>
  <c r="B135" i="8"/>
  <c r="C135" i="8" s="1"/>
  <c r="L134" i="8"/>
  <c r="B134" i="8"/>
  <c r="C134" i="8" s="1"/>
  <c r="L133" i="8"/>
  <c r="B133" i="8"/>
  <c r="C133" i="8" s="1"/>
  <c r="L132" i="8"/>
  <c r="B132" i="8"/>
  <c r="C132" i="8" s="1"/>
  <c r="L131" i="8"/>
  <c r="B131" i="8"/>
  <c r="C131" i="8" s="1"/>
  <c r="L130" i="8"/>
  <c r="B130" i="8"/>
  <c r="C130" i="8" s="1"/>
  <c r="L129" i="8"/>
  <c r="B129" i="8"/>
  <c r="C129" i="8" s="1"/>
  <c r="L128" i="8"/>
  <c r="B128" i="8"/>
  <c r="C128" i="8" s="1"/>
  <c r="L127" i="8"/>
  <c r="B127" i="8"/>
  <c r="C127" i="8" s="1"/>
  <c r="L125" i="8"/>
  <c r="B125" i="8"/>
  <c r="C125" i="8" s="1"/>
  <c r="L124" i="8"/>
  <c r="B124" i="8"/>
  <c r="C124" i="8" s="1"/>
  <c r="L123" i="8"/>
  <c r="B123" i="8"/>
  <c r="C123" i="8" s="1"/>
  <c r="L122" i="8"/>
  <c r="B122" i="8"/>
  <c r="C122" i="8" s="1"/>
  <c r="L121" i="8"/>
  <c r="B121" i="8"/>
  <c r="C121" i="8" s="1"/>
  <c r="L120" i="8"/>
  <c r="B120" i="8"/>
  <c r="C120" i="8" s="1"/>
  <c r="L119" i="8"/>
  <c r="B119" i="8"/>
  <c r="C119" i="8" s="1"/>
  <c r="L118" i="8"/>
  <c r="B118" i="8"/>
  <c r="C118" i="8" s="1"/>
  <c r="L117" i="8"/>
  <c r="B117" i="8"/>
  <c r="C117" i="8" s="1"/>
  <c r="L115" i="8"/>
  <c r="B115" i="8"/>
  <c r="C115" i="8" s="1"/>
  <c r="L114" i="8"/>
  <c r="B114" i="8"/>
  <c r="C114" i="8" s="1"/>
  <c r="L113" i="8"/>
  <c r="B113" i="8"/>
  <c r="C113" i="8" s="1"/>
  <c r="L112" i="8"/>
  <c r="B112" i="8"/>
  <c r="C112" i="8" s="1"/>
  <c r="L111" i="8"/>
  <c r="B111" i="8"/>
  <c r="C111" i="8" s="1"/>
  <c r="L110" i="8"/>
  <c r="B110" i="8"/>
  <c r="C110" i="8" s="1"/>
  <c r="L109" i="8"/>
  <c r="B109" i="8"/>
  <c r="C109" i="8" s="1"/>
  <c r="L108" i="8"/>
  <c r="B108" i="8"/>
  <c r="C108" i="8" s="1"/>
  <c r="L107" i="8"/>
  <c r="B107" i="8"/>
  <c r="C107" i="8" s="1"/>
  <c r="L105" i="8"/>
  <c r="B105" i="8"/>
  <c r="C105" i="8" s="1"/>
  <c r="L104" i="8"/>
  <c r="B104" i="8"/>
  <c r="C104" i="8" s="1"/>
  <c r="L103" i="8"/>
  <c r="B103" i="8"/>
  <c r="C103" i="8" s="1"/>
  <c r="L102" i="8"/>
  <c r="B102" i="8"/>
  <c r="C102" i="8" s="1"/>
  <c r="L101" i="8"/>
  <c r="B101" i="8"/>
  <c r="C101" i="8" s="1"/>
  <c r="L100" i="8"/>
  <c r="B100" i="8"/>
  <c r="C100" i="8" s="1"/>
  <c r="L99" i="8"/>
  <c r="B99" i="8"/>
  <c r="C99" i="8" s="1"/>
  <c r="L97" i="8"/>
  <c r="B97" i="8"/>
  <c r="C97" i="8" s="1"/>
  <c r="L96" i="8"/>
  <c r="B96" i="8"/>
  <c r="C96" i="8" s="1"/>
  <c r="L95" i="8"/>
  <c r="B95" i="8"/>
  <c r="C95" i="8" s="1"/>
  <c r="L94" i="8"/>
  <c r="B94" i="8"/>
  <c r="C94" i="8" s="1"/>
  <c r="L91" i="8"/>
  <c r="B91" i="8"/>
  <c r="C91" i="8" s="1"/>
  <c r="L90" i="8"/>
  <c r="B90" i="8"/>
  <c r="C90" i="8" s="1"/>
  <c r="L88" i="8"/>
  <c r="B88" i="8"/>
  <c r="C88" i="8" s="1"/>
  <c r="L87" i="8"/>
  <c r="B87" i="8"/>
  <c r="C87" i="8" s="1"/>
  <c r="L86" i="8"/>
  <c r="B86" i="8"/>
  <c r="C86" i="8" s="1"/>
  <c r="L84" i="8"/>
  <c r="B84" i="8"/>
  <c r="C84" i="8" s="1"/>
  <c r="L83" i="8"/>
  <c r="B83" i="8"/>
  <c r="C83" i="8" s="1"/>
  <c r="L82" i="8"/>
  <c r="B82" i="8"/>
  <c r="C82" i="8" s="1"/>
  <c r="L81" i="8"/>
  <c r="B81" i="8"/>
  <c r="C81" i="8" s="1"/>
  <c r="L80" i="8"/>
  <c r="B80" i="8"/>
  <c r="C80" i="8" s="1"/>
  <c r="L79" i="8"/>
  <c r="B79" i="8"/>
  <c r="C79" i="8" s="1"/>
  <c r="L78" i="8"/>
  <c r="B78" i="8"/>
  <c r="C78" i="8" s="1"/>
  <c r="L77" i="8"/>
  <c r="B77" i="8"/>
  <c r="C77" i="8" s="1"/>
  <c r="L75" i="8"/>
  <c r="B75" i="8"/>
  <c r="C75" i="8" s="1"/>
  <c r="L73" i="8"/>
  <c r="B73" i="8"/>
  <c r="C73" i="8" s="1"/>
  <c r="L72" i="8"/>
  <c r="B72" i="8"/>
  <c r="C72" i="8" s="1"/>
  <c r="L71" i="8"/>
  <c r="B71" i="8"/>
  <c r="C71" i="8" s="1"/>
  <c r="L70" i="8"/>
  <c r="B70" i="8"/>
  <c r="C70" i="8" s="1"/>
  <c r="L69" i="8"/>
  <c r="B69" i="8"/>
  <c r="C69" i="8" s="1"/>
  <c r="L68" i="8"/>
  <c r="B68" i="8"/>
  <c r="C68" i="8" s="1"/>
  <c r="L66" i="8"/>
  <c r="B66" i="8"/>
  <c r="C66" i="8" s="1"/>
  <c r="L65" i="8"/>
  <c r="B65" i="8"/>
  <c r="C65" i="8" s="1"/>
  <c r="L64" i="8"/>
  <c r="B64" i="8"/>
  <c r="C64" i="8" s="1"/>
  <c r="L63" i="8"/>
  <c r="B63" i="8"/>
  <c r="C63" i="8" s="1"/>
  <c r="L62" i="8"/>
  <c r="B62" i="8"/>
  <c r="C62" i="8" s="1"/>
  <c r="L61" i="8"/>
  <c r="B61" i="8"/>
  <c r="C61" i="8" s="1"/>
  <c r="L60" i="8"/>
  <c r="B60" i="8"/>
  <c r="C60" i="8" s="1"/>
  <c r="L59" i="8"/>
  <c r="B59" i="8"/>
  <c r="C59" i="8" s="1"/>
  <c r="L58" i="8"/>
  <c r="B58" i="8"/>
  <c r="C58" i="8" s="1"/>
  <c r="L57" i="8"/>
  <c r="B57" i="8"/>
  <c r="C57" i="8" s="1"/>
  <c r="L56" i="8"/>
  <c r="B56" i="8"/>
  <c r="C56" i="8" s="1"/>
  <c r="L55" i="8"/>
  <c r="B55" i="8"/>
  <c r="C55" i="8" s="1"/>
  <c r="L54" i="8"/>
  <c r="B54" i="8"/>
  <c r="C54" i="8" s="1"/>
  <c r="L53" i="8"/>
  <c r="B53" i="8"/>
  <c r="C53" i="8" s="1"/>
  <c r="L52" i="8"/>
  <c r="B52" i="8"/>
  <c r="C52" i="8" s="1"/>
  <c r="L51" i="8"/>
  <c r="B51" i="8"/>
  <c r="C51" i="8" s="1"/>
  <c r="L50" i="8"/>
  <c r="B50" i="8"/>
  <c r="C50" i="8" s="1"/>
  <c r="L49" i="8"/>
  <c r="B49" i="8"/>
  <c r="C49" i="8" s="1"/>
  <c r="L48" i="8"/>
  <c r="B48" i="8"/>
  <c r="C48" i="8" s="1"/>
  <c r="L47" i="8"/>
  <c r="B47" i="8"/>
  <c r="C47" i="8" s="1"/>
  <c r="L46" i="8"/>
  <c r="B46" i="8"/>
  <c r="C46" i="8" s="1"/>
  <c r="L45" i="8"/>
  <c r="B45" i="8"/>
  <c r="C45" i="8" s="1"/>
  <c r="L44" i="8"/>
  <c r="B44" i="8"/>
  <c r="C44" i="8" s="1"/>
  <c r="L43" i="8"/>
  <c r="B43" i="8"/>
  <c r="C43" i="8" s="1"/>
  <c r="L42" i="8"/>
  <c r="B42" i="8"/>
  <c r="C42" i="8" s="1"/>
  <c r="L41" i="8"/>
  <c r="B41" i="8"/>
  <c r="C41" i="8" s="1"/>
  <c r="L40" i="8"/>
  <c r="B40" i="8"/>
  <c r="C40" i="8" s="1"/>
  <c r="L39" i="8"/>
  <c r="B39" i="8"/>
  <c r="C39" i="8" s="1"/>
  <c r="L38" i="8"/>
  <c r="B38" i="8"/>
  <c r="C38" i="8" s="1"/>
  <c r="L37" i="8"/>
  <c r="B37" i="8"/>
  <c r="C37" i="8" s="1"/>
  <c r="L36" i="8"/>
  <c r="B36" i="8"/>
  <c r="C36" i="8" s="1"/>
  <c r="L35" i="8"/>
  <c r="B35" i="8"/>
  <c r="C35" i="8" s="1"/>
  <c r="L33" i="8"/>
  <c r="B33" i="8"/>
  <c r="C33" i="8" s="1"/>
  <c r="L32" i="8"/>
  <c r="B32" i="8"/>
  <c r="C32" i="8" s="1"/>
  <c r="L31" i="8"/>
  <c r="B31" i="8"/>
  <c r="C31" i="8" s="1"/>
  <c r="L30" i="8"/>
  <c r="B30" i="8"/>
  <c r="C30" i="8" s="1"/>
  <c r="L29" i="8"/>
  <c r="B29" i="8"/>
  <c r="C29" i="8" s="1"/>
  <c r="L27" i="8"/>
  <c r="B27" i="8"/>
  <c r="C27" i="8" s="1"/>
  <c r="L24" i="8"/>
  <c r="B24" i="8"/>
  <c r="C24" i="8" s="1"/>
  <c r="L23" i="8"/>
  <c r="B23" i="8"/>
  <c r="C23" i="8" s="1"/>
  <c r="L22" i="8"/>
  <c r="B22" i="8"/>
  <c r="C22" i="8" s="1"/>
  <c r="L21" i="8"/>
  <c r="B21" i="8"/>
  <c r="C21" i="8" s="1"/>
  <c r="L20" i="8"/>
  <c r="B20" i="8"/>
  <c r="C20" i="8" s="1"/>
  <c r="L19" i="8"/>
  <c r="B19" i="8"/>
  <c r="C19" i="8" s="1"/>
  <c r="L17" i="8"/>
  <c r="B17" i="8"/>
  <c r="C17" i="8" s="1"/>
  <c r="L16" i="8"/>
  <c r="B16" i="8"/>
  <c r="C16" i="8" s="1"/>
  <c r="L14" i="8"/>
  <c r="B14" i="8"/>
  <c r="C14" i="8" s="1"/>
  <c r="L13" i="8"/>
  <c r="B13" i="8"/>
  <c r="C13" i="8" s="1"/>
  <c r="L12" i="8"/>
  <c r="B12" i="8"/>
  <c r="C12" i="8" s="1"/>
  <c r="L11" i="8"/>
  <c r="B11" i="8"/>
  <c r="C11" i="8" s="1"/>
  <c r="L10" i="8"/>
  <c r="B10" i="8"/>
  <c r="C10" i="8" s="1"/>
  <c r="L9" i="8"/>
  <c r="B9" i="8"/>
  <c r="D6" i="8"/>
  <c r="D4" i="8"/>
  <c r="D3" i="8"/>
  <c r="L983" i="7"/>
  <c r="B983" i="7"/>
  <c r="C983" i="7" s="1"/>
  <c r="L982" i="7"/>
  <c r="B982" i="7"/>
  <c r="C982" i="7" s="1"/>
  <c r="L981" i="7"/>
  <c r="B981" i="7"/>
  <c r="C981" i="7" s="1"/>
  <c r="L980" i="7"/>
  <c r="B980" i="7"/>
  <c r="C980" i="7" s="1"/>
  <c r="L979" i="7"/>
  <c r="B979" i="7"/>
  <c r="C979" i="7" s="1"/>
  <c r="L978" i="7"/>
  <c r="B978" i="7"/>
  <c r="C978" i="7" s="1"/>
  <c r="L977" i="7"/>
  <c r="B977" i="7"/>
  <c r="C977" i="7" s="1"/>
  <c r="L976" i="7"/>
  <c r="B976" i="7"/>
  <c r="C976" i="7" s="1"/>
  <c r="L975" i="7"/>
  <c r="B975" i="7"/>
  <c r="C975" i="7" s="1"/>
  <c r="L974" i="7"/>
  <c r="B974" i="7"/>
  <c r="C974" i="7" s="1"/>
  <c r="L973" i="7"/>
  <c r="B973" i="7"/>
  <c r="C973" i="7" s="1"/>
  <c r="L972" i="7"/>
  <c r="B972" i="7"/>
  <c r="C972" i="7" s="1"/>
  <c r="L971" i="7"/>
  <c r="B971" i="7"/>
  <c r="C971" i="7" s="1"/>
  <c r="L970" i="7"/>
  <c r="B970" i="7"/>
  <c r="C970" i="7" s="1"/>
  <c r="L969" i="7"/>
  <c r="B969" i="7"/>
  <c r="C969" i="7" s="1"/>
  <c r="L968" i="7"/>
  <c r="B968" i="7"/>
  <c r="C968" i="7" s="1"/>
  <c r="L967" i="7"/>
  <c r="B967" i="7"/>
  <c r="C967" i="7" s="1"/>
  <c r="L966" i="7"/>
  <c r="B966" i="7"/>
  <c r="C966" i="7" s="1"/>
  <c r="L965" i="7"/>
  <c r="B965" i="7"/>
  <c r="C965" i="7" s="1"/>
  <c r="L964" i="7"/>
  <c r="B964" i="7"/>
  <c r="C964" i="7" s="1"/>
  <c r="L963" i="7"/>
  <c r="B963" i="7"/>
  <c r="C963" i="7" s="1"/>
  <c r="L962" i="7"/>
  <c r="B962" i="7"/>
  <c r="C962" i="7" s="1"/>
  <c r="L961" i="7"/>
  <c r="B961" i="7"/>
  <c r="C961" i="7" s="1"/>
  <c r="L960" i="7"/>
  <c r="B960" i="7"/>
  <c r="C960" i="7" s="1"/>
  <c r="L959" i="7"/>
  <c r="B959" i="7"/>
  <c r="C959" i="7" s="1"/>
  <c r="L958" i="7"/>
  <c r="B958" i="7"/>
  <c r="C958" i="7" s="1"/>
  <c r="L957" i="7"/>
  <c r="B957" i="7"/>
  <c r="C957" i="7" s="1"/>
  <c r="L956" i="7"/>
  <c r="B956" i="7"/>
  <c r="C956" i="7" s="1"/>
  <c r="L955" i="7"/>
  <c r="B955" i="7"/>
  <c r="C955" i="7" s="1"/>
  <c r="L954" i="7"/>
  <c r="B954" i="7"/>
  <c r="C954" i="7" s="1"/>
  <c r="L953" i="7"/>
  <c r="B953" i="7"/>
  <c r="C953" i="7" s="1"/>
  <c r="L952" i="7"/>
  <c r="B952" i="7"/>
  <c r="C952" i="7" s="1"/>
  <c r="L951" i="7"/>
  <c r="B951" i="7"/>
  <c r="C951" i="7" s="1"/>
  <c r="L950" i="7"/>
  <c r="B950" i="7"/>
  <c r="C950" i="7" s="1"/>
  <c r="L949" i="7"/>
  <c r="B949" i="7"/>
  <c r="C949" i="7" s="1"/>
  <c r="L948" i="7"/>
  <c r="B948" i="7"/>
  <c r="C948" i="7" s="1"/>
  <c r="L947" i="7"/>
  <c r="B947" i="7"/>
  <c r="C947" i="7" s="1"/>
  <c r="L946" i="7"/>
  <c r="B946" i="7"/>
  <c r="C946" i="7" s="1"/>
  <c r="L945" i="7"/>
  <c r="B945" i="7"/>
  <c r="C945" i="7" s="1"/>
  <c r="L944" i="7"/>
  <c r="B944" i="7"/>
  <c r="C944" i="7" s="1"/>
  <c r="L943" i="7"/>
  <c r="B943" i="7"/>
  <c r="C943" i="7" s="1"/>
  <c r="L942" i="7"/>
  <c r="B942" i="7"/>
  <c r="C942" i="7" s="1"/>
  <c r="L941" i="7"/>
  <c r="B941" i="7"/>
  <c r="C941" i="7" s="1"/>
  <c r="L940" i="7"/>
  <c r="B940" i="7"/>
  <c r="C940" i="7" s="1"/>
  <c r="L939" i="7"/>
  <c r="B939" i="7"/>
  <c r="C939" i="7" s="1"/>
  <c r="L938" i="7"/>
  <c r="B938" i="7"/>
  <c r="C938" i="7" s="1"/>
  <c r="L937" i="7"/>
  <c r="B937" i="7"/>
  <c r="C937" i="7" s="1"/>
  <c r="L936" i="7"/>
  <c r="B936" i="7"/>
  <c r="C936" i="7" s="1"/>
  <c r="L935" i="7"/>
  <c r="B935" i="7"/>
  <c r="C935" i="7" s="1"/>
  <c r="L934" i="7"/>
  <c r="B934" i="7"/>
  <c r="C934" i="7" s="1"/>
  <c r="L933" i="7"/>
  <c r="B933" i="7"/>
  <c r="C933" i="7" s="1"/>
  <c r="L932" i="7"/>
  <c r="B932" i="7"/>
  <c r="C932" i="7" s="1"/>
  <c r="L931" i="7"/>
  <c r="B931" i="7"/>
  <c r="C931" i="7" s="1"/>
  <c r="L930" i="7"/>
  <c r="B930" i="7"/>
  <c r="C930" i="7" s="1"/>
  <c r="L929" i="7"/>
  <c r="B929" i="7"/>
  <c r="C929" i="7" s="1"/>
  <c r="L928" i="7"/>
  <c r="B928" i="7"/>
  <c r="C928" i="7" s="1"/>
  <c r="L927" i="7"/>
  <c r="B927" i="7"/>
  <c r="C927" i="7" s="1"/>
  <c r="L926" i="7"/>
  <c r="B926" i="7"/>
  <c r="C926" i="7" s="1"/>
  <c r="L925" i="7"/>
  <c r="B925" i="7"/>
  <c r="C925" i="7" s="1"/>
  <c r="L924" i="7"/>
  <c r="B924" i="7"/>
  <c r="C924" i="7" s="1"/>
  <c r="L923" i="7"/>
  <c r="B923" i="7"/>
  <c r="C923" i="7" s="1"/>
  <c r="L922" i="7"/>
  <c r="B922" i="7"/>
  <c r="C922" i="7" s="1"/>
  <c r="L921" i="7"/>
  <c r="B921" i="7"/>
  <c r="C921" i="7" s="1"/>
  <c r="L920" i="7"/>
  <c r="B920" i="7"/>
  <c r="C920" i="7" s="1"/>
  <c r="L919" i="7"/>
  <c r="B919" i="7"/>
  <c r="C919" i="7" s="1"/>
  <c r="L918" i="7"/>
  <c r="B918" i="7"/>
  <c r="C918" i="7" s="1"/>
  <c r="L917" i="7"/>
  <c r="B917" i="7"/>
  <c r="C917" i="7" s="1"/>
  <c r="L916" i="7"/>
  <c r="B916" i="7"/>
  <c r="C916" i="7" s="1"/>
  <c r="L915" i="7"/>
  <c r="B915" i="7"/>
  <c r="C915" i="7" s="1"/>
  <c r="L914" i="7"/>
  <c r="B914" i="7"/>
  <c r="C914" i="7" s="1"/>
  <c r="L913" i="7"/>
  <c r="B913" i="7"/>
  <c r="C913" i="7" s="1"/>
  <c r="L912" i="7"/>
  <c r="B912" i="7"/>
  <c r="C912" i="7" s="1"/>
  <c r="L911" i="7"/>
  <c r="B911" i="7"/>
  <c r="C911" i="7" s="1"/>
  <c r="L910" i="7"/>
  <c r="B910" i="7"/>
  <c r="C910" i="7" s="1"/>
  <c r="L909" i="7"/>
  <c r="B909" i="7"/>
  <c r="C909" i="7" s="1"/>
  <c r="L908" i="7"/>
  <c r="B908" i="7"/>
  <c r="C908" i="7" s="1"/>
  <c r="L907" i="7"/>
  <c r="B907" i="7"/>
  <c r="C907" i="7" s="1"/>
  <c r="L906" i="7"/>
  <c r="B906" i="7"/>
  <c r="C906" i="7" s="1"/>
  <c r="L905" i="7"/>
  <c r="B905" i="7"/>
  <c r="C905" i="7" s="1"/>
  <c r="L904" i="7"/>
  <c r="B904" i="7"/>
  <c r="C904" i="7" s="1"/>
  <c r="L903" i="7"/>
  <c r="B903" i="7"/>
  <c r="C903" i="7" s="1"/>
  <c r="L902" i="7"/>
  <c r="B902" i="7"/>
  <c r="C902" i="7" s="1"/>
  <c r="L901" i="7"/>
  <c r="B901" i="7"/>
  <c r="C901" i="7" s="1"/>
  <c r="L900" i="7"/>
  <c r="B900" i="7"/>
  <c r="C900" i="7" s="1"/>
  <c r="L899" i="7"/>
  <c r="B899" i="7"/>
  <c r="C899" i="7" s="1"/>
  <c r="L898" i="7"/>
  <c r="B898" i="7"/>
  <c r="C898" i="7" s="1"/>
  <c r="L897" i="7"/>
  <c r="B897" i="7"/>
  <c r="C897" i="7" s="1"/>
  <c r="L896" i="7"/>
  <c r="B896" i="7"/>
  <c r="C896" i="7" s="1"/>
  <c r="L895" i="7"/>
  <c r="B895" i="7"/>
  <c r="C895" i="7" s="1"/>
  <c r="L894" i="7"/>
  <c r="B894" i="7"/>
  <c r="C894" i="7" s="1"/>
  <c r="L893" i="7"/>
  <c r="B893" i="7"/>
  <c r="C893" i="7" s="1"/>
  <c r="L892" i="7"/>
  <c r="B892" i="7"/>
  <c r="C892" i="7" s="1"/>
  <c r="L891" i="7"/>
  <c r="B891" i="7"/>
  <c r="C891" i="7" s="1"/>
  <c r="L890" i="7"/>
  <c r="B890" i="7"/>
  <c r="C890" i="7" s="1"/>
  <c r="L889" i="7"/>
  <c r="B889" i="7"/>
  <c r="C889" i="7" s="1"/>
  <c r="L888" i="7"/>
  <c r="B888" i="7"/>
  <c r="C888" i="7" s="1"/>
  <c r="L887" i="7"/>
  <c r="B887" i="7"/>
  <c r="C887" i="7" s="1"/>
  <c r="L886" i="7"/>
  <c r="B886" i="7"/>
  <c r="C886" i="7" s="1"/>
  <c r="L885" i="7"/>
  <c r="B885" i="7"/>
  <c r="C885" i="7" s="1"/>
  <c r="L884" i="7"/>
  <c r="B884" i="7"/>
  <c r="C884" i="7" s="1"/>
  <c r="L883" i="7"/>
  <c r="B883" i="7"/>
  <c r="C883" i="7" s="1"/>
  <c r="L882" i="7"/>
  <c r="B882" i="7"/>
  <c r="C882" i="7" s="1"/>
  <c r="L881" i="7"/>
  <c r="B881" i="7"/>
  <c r="C881" i="7" s="1"/>
  <c r="L880" i="7"/>
  <c r="B880" i="7"/>
  <c r="C880" i="7" s="1"/>
  <c r="L879" i="7"/>
  <c r="B879" i="7"/>
  <c r="C879" i="7" s="1"/>
  <c r="L878" i="7"/>
  <c r="B878" i="7"/>
  <c r="C878" i="7" s="1"/>
  <c r="L877" i="7"/>
  <c r="B877" i="7"/>
  <c r="C877" i="7" s="1"/>
  <c r="L876" i="7"/>
  <c r="B876" i="7"/>
  <c r="C876" i="7" s="1"/>
  <c r="L875" i="7"/>
  <c r="B875" i="7"/>
  <c r="C875" i="7" s="1"/>
  <c r="L874" i="7"/>
  <c r="B874" i="7"/>
  <c r="C874" i="7" s="1"/>
  <c r="L873" i="7"/>
  <c r="B873" i="7"/>
  <c r="C873" i="7" s="1"/>
  <c r="L872" i="7"/>
  <c r="B872" i="7"/>
  <c r="C872" i="7" s="1"/>
  <c r="L871" i="7"/>
  <c r="B871" i="7"/>
  <c r="C871" i="7" s="1"/>
  <c r="L870" i="7"/>
  <c r="B870" i="7"/>
  <c r="C870" i="7" s="1"/>
  <c r="L869" i="7"/>
  <c r="B869" i="7"/>
  <c r="C869" i="7" s="1"/>
  <c r="L868" i="7"/>
  <c r="B868" i="7"/>
  <c r="C868" i="7" s="1"/>
  <c r="L867" i="7"/>
  <c r="B867" i="7"/>
  <c r="C867" i="7" s="1"/>
  <c r="L866" i="7"/>
  <c r="B866" i="7"/>
  <c r="C866" i="7" s="1"/>
  <c r="L865" i="7"/>
  <c r="B865" i="7"/>
  <c r="C865" i="7" s="1"/>
  <c r="L864" i="7"/>
  <c r="B864" i="7"/>
  <c r="C864" i="7" s="1"/>
  <c r="L863" i="7"/>
  <c r="B863" i="7"/>
  <c r="C863" i="7" s="1"/>
  <c r="L862" i="7"/>
  <c r="B862" i="7"/>
  <c r="C862" i="7" s="1"/>
  <c r="L861" i="7"/>
  <c r="B861" i="7"/>
  <c r="C861" i="7" s="1"/>
  <c r="L860" i="7"/>
  <c r="B860" i="7"/>
  <c r="C860" i="7" s="1"/>
  <c r="L859" i="7"/>
  <c r="B859" i="7"/>
  <c r="C859" i="7" s="1"/>
  <c r="L858" i="7"/>
  <c r="B858" i="7"/>
  <c r="C858" i="7" s="1"/>
  <c r="L857" i="7"/>
  <c r="B857" i="7"/>
  <c r="C857" i="7" s="1"/>
  <c r="L856" i="7"/>
  <c r="B856" i="7"/>
  <c r="C856" i="7" s="1"/>
  <c r="L855" i="7"/>
  <c r="B855" i="7"/>
  <c r="C855" i="7" s="1"/>
  <c r="L854" i="7"/>
  <c r="B854" i="7"/>
  <c r="C854" i="7" s="1"/>
  <c r="L853" i="7"/>
  <c r="B853" i="7"/>
  <c r="C853" i="7" s="1"/>
  <c r="L852" i="7"/>
  <c r="B852" i="7"/>
  <c r="C852" i="7" s="1"/>
  <c r="L851" i="7"/>
  <c r="B851" i="7"/>
  <c r="C851" i="7" s="1"/>
  <c r="L850" i="7"/>
  <c r="B850" i="7"/>
  <c r="C850" i="7" s="1"/>
  <c r="L849" i="7"/>
  <c r="B849" i="7"/>
  <c r="C849" i="7" s="1"/>
  <c r="L848" i="7"/>
  <c r="B848" i="7"/>
  <c r="C848" i="7" s="1"/>
  <c r="L847" i="7"/>
  <c r="B847" i="7"/>
  <c r="C847" i="7" s="1"/>
  <c r="L846" i="7"/>
  <c r="B846" i="7"/>
  <c r="C846" i="7" s="1"/>
  <c r="L845" i="7"/>
  <c r="B845" i="7"/>
  <c r="C845" i="7" s="1"/>
  <c r="L844" i="7"/>
  <c r="B844" i="7"/>
  <c r="C844" i="7" s="1"/>
  <c r="L843" i="7"/>
  <c r="B843" i="7"/>
  <c r="C843" i="7" s="1"/>
  <c r="L842" i="7"/>
  <c r="B842" i="7"/>
  <c r="C842" i="7" s="1"/>
  <c r="L841" i="7"/>
  <c r="B841" i="7"/>
  <c r="C841" i="7" s="1"/>
  <c r="L840" i="7"/>
  <c r="B840" i="7"/>
  <c r="C840" i="7" s="1"/>
  <c r="L839" i="7"/>
  <c r="B839" i="7"/>
  <c r="C839" i="7" s="1"/>
  <c r="L838" i="7"/>
  <c r="B838" i="7"/>
  <c r="C838" i="7" s="1"/>
  <c r="L837" i="7"/>
  <c r="B837" i="7"/>
  <c r="C837" i="7" s="1"/>
  <c r="L836" i="7"/>
  <c r="B836" i="7"/>
  <c r="C836" i="7" s="1"/>
  <c r="L835" i="7"/>
  <c r="B835" i="7"/>
  <c r="C835" i="7" s="1"/>
  <c r="L834" i="7"/>
  <c r="B834" i="7"/>
  <c r="C834" i="7" s="1"/>
  <c r="L833" i="7"/>
  <c r="B833" i="7"/>
  <c r="C833" i="7" s="1"/>
  <c r="L832" i="7"/>
  <c r="B832" i="7"/>
  <c r="C832" i="7" s="1"/>
  <c r="L831" i="7"/>
  <c r="B831" i="7"/>
  <c r="C831" i="7" s="1"/>
  <c r="L830" i="7"/>
  <c r="B830" i="7"/>
  <c r="C830" i="7" s="1"/>
  <c r="L829" i="7"/>
  <c r="B829" i="7"/>
  <c r="C829" i="7" s="1"/>
  <c r="L828" i="7"/>
  <c r="B828" i="7"/>
  <c r="C828" i="7" s="1"/>
  <c r="L827" i="7"/>
  <c r="B827" i="7"/>
  <c r="C827" i="7" s="1"/>
  <c r="L826" i="7"/>
  <c r="B826" i="7"/>
  <c r="C826" i="7" s="1"/>
  <c r="L825" i="7"/>
  <c r="B825" i="7"/>
  <c r="C825" i="7" s="1"/>
  <c r="L824" i="7"/>
  <c r="B824" i="7"/>
  <c r="C824" i="7" s="1"/>
  <c r="L823" i="7"/>
  <c r="B823" i="7"/>
  <c r="C823" i="7" s="1"/>
  <c r="L822" i="7"/>
  <c r="B822" i="7"/>
  <c r="C822" i="7" s="1"/>
  <c r="L821" i="7"/>
  <c r="B821" i="7"/>
  <c r="C821" i="7" s="1"/>
  <c r="L820" i="7"/>
  <c r="B820" i="7"/>
  <c r="C820" i="7" s="1"/>
  <c r="L819" i="7"/>
  <c r="B819" i="7"/>
  <c r="C819" i="7" s="1"/>
  <c r="L818" i="7"/>
  <c r="B818" i="7"/>
  <c r="C818" i="7" s="1"/>
  <c r="L817" i="7"/>
  <c r="B817" i="7"/>
  <c r="C817" i="7" s="1"/>
  <c r="L816" i="7"/>
  <c r="B816" i="7"/>
  <c r="C816" i="7" s="1"/>
  <c r="L815" i="7"/>
  <c r="B815" i="7"/>
  <c r="C815" i="7" s="1"/>
  <c r="L814" i="7"/>
  <c r="B814" i="7"/>
  <c r="C814" i="7" s="1"/>
  <c r="L813" i="7"/>
  <c r="B813" i="7"/>
  <c r="C813" i="7" s="1"/>
  <c r="L812" i="7"/>
  <c r="B812" i="7"/>
  <c r="C812" i="7" s="1"/>
  <c r="L811" i="7"/>
  <c r="B811" i="7"/>
  <c r="C811" i="7" s="1"/>
  <c r="L810" i="7"/>
  <c r="B810" i="7"/>
  <c r="C810" i="7" s="1"/>
  <c r="L809" i="7"/>
  <c r="B809" i="7"/>
  <c r="C809" i="7" s="1"/>
  <c r="L808" i="7"/>
  <c r="B808" i="7"/>
  <c r="C808" i="7" s="1"/>
  <c r="L807" i="7"/>
  <c r="B807" i="7"/>
  <c r="C807" i="7" s="1"/>
  <c r="L806" i="7"/>
  <c r="B806" i="7"/>
  <c r="C806" i="7" s="1"/>
  <c r="L805" i="7"/>
  <c r="B805" i="7"/>
  <c r="C805" i="7" s="1"/>
  <c r="L804" i="7"/>
  <c r="B804" i="7"/>
  <c r="C804" i="7" s="1"/>
  <c r="L803" i="7"/>
  <c r="B803" i="7"/>
  <c r="C803" i="7" s="1"/>
  <c r="L802" i="7"/>
  <c r="B802" i="7"/>
  <c r="C802" i="7" s="1"/>
  <c r="L801" i="7"/>
  <c r="B801" i="7"/>
  <c r="C801" i="7" s="1"/>
  <c r="L800" i="7"/>
  <c r="B800" i="7"/>
  <c r="C800" i="7" s="1"/>
  <c r="L799" i="7"/>
  <c r="B799" i="7"/>
  <c r="C799" i="7" s="1"/>
  <c r="L798" i="7"/>
  <c r="B798" i="7"/>
  <c r="C798" i="7" s="1"/>
  <c r="L797" i="7"/>
  <c r="B797" i="7"/>
  <c r="C797" i="7" s="1"/>
  <c r="L796" i="7"/>
  <c r="B796" i="7"/>
  <c r="C796" i="7" s="1"/>
  <c r="L795" i="7"/>
  <c r="B795" i="7"/>
  <c r="C795" i="7" s="1"/>
  <c r="L794" i="7"/>
  <c r="B794" i="7"/>
  <c r="C794" i="7" s="1"/>
  <c r="L793" i="7"/>
  <c r="B793" i="7"/>
  <c r="C793" i="7" s="1"/>
  <c r="L792" i="7"/>
  <c r="B792" i="7"/>
  <c r="C792" i="7" s="1"/>
  <c r="L791" i="7"/>
  <c r="B791" i="7"/>
  <c r="C791" i="7" s="1"/>
  <c r="L790" i="7"/>
  <c r="B790" i="7"/>
  <c r="C790" i="7" s="1"/>
  <c r="L789" i="7"/>
  <c r="B789" i="7"/>
  <c r="C789" i="7" s="1"/>
  <c r="L788" i="7"/>
  <c r="B788" i="7"/>
  <c r="C788" i="7" s="1"/>
  <c r="L787" i="7"/>
  <c r="B787" i="7"/>
  <c r="C787" i="7" s="1"/>
  <c r="L786" i="7"/>
  <c r="B786" i="7"/>
  <c r="C786" i="7" s="1"/>
  <c r="L785" i="7"/>
  <c r="B785" i="7"/>
  <c r="C785" i="7" s="1"/>
  <c r="L784" i="7"/>
  <c r="B784" i="7"/>
  <c r="C784" i="7" s="1"/>
  <c r="L783" i="7"/>
  <c r="B783" i="7"/>
  <c r="C783" i="7" s="1"/>
  <c r="L782" i="7"/>
  <c r="B782" i="7"/>
  <c r="C782" i="7" s="1"/>
  <c r="L781" i="7"/>
  <c r="B781" i="7"/>
  <c r="C781" i="7" s="1"/>
  <c r="L780" i="7"/>
  <c r="B780" i="7"/>
  <c r="C780" i="7" s="1"/>
  <c r="L779" i="7"/>
  <c r="B779" i="7"/>
  <c r="C779" i="7" s="1"/>
  <c r="L778" i="7"/>
  <c r="B778" i="7"/>
  <c r="C778" i="7" s="1"/>
  <c r="L777" i="7"/>
  <c r="B777" i="7"/>
  <c r="C777" i="7" s="1"/>
  <c r="L776" i="7"/>
  <c r="B776" i="7"/>
  <c r="C776" i="7" s="1"/>
  <c r="L775" i="7"/>
  <c r="B775" i="7"/>
  <c r="C775" i="7" s="1"/>
  <c r="L774" i="7"/>
  <c r="B774" i="7"/>
  <c r="C774" i="7" s="1"/>
  <c r="L773" i="7"/>
  <c r="B773" i="7"/>
  <c r="C773" i="7" s="1"/>
  <c r="L772" i="7"/>
  <c r="B772" i="7"/>
  <c r="C772" i="7" s="1"/>
  <c r="L771" i="7"/>
  <c r="B771" i="7"/>
  <c r="C771" i="7" s="1"/>
  <c r="L770" i="7"/>
  <c r="B770" i="7"/>
  <c r="C770" i="7" s="1"/>
  <c r="L769" i="7"/>
  <c r="B769" i="7"/>
  <c r="C769" i="7" s="1"/>
  <c r="L768" i="7"/>
  <c r="B768" i="7"/>
  <c r="C768" i="7" s="1"/>
  <c r="L767" i="7"/>
  <c r="B767" i="7"/>
  <c r="C767" i="7" s="1"/>
  <c r="L766" i="7"/>
  <c r="B766" i="7"/>
  <c r="C766" i="7" s="1"/>
  <c r="L765" i="7"/>
  <c r="B765" i="7"/>
  <c r="C765" i="7" s="1"/>
  <c r="L764" i="7"/>
  <c r="B764" i="7"/>
  <c r="C764" i="7" s="1"/>
  <c r="L763" i="7"/>
  <c r="B763" i="7"/>
  <c r="C763" i="7" s="1"/>
  <c r="L762" i="7"/>
  <c r="B762" i="7"/>
  <c r="C762" i="7" s="1"/>
  <c r="L761" i="7"/>
  <c r="B761" i="7"/>
  <c r="C761" i="7" s="1"/>
  <c r="L760" i="7"/>
  <c r="B760" i="7"/>
  <c r="C760" i="7" s="1"/>
  <c r="L759" i="7"/>
  <c r="B759" i="7"/>
  <c r="C759" i="7" s="1"/>
  <c r="L758" i="7"/>
  <c r="B758" i="7"/>
  <c r="C758" i="7" s="1"/>
  <c r="L757" i="7"/>
  <c r="B757" i="7"/>
  <c r="C757" i="7" s="1"/>
  <c r="L756" i="7"/>
  <c r="B756" i="7"/>
  <c r="C756" i="7" s="1"/>
  <c r="L755" i="7"/>
  <c r="B755" i="7"/>
  <c r="C755" i="7" s="1"/>
  <c r="L754" i="7"/>
  <c r="B754" i="7"/>
  <c r="C754" i="7" s="1"/>
  <c r="L753" i="7"/>
  <c r="B753" i="7"/>
  <c r="C753" i="7" s="1"/>
  <c r="L752" i="7"/>
  <c r="B752" i="7"/>
  <c r="C752" i="7" s="1"/>
  <c r="L751" i="7"/>
  <c r="B751" i="7"/>
  <c r="C751" i="7" s="1"/>
  <c r="L750" i="7"/>
  <c r="B750" i="7"/>
  <c r="C750" i="7" s="1"/>
  <c r="L749" i="7"/>
  <c r="B749" i="7"/>
  <c r="C749" i="7" s="1"/>
  <c r="L748" i="7"/>
  <c r="B748" i="7"/>
  <c r="C748" i="7" s="1"/>
  <c r="L747" i="7"/>
  <c r="B747" i="7"/>
  <c r="C747" i="7" s="1"/>
  <c r="L746" i="7"/>
  <c r="B746" i="7"/>
  <c r="C746" i="7" s="1"/>
  <c r="L745" i="7"/>
  <c r="B745" i="7"/>
  <c r="C745" i="7" s="1"/>
  <c r="L744" i="7"/>
  <c r="B744" i="7"/>
  <c r="C744" i="7" s="1"/>
  <c r="L743" i="7"/>
  <c r="B743" i="7"/>
  <c r="C743" i="7" s="1"/>
  <c r="L742" i="7"/>
  <c r="B742" i="7"/>
  <c r="C742" i="7" s="1"/>
  <c r="L741" i="7"/>
  <c r="B741" i="7"/>
  <c r="C741" i="7" s="1"/>
  <c r="L740" i="7"/>
  <c r="B740" i="7"/>
  <c r="C740" i="7" s="1"/>
  <c r="L739" i="7"/>
  <c r="B739" i="7"/>
  <c r="C739" i="7" s="1"/>
  <c r="L738" i="7"/>
  <c r="B738" i="7"/>
  <c r="C738" i="7" s="1"/>
  <c r="L737" i="7"/>
  <c r="B737" i="7"/>
  <c r="C737" i="7" s="1"/>
  <c r="L736" i="7"/>
  <c r="B736" i="7"/>
  <c r="C736" i="7" s="1"/>
  <c r="L735" i="7"/>
  <c r="B735" i="7"/>
  <c r="C735" i="7" s="1"/>
  <c r="L734" i="7"/>
  <c r="B734" i="7"/>
  <c r="C734" i="7" s="1"/>
  <c r="L733" i="7"/>
  <c r="B733" i="7"/>
  <c r="C733" i="7" s="1"/>
  <c r="L732" i="7"/>
  <c r="B732" i="7"/>
  <c r="C732" i="7" s="1"/>
  <c r="L731" i="7"/>
  <c r="B731" i="7"/>
  <c r="C731" i="7" s="1"/>
  <c r="L730" i="7"/>
  <c r="B730" i="7"/>
  <c r="C730" i="7" s="1"/>
  <c r="L729" i="7"/>
  <c r="B729" i="7"/>
  <c r="C729" i="7" s="1"/>
  <c r="L728" i="7"/>
  <c r="B728" i="7"/>
  <c r="C728" i="7" s="1"/>
  <c r="L727" i="7"/>
  <c r="B727" i="7"/>
  <c r="C727" i="7" s="1"/>
  <c r="L726" i="7"/>
  <c r="B726" i="7"/>
  <c r="C726" i="7" s="1"/>
  <c r="L725" i="7"/>
  <c r="B725" i="7"/>
  <c r="C725" i="7" s="1"/>
  <c r="L724" i="7"/>
  <c r="B724" i="7"/>
  <c r="C724" i="7" s="1"/>
  <c r="L723" i="7"/>
  <c r="B723" i="7"/>
  <c r="C723" i="7" s="1"/>
  <c r="L722" i="7"/>
  <c r="B722" i="7"/>
  <c r="C722" i="7" s="1"/>
  <c r="L721" i="7"/>
  <c r="B721" i="7"/>
  <c r="C721" i="7" s="1"/>
  <c r="L720" i="7"/>
  <c r="B720" i="7"/>
  <c r="C720" i="7" s="1"/>
  <c r="L719" i="7"/>
  <c r="B719" i="7"/>
  <c r="C719" i="7" s="1"/>
  <c r="L718" i="7"/>
  <c r="B718" i="7"/>
  <c r="C718" i="7" s="1"/>
  <c r="L717" i="7"/>
  <c r="B717" i="7"/>
  <c r="C717" i="7" s="1"/>
  <c r="L716" i="7"/>
  <c r="B716" i="7"/>
  <c r="C716" i="7" s="1"/>
  <c r="L715" i="7"/>
  <c r="B715" i="7"/>
  <c r="C715" i="7" s="1"/>
  <c r="L714" i="7"/>
  <c r="B714" i="7"/>
  <c r="C714" i="7" s="1"/>
  <c r="L713" i="7"/>
  <c r="B713" i="7"/>
  <c r="C713" i="7" s="1"/>
  <c r="L712" i="7"/>
  <c r="B712" i="7"/>
  <c r="C712" i="7" s="1"/>
  <c r="L711" i="7"/>
  <c r="B711" i="7"/>
  <c r="C711" i="7" s="1"/>
  <c r="L710" i="7"/>
  <c r="B710" i="7"/>
  <c r="C710" i="7" s="1"/>
  <c r="L709" i="7"/>
  <c r="B709" i="7"/>
  <c r="C709" i="7" s="1"/>
  <c r="L708" i="7"/>
  <c r="B708" i="7"/>
  <c r="C708" i="7" s="1"/>
  <c r="L707" i="7"/>
  <c r="B707" i="7"/>
  <c r="C707" i="7" s="1"/>
  <c r="L706" i="7"/>
  <c r="B706" i="7"/>
  <c r="C706" i="7" s="1"/>
  <c r="L705" i="7"/>
  <c r="B705" i="7"/>
  <c r="C705" i="7" s="1"/>
  <c r="L704" i="7"/>
  <c r="B704" i="7"/>
  <c r="C704" i="7" s="1"/>
  <c r="L703" i="7"/>
  <c r="B703" i="7"/>
  <c r="C703" i="7" s="1"/>
  <c r="L702" i="7"/>
  <c r="B702" i="7"/>
  <c r="C702" i="7" s="1"/>
  <c r="L701" i="7"/>
  <c r="B701" i="7"/>
  <c r="C701" i="7" s="1"/>
  <c r="L700" i="7"/>
  <c r="B700" i="7"/>
  <c r="C700" i="7" s="1"/>
  <c r="L699" i="7"/>
  <c r="B699" i="7"/>
  <c r="C699" i="7" s="1"/>
  <c r="L698" i="7"/>
  <c r="B698" i="7"/>
  <c r="C698" i="7" s="1"/>
  <c r="L697" i="7"/>
  <c r="B697" i="7"/>
  <c r="C697" i="7" s="1"/>
  <c r="L696" i="7"/>
  <c r="B696" i="7"/>
  <c r="C696" i="7" s="1"/>
  <c r="L695" i="7"/>
  <c r="B695" i="7"/>
  <c r="C695" i="7" s="1"/>
  <c r="L694" i="7"/>
  <c r="B694" i="7"/>
  <c r="C694" i="7" s="1"/>
  <c r="L693" i="7"/>
  <c r="B693" i="7"/>
  <c r="C693" i="7" s="1"/>
  <c r="L692" i="7"/>
  <c r="B692" i="7"/>
  <c r="C692" i="7" s="1"/>
  <c r="L691" i="7"/>
  <c r="B691" i="7"/>
  <c r="C691" i="7" s="1"/>
  <c r="L690" i="7"/>
  <c r="B690" i="7"/>
  <c r="C690" i="7" s="1"/>
  <c r="L689" i="7"/>
  <c r="B689" i="7"/>
  <c r="C689" i="7" s="1"/>
  <c r="L688" i="7"/>
  <c r="B688" i="7"/>
  <c r="C688" i="7" s="1"/>
  <c r="L687" i="7"/>
  <c r="B687" i="7"/>
  <c r="C687" i="7" s="1"/>
  <c r="L686" i="7"/>
  <c r="B686" i="7"/>
  <c r="C686" i="7" s="1"/>
  <c r="L685" i="7"/>
  <c r="B685" i="7"/>
  <c r="C685" i="7" s="1"/>
  <c r="L684" i="7"/>
  <c r="B684" i="7"/>
  <c r="C684" i="7" s="1"/>
  <c r="L683" i="7"/>
  <c r="B683" i="7"/>
  <c r="C683" i="7" s="1"/>
  <c r="L682" i="7"/>
  <c r="B682" i="7"/>
  <c r="C682" i="7" s="1"/>
  <c r="L681" i="7"/>
  <c r="B681" i="7"/>
  <c r="C681" i="7" s="1"/>
  <c r="L680" i="7"/>
  <c r="B680" i="7"/>
  <c r="C680" i="7" s="1"/>
  <c r="L679" i="7"/>
  <c r="B679" i="7"/>
  <c r="C679" i="7" s="1"/>
  <c r="L678" i="7"/>
  <c r="B678" i="7"/>
  <c r="C678" i="7" s="1"/>
  <c r="L677" i="7"/>
  <c r="B677" i="7"/>
  <c r="C677" i="7" s="1"/>
  <c r="L676" i="7"/>
  <c r="B676" i="7"/>
  <c r="C676" i="7" s="1"/>
  <c r="L675" i="7"/>
  <c r="B675" i="7"/>
  <c r="C675" i="7" s="1"/>
  <c r="L674" i="7"/>
  <c r="B674" i="7"/>
  <c r="C674" i="7" s="1"/>
  <c r="L673" i="7"/>
  <c r="B673" i="7"/>
  <c r="C673" i="7" s="1"/>
  <c r="L672" i="7"/>
  <c r="B672" i="7"/>
  <c r="C672" i="7" s="1"/>
  <c r="L671" i="7"/>
  <c r="B671" i="7"/>
  <c r="C671" i="7" s="1"/>
  <c r="L670" i="7"/>
  <c r="B670" i="7"/>
  <c r="C670" i="7" s="1"/>
  <c r="L669" i="7"/>
  <c r="B669" i="7"/>
  <c r="C669" i="7" s="1"/>
  <c r="L668" i="7"/>
  <c r="B668" i="7"/>
  <c r="C668" i="7" s="1"/>
  <c r="L667" i="7"/>
  <c r="B667" i="7"/>
  <c r="C667" i="7" s="1"/>
  <c r="L666" i="7"/>
  <c r="B666" i="7"/>
  <c r="C666" i="7" s="1"/>
  <c r="L665" i="7"/>
  <c r="B665" i="7"/>
  <c r="C665" i="7" s="1"/>
  <c r="L664" i="7"/>
  <c r="B664" i="7"/>
  <c r="C664" i="7" s="1"/>
  <c r="L663" i="7"/>
  <c r="B663" i="7"/>
  <c r="C663" i="7" s="1"/>
  <c r="L662" i="7"/>
  <c r="B662" i="7"/>
  <c r="C662" i="7" s="1"/>
  <c r="L661" i="7"/>
  <c r="B661" i="7"/>
  <c r="C661" i="7" s="1"/>
  <c r="L660" i="7"/>
  <c r="B660" i="7"/>
  <c r="C660" i="7" s="1"/>
  <c r="L659" i="7"/>
  <c r="B659" i="7"/>
  <c r="C659" i="7" s="1"/>
  <c r="L658" i="7"/>
  <c r="B658" i="7"/>
  <c r="C658" i="7" s="1"/>
  <c r="L657" i="7"/>
  <c r="B657" i="7"/>
  <c r="C657" i="7" s="1"/>
  <c r="L656" i="7"/>
  <c r="B656" i="7"/>
  <c r="C656" i="7" s="1"/>
  <c r="L655" i="7"/>
  <c r="B655" i="7"/>
  <c r="C655" i="7" s="1"/>
  <c r="L654" i="7"/>
  <c r="B654" i="7"/>
  <c r="C654" i="7" s="1"/>
  <c r="L653" i="7"/>
  <c r="B653" i="7"/>
  <c r="C653" i="7" s="1"/>
  <c r="L652" i="7"/>
  <c r="B652" i="7"/>
  <c r="C652" i="7" s="1"/>
  <c r="L651" i="7"/>
  <c r="B651" i="7"/>
  <c r="C651" i="7" s="1"/>
  <c r="L650" i="7"/>
  <c r="B650" i="7"/>
  <c r="C650" i="7" s="1"/>
  <c r="L649" i="7"/>
  <c r="B649" i="7"/>
  <c r="C649" i="7" s="1"/>
  <c r="L648" i="7"/>
  <c r="B648" i="7"/>
  <c r="C648" i="7" s="1"/>
  <c r="L647" i="7"/>
  <c r="B647" i="7"/>
  <c r="C647" i="7" s="1"/>
  <c r="L646" i="7"/>
  <c r="B646" i="7"/>
  <c r="C646" i="7" s="1"/>
  <c r="L645" i="7"/>
  <c r="B645" i="7"/>
  <c r="C645" i="7" s="1"/>
  <c r="L644" i="7"/>
  <c r="B644" i="7"/>
  <c r="C644" i="7" s="1"/>
  <c r="L643" i="7"/>
  <c r="B643" i="7"/>
  <c r="C643" i="7" s="1"/>
  <c r="L642" i="7"/>
  <c r="B642" i="7"/>
  <c r="C642" i="7" s="1"/>
  <c r="L641" i="7"/>
  <c r="B641" i="7"/>
  <c r="C641" i="7" s="1"/>
  <c r="L640" i="7"/>
  <c r="B640" i="7"/>
  <c r="C640" i="7" s="1"/>
  <c r="L639" i="7"/>
  <c r="B639" i="7"/>
  <c r="C639" i="7" s="1"/>
  <c r="L638" i="7"/>
  <c r="B638" i="7"/>
  <c r="C638" i="7" s="1"/>
  <c r="L637" i="7"/>
  <c r="B637" i="7"/>
  <c r="C637" i="7" s="1"/>
  <c r="L636" i="7"/>
  <c r="B636" i="7"/>
  <c r="C636" i="7" s="1"/>
  <c r="L635" i="7"/>
  <c r="B635" i="7"/>
  <c r="C635" i="7" s="1"/>
  <c r="L634" i="7"/>
  <c r="B634" i="7"/>
  <c r="C634" i="7" s="1"/>
  <c r="L633" i="7"/>
  <c r="B633" i="7"/>
  <c r="C633" i="7" s="1"/>
  <c r="L632" i="7"/>
  <c r="B632" i="7"/>
  <c r="C632" i="7" s="1"/>
  <c r="L631" i="7"/>
  <c r="B631" i="7"/>
  <c r="C631" i="7" s="1"/>
  <c r="L630" i="7"/>
  <c r="B630" i="7"/>
  <c r="C630" i="7" s="1"/>
  <c r="L629" i="7"/>
  <c r="B629" i="7"/>
  <c r="C629" i="7" s="1"/>
  <c r="L628" i="7"/>
  <c r="B628" i="7"/>
  <c r="C628" i="7" s="1"/>
  <c r="L627" i="7"/>
  <c r="B627" i="7"/>
  <c r="C627" i="7" s="1"/>
  <c r="L626" i="7"/>
  <c r="B626" i="7"/>
  <c r="C626" i="7" s="1"/>
  <c r="L625" i="7"/>
  <c r="B625" i="7"/>
  <c r="C625" i="7" s="1"/>
  <c r="L624" i="7"/>
  <c r="B624" i="7"/>
  <c r="C624" i="7" s="1"/>
  <c r="L623" i="7"/>
  <c r="B623" i="7"/>
  <c r="C623" i="7" s="1"/>
  <c r="L622" i="7"/>
  <c r="B622" i="7"/>
  <c r="C622" i="7" s="1"/>
  <c r="L621" i="7"/>
  <c r="B621" i="7"/>
  <c r="C621" i="7" s="1"/>
  <c r="L620" i="7"/>
  <c r="B620" i="7"/>
  <c r="C620" i="7" s="1"/>
  <c r="L619" i="7"/>
  <c r="B619" i="7"/>
  <c r="C619" i="7" s="1"/>
  <c r="L618" i="7"/>
  <c r="B618" i="7"/>
  <c r="C618" i="7" s="1"/>
  <c r="L617" i="7"/>
  <c r="B617" i="7"/>
  <c r="C617" i="7" s="1"/>
  <c r="L616" i="7"/>
  <c r="B616" i="7"/>
  <c r="C616" i="7" s="1"/>
  <c r="L615" i="7"/>
  <c r="B615" i="7"/>
  <c r="C615" i="7" s="1"/>
  <c r="L614" i="7"/>
  <c r="B614" i="7"/>
  <c r="C614" i="7" s="1"/>
  <c r="L613" i="7"/>
  <c r="B613" i="7"/>
  <c r="C613" i="7" s="1"/>
  <c r="L612" i="7"/>
  <c r="B612" i="7"/>
  <c r="C612" i="7" s="1"/>
  <c r="L611" i="7"/>
  <c r="B611" i="7"/>
  <c r="C611" i="7" s="1"/>
  <c r="L610" i="7"/>
  <c r="B610" i="7"/>
  <c r="C610" i="7" s="1"/>
  <c r="L609" i="7"/>
  <c r="B609" i="7"/>
  <c r="C609" i="7" s="1"/>
  <c r="L608" i="7"/>
  <c r="B608" i="7"/>
  <c r="C608" i="7" s="1"/>
  <c r="L607" i="7"/>
  <c r="B607" i="7"/>
  <c r="C607" i="7" s="1"/>
  <c r="L606" i="7"/>
  <c r="B606" i="7"/>
  <c r="C606" i="7" s="1"/>
  <c r="L605" i="7"/>
  <c r="B605" i="7"/>
  <c r="C605" i="7" s="1"/>
  <c r="L604" i="7"/>
  <c r="B604" i="7"/>
  <c r="C604" i="7" s="1"/>
  <c r="L603" i="7"/>
  <c r="B603" i="7"/>
  <c r="C603" i="7" s="1"/>
  <c r="L602" i="7"/>
  <c r="B602" i="7"/>
  <c r="C602" i="7" s="1"/>
  <c r="L601" i="7"/>
  <c r="B601" i="7"/>
  <c r="C601" i="7" s="1"/>
  <c r="L600" i="7"/>
  <c r="B600" i="7"/>
  <c r="C600" i="7" s="1"/>
  <c r="L599" i="7"/>
  <c r="B599" i="7"/>
  <c r="C599" i="7" s="1"/>
  <c r="L598" i="7"/>
  <c r="B598" i="7"/>
  <c r="C598" i="7" s="1"/>
  <c r="L597" i="7"/>
  <c r="B597" i="7"/>
  <c r="C597" i="7" s="1"/>
  <c r="L596" i="7"/>
  <c r="B596" i="7"/>
  <c r="C596" i="7" s="1"/>
  <c r="L595" i="7"/>
  <c r="B595" i="7"/>
  <c r="C595" i="7" s="1"/>
  <c r="L594" i="7"/>
  <c r="B594" i="7"/>
  <c r="C594" i="7" s="1"/>
  <c r="L593" i="7"/>
  <c r="B593" i="7"/>
  <c r="C593" i="7" s="1"/>
  <c r="L592" i="7"/>
  <c r="B592" i="7"/>
  <c r="C592" i="7" s="1"/>
  <c r="L591" i="7"/>
  <c r="B591" i="7"/>
  <c r="C591" i="7" s="1"/>
  <c r="L590" i="7"/>
  <c r="B590" i="7"/>
  <c r="C590" i="7" s="1"/>
  <c r="L589" i="7"/>
  <c r="B589" i="7"/>
  <c r="C589" i="7" s="1"/>
  <c r="L588" i="7"/>
  <c r="B588" i="7"/>
  <c r="C588" i="7" s="1"/>
  <c r="L587" i="7"/>
  <c r="B587" i="7"/>
  <c r="C587" i="7" s="1"/>
  <c r="L586" i="7"/>
  <c r="B586" i="7"/>
  <c r="C586" i="7" s="1"/>
  <c r="L585" i="7"/>
  <c r="B585" i="7"/>
  <c r="C585" i="7" s="1"/>
  <c r="L584" i="7"/>
  <c r="B584" i="7"/>
  <c r="C584" i="7" s="1"/>
  <c r="L583" i="7"/>
  <c r="B583" i="7"/>
  <c r="C583" i="7" s="1"/>
  <c r="L582" i="7"/>
  <c r="B582" i="7"/>
  <c r="C582" i="7" s="1"/>
  <c r="L581" i="7"/>
  <c r="B581" i="7"/>
  <c r="C581" i="7" s="1"/>
  <c r="L580" i="7"/>
  <c r="B580" i="7"/>
  <c r="C580" i="7" s="1"/>
  <c r="L579" i="7"/>
  <c r="B579" i="7"/>
  <c r="C579" i="7" s="1"/>
  <c r="L578" i="7"/>
  <c r="B578" i="7"/>
  <c r="C578" i="7" s="1"/>
  <c r="L577" i="7"/>
  <c r="B577" i="7"/>
  <c r="C577" i="7" s="1"/>
  <c r="L576" i="7"/>
  <c r="B576" i="7"/>
  <c r="C576" i="7" s="1"/>
  <c r="L575" i="7"/>
  <c r="B575" i="7"/>
  <c r="C575" i="7" s="1"/>
  <c r="L574" i="7"/>
  <c r="B574" i="7"/>
  <c r="C574" i="7" s="1"/>
  <c r="L573" i="7"/>
  <c r="B573" i="7"/>
  <c r="C573" i="7" s="1"/>
  <c r="L572" i="7"/>
  <c r="B572" i="7"/>
  <c r="C572" i="7" s="1"/>
  <c r="L571" i="7"/>
  <c r="B571" i="7"/>
  <c r="C571" i="7" s="1"/>
  <c r="L570" i="7"/>
  <c r="B570" i="7"/>
  <c r="C570" i="7" s="1"/>
  <c r="L569" i="7"/>
  <c r="B569" i="7"/>
  <c r="C569" i="7" s="1"/>
  <c r="L568" i="7"/>
  <c r="B568" i="7"/>
  <c r="C568" i="7" s="1"/>
  <c r="L567" i="7"/>
  <c r="B567" i="7"/>
  <c r="C567" i="7" s="1"/>
  <c r="L566" i="7"/>
  <c r="B566" i="7"/>
  <c r="C566" i="7" s="1"/>
  <c r="L565" i="7"/>
  <c r="B565" i="7"/>
  <c r="C565" i="7" s="1"/>
  <c r="L564" i="7"/>
  <c r="B564" i="7"/>
  <c r="C564" i="7" s="1"/>
  <c r="L563" i="7"/>
  <c r="B563" i="7"/>
  <c r="C563" i="7" s="1"/>
  <c r="L562" i="7"/>
  <c r="B562" i="7"/>
  <c r="C562" i="7" s="1"/>
  <c r="L561" i="7"/>
  <c r="B561" i="7"/>
  <c r="C561" i="7" s="1"/>
  <c r="L560" i="7"/>
  <c r="B560" i="7"/>
  <c r="C560" i="7" s="1"/>
  <c r="L559" i="7"/>
  <c r="B559" i="7"/>
  <c r="C559" i="7" s="1"/>
  <c r="L558" i="7"/>
  <c r="B558" i="7"/>
  <c r="C558" i="7" s="1"/>
  <c r="L557" i="7"/>
  <c r="B557" i="7"/>
  <c r="C557" i="7" s="1"/>
  <c r="L556" i="7"/>
  <c r="B556" i="7"/>
  <c r="C556" i="7" s="1"/>
  <c r="L555" i="7"/>
  <c r="B555" i="7"/>
  <c r="C555" i="7" s="1"/>
  <c r="L554" i="7"/>
  <c r="B554" i="7"/>
  <c r="C554" i="7" s="1"/>
  <c r="L553" i="7"/>
  <c r="B553" i="7"/>
  <c r="C553" i="7" s="1"/>
  <c r="L552" i="7"/>
  <c r="B552" i="7"/>
  <c r="C552" i="7" s="1"/>
  <c r="L551" i="7"/>
  <c r="B551" i="7"/>
  <c r="C551" i="7" s="1"/>
  <c r="L550" i="7"/>
  <c r="B550" i="7"/>
  <c r="C550" i="7" s="1"/>
  <c r="L549" i="7"/>
  <c r="B549" i="7"/>
  <c r="C549" i="7" s="1"/>
  <c r="L548" i="7"/>
  <c r="B548" i="7"/>
  <c r="C548" i="7" s="1"/>
  <c r="L547" i="7"/>
  <c r="B547" i="7"/>
  <c r="C547" i="7" s="1"/>
  <c r="L546" i="7"/>
  <c r="B546" i="7"/>
  <c r="C546" i="7" s="1"/>
  <c r="L545" i="7"/>
  <c r="B545" i="7"/>
  <c r="C545" i="7" s="1"/>
  <c r="L544" i="7"/>
  <c r="B544" i="7"/>
  <c r="C544" i="7" s="1"/>
  <c r="L543" i="7"/>
  <c r="B543" i="7"/>
  <c r="C543" i="7" s="1"/>
  <c r="L542" i="7"/>
  <c r="B542" i="7"/>
  <c r="C542" i="7" s="1"/>
  <c r="L541" i="7"/>
  <c r="B541" i="7"/>
  <c r="C541" i="7" s="1"/>
  <c r="L540" i="7"/>
  <c r="B540" i="7"/>
  <c r="C540" i="7" s="1"/>
  <c r="L539" i="7"/>
  <c r="B539" i="7"/>
  <c r="C539" i="7" s="1"/>
  <c r="L538" i="7"/>
  <c r="B538" i="7"/>
  <c r="C538" i="7" s="1"/>
  <c r="L537" i="7"/>
  <c r="B537" i="7"/>
  <c r="C537" i="7" s="1"/>
  <c r="L536" i="7"/>
  <c r="B536" i="7"/>
  <c r="C536" i="7" s="1"/>
  <c r="L535" i="7"/>
  <c r="B535" i="7"/>
  <c r="C535" i="7" s="1"/>
  <c r="L534" i="7"/>
  <c r="B534" i="7"/>
  <c r="C534" i="7" s="1"/>
  <c r="L533" i="7"/>
  <c r="B533" i="7"/>
  <c r="C533" i="7" s="1"/>
  <c r="L532" i="7"/>
  <c r="B532" i="7"/>
  <c r="C532" i="7" s="1"/>
  <c r="L531" i="7"/>
  <c r="B531" i="7"/>
  <c r="C531" i="7" s="1"/>
  <c r="L530" i="7"/>
  <c r="B530" i="7"/>
  <c r="C530" i="7" s="1"/>
  <c r="L529" i="7"/>
  <c r="B529" i="7"/>
  <c r="C529" i="7" s="1"/>
  <c r="L528" i="7"/>
  <c r="B528" i="7"/>
  <c r="C528" i="7" s="1"/>
  <c r="L527" i="7"/>
  <c r="B527" i="7"/>
  <c r="C527" i="7" s="1"/>
  <c r="L526" i="7"/>
  <c r="B526" i="7"/>
  <c r="C526" i="7" s="1"/>
  <c r="L525" i="7"/>
  <c r="B525" i="7"/>
  <c r="C525" i="7" s="1"/>
  <c r="L524" i="7"/>
  <c r="B524" i="7"/>
  <c r="C524" i="7" s="1"/>
  <c r="L523" i="7"/>
  <c r="B523" i="7"/>
  <c r="C523" i="7" s="1"/>
  <c r="L522" i="7"/>
  <c r="B522" i="7"/>
  <c r="C522" i="7" s="1"/>
  <c r="L521" i="7"/>
  <c r="B521" i="7"/>
  <c r="C521" i="7" s="1"/>
  <c r="L520" i="7"/>
  <c r="B520" i="7"/>
  <c r="C520" i="7" s="1"/>
  <c r="L519" i="7"/>
  <c r="B519" i="7"/>
  <c r="C519" i="7" s="1"/>
  <c r="L518" i="7"/>
  <c r="B518" i="7"/>
  <c r="C518" i="7" s="1"/>
  <c r="L517" i="7"/>
  <c r="B517" i="7"/>
  <c r="C517" i="7" s="1"/>
  <c r="L516" i="7"/>
  <c r="B516" i="7"/>
  <c r="C516" i="7" s="1"/>
  <c r="L515" i="7"/>
  <c r="B515" i="7"/>
  <c r="C515" i="7" s="1"/>
  <c r="L514" i="7"/>
  <c r="B514" i="7"/>
  <c r="C514" i="7" s="1"/>
  <c r="L513" i="7"/>
  <c r="B513" i="7"/>
  <c r="C513" i="7" s="1"/>
  <c r="L512" i="7"/>
  <c r="B512" i="7"/>
  <c r="C512" i="7" s="1"/>
  <c r="L511" i="7"/>
  <c r="B511" i="7"/>
  <c r="C511" i="7" s="1"/>
  <c r="L510" i="7"/>
  <c r="B510" i="7"/>
  <c r="C510" i="7" s="1"/>
  <c r="L509" i="7"/>
  <c r="B509" i="7"/>
  <c r="C509" i="7" s="1"/>
  <c r="L508" i="7"/>
  <c r="B508" i="7"/>
  <c r="C508" i="7" s="1"/>
  <c r="L507" i="7"/>
  <c r="B507" i="7"/>
  <c r="C507" i="7" s="1"/>
  <c r="L506" i="7"/>
  <c r="B506" i="7"/>
  <c r="C506" i="7" s="1"/>
  <c r="L505" i="7"/>
  <c r="B505" i="7"/>
  <c r="C505" i="7" s="1"/>
  <c r="L504" i="7"/>
  <c r="B504" i="7"/>
  <c r="C504" i="7" s="1"/>
  <c r="L503" i="7"/>
  <c r="B503" i="7"/>
  <c r="C503" i="7" s="1"/>
  <c r="L502" i="7"/>
  <c r="B502" i="7"/>
  <c r="C502" i="7" s="1"/>
  <c r="L501" i="7"/>
  <c r="B501" i="7"/>
  <c r="C501" i="7" s="1"/>
  <c r="L500" i="7"/>
  <c r="B500" i="7"/>
  <c r="C500" i="7" s="1"/>
  <c r="L499" i="7"/>
  <c r="B499" i="7"/>
  <c r="C499" i="7" s="1"/>
  <c r="L498" i="7"/>
  <c r="B498" i="7"/>
  <c r="C498" i="7" s="1"/>
  <c r="L497" i="7"/>
  <c r="B497" i="7"/>
  <c r="C497" i="7" s="1"/>
  <c r="L496" i="7"/>
  <c r="B496" i="7"/>
  <c r="C496" i="7" s="1"/>
  <c r="L495" i="7"/>
  <c r="B495" i="7"/>
  <c r="C495" i="7" s="1"/>
  <c r="L494" i="7"/>
  <c r="B494" i="7"/>
  <c r="C494" i="7" s="1"/>
  <c r="L493" i="7"/>
  <c r="B493" i="7"/>
  <c r="C493" i="7" s="1"/>
  <c r="L492" i="7"/>
  <c r="B492" i="7"/>
  <c r="C492" i="7" s="1"/>
  <c r="L491" i="7"/>
  <c r="B491" i="7"/>
  <c r="C491" i="7" s="1"/>
  <c r="L490" i="7"/>
  <c r="B490" i="7"/>
  <c r="C490" i="7" s="1"/>
  <c r="L489" i="7"/>
  <c r="B489" i="7"/>
  <c r="C489" i="7" s="1"/>
  <c r="L488" i="7"/>
  <c r="B488" i="7"/>
  <c r="C488" i="7" s="1"/>
  <c r="L487" i="7"/>
  <c r="B487" i="7"/>
  <c r="C487" i="7" s="1"/>
  <c r="L486" i="7"/>
  <c r="B486" i="7"/>
  <c r="C486" i="7" s="1"/>
  <c r="L485" i="7"/>
  <c r="B485" i="7"/>
  <c r="C485" i="7" s="1"/>
  <c r="L484" i="7"/>
  <c r="B484" i="7"/>
  <c r="C484" i="7" s="1"/>
  <c r="L483" i="7"/>
  <c r="B483" i="7"/>
  <c r="C483" i="7" s="1"/>
  <c r="L482" i="7"/>
  <c r="B482" i="7"/>
  <c r="C482" i="7" s="1"/>
  <c r="L481" i="7"/>
  <c r="B481" i="7"/>
  <c r="C481" i="7" s="1"/>
  <c r="L480" i="7"/>
  <c r="B480" i="7"/>
  <c r="C480" i="7" s="1"/>
  <c r="L479" i="7"/>
  <c r="B479" i="7"/>
  <c r="C479" i="7" s="1"/>
  <c r="L478" i="7"/>
  <c r="B478" i="7"/>
  <c r="C478" i="7" s="1"/>
  <c r="L477" i="7"/>
  <c r="B477" i="7"/>
  <c r="C477" i="7" s="1"/>
  <c r="L476" i="7"/>
  <c r="B476" i="7"/>
  <c r="C476" i="7" s="1"/>
  <c r="L475" i="7"/>
  <c r="B475" i="7"/>
  <c r="C475" i="7" s="1"/>
  <c r="L474" i="7"/>
  <c r="B474" i="7"/>
  <c r="C474" i="7" s="1"/>
  <c r="L473" i="7"/>
  <c r="B473" i="7"/>
  <c r="C473" i="7" s="1"/>
  <c r="L472" i="7"/>
  <c r="B472" i="7"/>
  <c r="C472" i="7" s="1"/>
  <c r="L471" i="7"/>
  <c r="B471" i="7"/>
  <c r="C471" i="7" s="1"/>
  <c r="L470" i="7"/>
  <c r="B470" i="7"/>
  <c r="C470" i="7" s="1"/>
  <c r="L469" i="7"/>
  <c r="B469" i="7"/>
  <c r="C469" i="7" s="1"/>
  <c r="L468" i="7"/>
  <c r="B468" i="7"/>
  <c r="C468" i="7" s="1"/>
  <c r="L467" i="7"/>
  <c r="B467" i="7"/>
  <c r="C467" i="7" s="1"/>
  <c r="L466" i="7"/>
  <c r="B466" i="7"/>
  <c r="C466" i="7" s="1"/>
  <c r="L465" i="7"/>
  <c r="B465" i="7"/>
  <c r="C465" i="7" s="1"/>
  <c r="L464" i="7"/>
  <c r="B464" i="7"/>
  <c r="C464" i="7" s="1"/>
  <c r="L463" i="7"/>
  <c r="B463" i="7"/>
  <c r="C463" i="7" s="1"/>
  <c r="L462" i="7"/>
  <c r="B462" i="7"/>
  <c r="C462" i="7" s="1"/>
  <c r="L461" i="7"/>
  <c r="B461" i="7"/>
  <c r="C461" i="7" s="1"/>
  <c r="L460" i="7"/>
  <c r="B460" i="7"/>
  <c r="C460" i="7" s="1"/>
  <c r="L459" i="7"/>
  <c r="B459" i="7"/>
  <c r="C459" i="7" s="1"/>
  <c r="L458" i="7"/>
  <c r="B458" i="7"/>
  <c r="C458" i="7" s="1"/>
  <c r="L457" i="7"/>
  <c r="B457" i="7"/>
  <c r="C457" i="7" s="1"/>
  <c r="L456" i="7"/>
  <c r="B456" i="7"/>
  <c r="C456" i="7" s="1"/>
  <c r="L455" i="7"/>
  <c r="B455" i="7"/>
  <c r="C455" i="7" s="1"/>
  <c r="L454" i="7"/>
  <c r="B454" i="7"/>
  <c r="C454" i="7" s="1"/>
  <c r="L453" i="7"/>
  <c r="B453" i="7"/>
  <c r="C453" i="7" s="1"/>
  <c r="L452" i="7"/>
  <c r="B452" i="7"/>
  <c r="C452" i="7" s="1"/>
  <c r="L451" i="7"/>
  <c r="B451" i="7"/>
  <c r="C451" i="7" s="1"/>
  <c r="L450" i="7"/>
  <c r="B450" i="7"/>
  <c r="C450" i="7" s="1"/>
  <c r="L449" i="7"/>
  <c r="B449" i="7"/>
  <c r="C449" i="7" s="1"/>
  <c r="L448" i="7"/>
  <c r="B448" i="7"/>
  <c r="C448" i="7" s="1"/>
  <c r="L447" i="7"/>
  <c r="B447" i="7"/>
  <c r="C447" i="7" s="1"/>
  <c r="L446" i="7"/>
  <c r="B446" i="7"/>
  <c r="C446" i="7" s="1"/>
  <c r="L445" i="7"/>
  <c r="B445" i="7"/>
  <c r="C445" i="7" s="1"/>
  <c r="L444" i="7"/>
  <c r="B444" i="7"/>
  <c r="C444" i="7" s="1"/>
  <c r="L443" i="7"/>
  <c r="B443" i="7"/>
  <c r="C443" i="7" s="1"/>
  <c r="L442" i="7"/>
  <c r="B442" i="7"/>
  <c r="C442" i="7" s="1"/>
  <c r="L441" i="7"/>
  <c r="B441" i="7"/>
  <c r="C441" i="7" s="1"/>
  <c r="L440" i="7"/>
  <c r="B440" i="7"/>
  <c r="C440" i="7" s="1"/>
  <c r="L439" i="7"/>
  <c r="B439" i="7"/>
  <c r="C439" i="7" s="1"/>
  <c r="L438" i="7"/>
  <c r="B438" i="7"/>
  <c r="C438" i="7" s="1"/>
  <c r="L437" i="7"/>
  <c r="B437" i="7"/>
  <c r="C437" i="7" s="1"/>
  <c r="L436" i="7"/>
  <c r="B436" i="7"/>
  <c r="C436" i="7" s="1"/>
  <c r="L435" i="7"/>
  <c r="B435" i="7"/>
  <c r="C435" i="7" s="1"/>
  <c r="L434" i="7"/>
  <c r="B434" i="7"/>
  <c r="C434" i="7" s="1"/>
  <c r="L433" i="7"/>
  <c r="B433" i="7"/>
  <c r="C433" i="7" s="1"/>
  <c r="L432" i="7"/>
  <c r="B432" i="7"/>
  <c r="C432" i="7" s="1"/>
  <c r="L431" i="7"/>
  <c r="B431" i="7"/>
  <c r="C431" i="7" s="1"/>
  <c r="L430" i="7"/>
  <c r="B430" i="7"/>
  <c r="C430" i="7" s="1"/>
  <c r="L429" i="7"/>
  <c r="B429" i="7"/>
  <c r="C429" i="7" s="1"/>
  <c r="L428" i="7"/>
  <c r="B428" i="7"/>
  <c r="C428" i="7" s="1"/>
  <c r="L427" i="7"/>
  <c r="B427" i="7"/>
  <c r="C427" i="7" s="1"/>
  <c r="L426" i="7"/>
  <c r="B426" i="7"/>
  <c r="C426" i="7" s="1"/>
  <c r="L425" i="7"/>
  <c r="B425" i="7"/>
  <c r="C425" i="7" s="1"/>
  <c r="L424" i="7"/>
  <c r="B424" i="7"/>
  <c r="C424" i="7" s="1"/>
  <c r="L423" i="7"/>
  <c r="B423" i="7"/>
  <c r="C423" i="7" s="1"/>
  <c r="L422" i="7"/>
  <c r="B422" i="7"/>
  <c r="C422" i="7" s="1"/>
  <c r="L421" i="7"/>
  <c r="B421" i="7"/>
  <c r="C421" i="7" s="1"/>
  <c r="L420" i="7"/>
  <c r="B420" i="7"/>
  <c r="C420" i="7" s="1"/>
  <c r="L419" i="7"/>
  <c r="B419" i="7"/>
  <c r="C419" i="7" s="1"/>
  <c r="L418" i="7"/>
  <c r="B418" i="7"/>
  <c r="C418" i="7" s="1"/>
  <c r="L417" i="7"/>
  <c r="B417" i="7"/>
  <c r="C417" i="7" s="1"/>
  <c r="L416" i="7"/>
  <c r="B416" i="7"/>
  <c r="C416" i="7" s="1"/>
  <c r="L415" i="7"/>
  <c r="B415" i="7"/>
  <c r="C415" i="7" s="1"/>
  <c r="L414" i="7"/>
  <c r="B414" i="7"/>
  <c r="C414" i="7" s="1"/>
  <c r="L413" i="7"/>
  <c r="B413" i="7"/>
  <c r="C413" i="7" s="1"/>
  <c r="L412" i="7"/>
  <c r="B412" i="7"/>
  <c r="C412" i="7" s="1"/>
  <c r="L411" i="7"/>
  <c r="B411" i="7"/>
  <c r="C411" i="7" s="1"/>
  <c r="L410" i="7"/>
  <c r="B410" i="7"/>
  <c r="C410" i="7" s="1"/>
  <c r="L409" i="7"/>
  <c r="B409" i="7"/>
  <c r="C409" i="7" s="1"/>
  <c r="L408" i="7"/>
  <c r="B408" i="7"/>
  <c r="C408" i="7" s="1"/>
  <c r="L407" i="7"/>
  <c r="B407" i="7"/>
  <c r="C407" i="7" s="1"/>
  <c r="L406" i="7"/>
  <c r="B406" i="7"/>
  <c r="C406" i="7" s="1"/>
  <c r="L405" i="7"/>
  <c r="B405" i="7"/>
  <c r="C405" i="7" s="1"/>
  <c r="L404" i="7"/>
  <c r="B404" i="7"/>
  <c r="C404" i="7" s="1"/>
  <c r="L403" i="7"/>
  <c r="B403" i="7"/>
  <c r="C403" i="7" s="1"/>
  <c r="L402" i="7"/>
  <c r="B402" i="7"/>
  <c r="C402" i="7" s="1"/>
  <c r="L401" i="7"/>
  <c r="B401" i="7"/>
  <c r="C401" i="7" s="1"/>
  <c r="L400" i="7"/>
  <c r="B400" i="7"/>
  <c r="C400" i="7" s="1"/>
  <c r="L399" i="7"/>
  <c r="B399" i="7"/>
  <c r="C399" i="7" s="1"/>
  <c r="L398" i="7"/>
  <c r="B398" i="7"/>
  <c r="C398" i="7" s="1"/>
  <c r="L397" i="7"/>
  <c r="B397" i="7"/>
  <c r="C397" i="7" s="1"/>
  <c r="L396" i="7"/>
  <c r="B396" i="7"/>
  <c r="C396" i="7" s="1"/>
  <c r="L395" i="7"/>
  <c r="B395" i="7"/>
  <c r="C395" i="7" s="1"/>
  <c r="L394" i="7"/>
  <c r="B394" i="7"/>
  <c r="C394" i="7" s="1"/>
  <c r="L393" i="7"/>
  <c r="B393" i="7"/>
  <c r="C393" i="7" s="1"/>
  <c r="L392" i="7"/>
  <c r="B392" i="7"/>
  <c r="C392" i="7" s="1"/>
  <c r="L391" i="7"/>
  <c r="B391" i="7"/>
  <c r="C391" i="7" s="1"/>
  <c r="L390" i="7"/>
  <c r="B390" i="7"/>
  <c r="C390" i="7" s="1"/>
  <c r="L389" i="7"/>
  <c r="B389" i="7"/>
  <c r="C389" i="7" s="1"/>
  <c r="L388" i="7"/>
  <c r="B388" i="7"/>
  <c r="C388" i="7" s="1"/>
  <c r="L387" i="7"/>
  <c r="B387" i="7"/>
  <c r="C387" i="7" s="1"/>
  <c r="L386" i="7"/>
  <c r="B386" i="7"/>
  <c r="C386" i="7" s="1"/>
  <c r="L385" i="7"/>
  <c r="B385" i="7"/>
  <c r="C385" i="7" s="1"/>
  <c r="L384" i="7"/>
  <c r="B384" i="7"/>
  <c r="C384" i="7" s="1"/>
  <c r="L383" i="7"/>
  <c r="B383" i="7"/>
  <c r="C383" i="7" s="1"/>
  <c r="L382" i="7"/>
  <c r="B382" i="7"/>
  <c r="C382" i="7" s="1"/>
  <c r="L381" i="7"/>
  <c r="B381" i="7"/>
  <c r="C381" i="7" s="1"/>
  <c r="L380" i="7"/>
  <c r="B380" i="7"/>
  <c r="C380" i="7" s="1"/>
  <c r="L379" i="7"/>
  <c r="B379" i="7"/>
  <c r="C379" i="7" s="1"/>
  <c r="L378" i="7"/>
  <c r="B378" i="7"/>
  <c r="C378" i="7" s="1"/>
  <c r="L377" i="7"/>
  <c r="B377" i="7"/>
  <c r="C377" i="7" s="1"/>
  <c r="L376" i="7"/>
  <c r="B376" i="7"/>
  <c r="C376" i="7" s="1"/>
  <c r="L375" i="7"/>
  <c r="B375" i="7"/>
  <c r="C375" i="7" s="1"/>
  <c r="L374" i="7"/>
  <c r="B374" i="7"/>
  <c r="C374" i="7" s="1"/>
  <c r="L373" i="7"/>
  <c r="B373" i="7"/>
  <c r="C373" i="7" s="1"/>
  <c r="L372" i="7"/>
  <c r="B372" i="7"/>
  <c r="C372" i="7" s="1"/>
  <c r="L371" i="7"/>
  <c r="B371" i="7"/>
  <c r="C371" i="7" s="1"/>
  <c r="L370" i="7"/>
  <c r="B370" i="7"/>
  <c r="C370" i="7" s="1"/>
  <c r="L369" i="7"/>
  <c r="B369" i="7"/>
  <c r="C369" i="7" s="1"/>
  <c r="L368" i="7"/>
  <c r="B368" i="7"/>
  <c r="C368" i="7" s="1"/>
  <c r="L367" i="7"/>
  <c r="B367" i="7"/>
  <c r="C367" i="7" s="1"/>
  <c r="L366" i="7"/>
  <c r="B366" i="7"/>
  <c r="C366" i="7" s="1"/>
  <c r="L365" i="7"/>
  <c r="B365" i="7"/>
  <c r="C365" i="7" s="1"/>
  <c r="L364" i="7"/>
  <c r="B364" i="7"/>
  <c r="C364" i="7" s="1"/>
  <c r="L363" i="7"/>
  <c r="B363" i="7"/>
  <c r="C363" i="7" s="1"/>
  <c r="L362" i="7"/>
  <c r="B362" i="7"/>
  <c r="C362" i="7" s="1"/>
  <c r="L361" i="7"/>
  <c r="B361" i="7"/>
  <c r="C361" i="7" s="1"/>
  <c r="L360" i="7"/>
  <c r="B360" i="7"/>
  <c r="C360" i="7" s="1"/>
  <c r="L359" i="7"/>
  <c r="B359" i="7"/>
  <c r="C359" i="7" s="1"/>
  <c r="L358" i="7"/>
  <c r="B358" i="7"/>
  <c r="C358" i="7" s="1"/>
  <c r="L357" i="7"/>
  <c r="B357" i="7"/>
  <c r="C357" i="7" s="1"/>
  <c r="L356" i="7"/>
  <c r="B356" i="7"/>
  <c r="C356" i="7" s="1"/>
  <c r="L355" i="7"/>
  <c r="B355" i="7"/>
  <c r="C355" i="7" s="1"/>
  <c r="L354" i="7"/>
  <c r="B354" i="7"/>
  <c r="C354" i="7" s="1"/>
  <c r="L353" i="7"/>
  <c r="B353" i="7"/>
  <c r="C353" i="7" s="1"/>
  <c r="L352" i="7"/>
  <c r="B352" i="7"/>
  <c r="C352" i="7" s="1"/>
  <c r="L351" i="7"/>
  <c r="B351" i="7"/>
  <c r="C351" i="7" s="1"/>
  <c r="L350" i="7"/>
  <c r="B350" i="7"/>
  <c r="C350" i="7" s="1"/>
  <c r="L349" i="7"/>
  <c r="B349" i="7"/>
  <c r="C349" i="7" s="1"/>
  <c r="L348" i="7"/>
  <c r="B348" i="7"/>
  <c r="C348" i="7" s="1"/>
  <c r="L347" i="7"/>
  <c r="B347" i="7"/>
  <c r="C347" i="7" s="1"/>
  <c r="L346" i="7"/>
  <c r="B346" i="7"/>
  <c r="C346" i="7" s="1"/>
  <c r="L345" i="7"/>
  <c r="B345" i="7"/>
  <c r="C345" i="7" s="1"/>
  <c r="L344" i="7"/>
  <c r="B344" i="7"/>
  <c r="C344" i="7" s="1"/>
  <c r="L343" i="7"/>
  <c r="B343" i="7"/>
  <c r="C343" i="7" s="1"/>
  <c r="L342" i="7"/>
  <c r="B342" i="7"/>
  <c r="C342" i="7" s="1"/>
  <c r="L341" i="7"/>
  <c r="B341" i="7"/>
  <c r="C341" i="7" s="1"/>
  <c r="L340" i="7"/>
  <c r="B340" i="7"/>
  <c r="C340" i="7" s="1"/>
  <c r="L339" i="7"/>
  <c r="B339" i="7"/>
  <c r="C339" i="7" s="1"/>
  <c r="L338" i="7"/>
  <c r="B338" i="7"/>
  <c r="C338" i="7" s="1"/>
  <c r="L337" i="7"/>
  <c r="B337" i="7"/>
  <c r="C337" i="7" s="1"/>
  <c r="L336" i="7"/>
  <c r="B336" i="7"/>
  <c r="C336" i="7" s="1"/>
  <c r="L335" i="7"/>
  <c r="B335" i="7"/>
  <c r="C335" i="7" s="1"/>
  <c r="L334" i="7"/>
  <c r="B334" i="7"/>
  <c r="C334" i="7" s="1"/>
  <c r="L333" i="7"/>
  <c r="B333" i="7"/>
  <c r="C333" i="7" s="1"/>
  <c r="L332" i="7"/>
  <c r="B332" i="7"/>
  <c r="C332" i="7" s="1"/>
  <c r="L331" i="7"/>
  <c r="B331" i="7"/>
  <c r="C331" i="7" s="1"/>
  <c r="L330" i="7"/>
  <c r="B330" i="7"/>
  <c r="C330" i="7" s="1"/>
  <c r="L329" i="7"/>
  <c r="B329" i="7"/>
  <c r="C329" i="7" s="1"/>
  <c r="L328" i="7"/>
  <c r="B328" i="7"/>
  <c r="C328" i="7" s="1"/>
  <c r="L327" i="7"/>
  <c r="B327" i="7"/>
  <c r="C327" i="7" s="1"/>
  <c r="L326" i="7"/>
  <c r="B326" i="7"/>
  <c r="C326" i="7" s="1"/>
  <c r="L325" i="7"/>
  <c r="B325" i="7"/>
  <c r="C325" i="7" s="1"/>
  <c r="L324" i="7"/>
  <c r="B324" i="7"/>
  <c r="C324" i="7" s="1"/>
  <c r="L323" i="7"/>
  <c r="B323" i="7"/>
  <c r="C323" i="7" s="1"/>
  <c r="L322" i="7"/>
  <c r="B322" i="7"/>
  <c r="C322" i="7" s="1"/>
  <c r="L321" i="7"/>
  <c r="B321" i="7"/>
  <c r="C321" i="7" s="1"/>
  <c r="L320" i="7"/>
  <c r="B320" i="7"/>
  <c r="C320" i="7" s="1"/>
  <c r="L319" i="7"/>
  <c r="B319" i="7"/>
  <c r="C319" i="7" s="1"/>
  <c r="L318" i="7"/>
  <c r="B318" i="7"/>
  <c r="C318" i="7" s="1"/>
  <c r="L317" i="7"/>
  <c r="B317" i="7"/>
  <c r="C317" i="7" s="1"/>
  <c r="L316" i="7"/>
  <c r="B316" i="7"/>
  <c r="C316" i="7" s="1"/>
  <c r="L315" i="7"/>
  <c r="B315" i="7"/>
  <c r="C315" i="7" s="1"/>
  <c r="L314" i="7"/>
  <c r="B314" i="7"/>
  <c r="C314" i="7" s="1"/>
  <c r="L313" i="7"/>
  <c r="B313" i="7"/>
  <c r="C313" i="7" s="1"/>
  <c r="L312" i="7"/>
  <c r="B312" i="7"/>
  <c r="C312" i="7" s="1"/>
  <c r="L311" i="7"/>
  <c r="B311" i="7"/>
  <c r="C311" i="7" s="1"/>
  <c r="L310" i="7"/>
  <c r="B310" i="7"/>
  <c r="C310" i="7" s="1"/>
  <c r="L309" i="7"/>
  <c r="B309" i="7"/>
  <c r="C309" i="7" s="1"/>
  <c r="L308" i="7"/>
  <c r="B308" i="7"/>
  <c r="C308" i="7" s="1"/>
  <c r="L307" i="7"/>
  <c r="B307" i="7"/>
  <c r="C307" i="7" s="1"/>
  <c r="L306" i="7"/>
  <c r="B306" i="7"/>
  <c r="C306" i="7" s="1"/>
  <c r="L305" i="7"/>
  <c r="B305" i="7"/>
  <c r="C305" i="7" s="1"/>
  <c r="L304" i="7"/>
  <c r="B304" i="7"/>
  <c r="C304" i="7" s="1"/>
  <c r="L303" i="7"/>
  <c r="B303" i="7"/>
  <c r="C303" i="7" s="1"/>
  <c r="L302" i="7"/>
  <c r="B302" i="7"/>
  <c r="C302" i="7" s="1"/>
  <c r="L301" i="7"/>
  <c r="B301" i="7"/>
  <c r="C301" i="7" s="1"/>
  <c r="L300" i="7"/>
  <c r="B300" i="7"/>
  <c r="C300" i="7" s="1"/>
  <c r="L299" i="7"/>
  <c r="B299" i="7"/>
  <c r="C299" i="7" s="1"/>
  <c r="L298" i="7"/>
  <c r="B298" i="7"/>
  <c r="C298" i="7" s="1"/>
  <c r="L297" i="7"/>
  <c r="B297" i="7"/>
  <c r="C297" i="7" s="1"/>
  <c r="L296" i="7"/>
  <c r="B296" i="7"/>
  <c r="C296" i="7" s="1"/>
  <c r="L295" i="7"/>
  <c r="B295" i="7"/>
  <c r="C295" i="7" s="1"/>
  <c r="L294" i="7"/>
  <c r="B294" i="7"/>
  <c r="C294" i="7" s="1"/>
  <c r="L293" i="7"/>
  <c r="B293" i="7"/>
  <c r="C293" i="7" s="1"/>
  <c r="L292" i="7"/>
  <c r="B292" i="7"/>
  <c r="C292" i="7" s="1"/>
  <c r="L291" i="7"/>
  <c r="B291" i="7"/>
  <c r="C291" i="7" s="1"/>
  <c r="L290" i="7"/>
  <c r="B290" i="7"/>
  <c r="C290" i="7" s="1"/>
  <c r="L289" i="7"/>
  <c r="B289" i="7"/>
  <c r="C289" i="7" s="1"/>
  <c r="L288" i="7"/>
  <c r="B288" i="7"/>
  <c r="C288" i="7" s="1"/>
  <c r="L287" i="7"/>
  <c r="B287" i="7"/>
  <c r="C287" i="7" s="1"/>
  <c r="L286" i="7"/>
  <c r="B286" i="7"/>
  <c r="C286" i="7" s="1"/>
  <c r="L285" i="7"/>
  <c r="B285" i="7"/>
  <c r="C285" i="7" s="1"/>
  <c r="L284" i="7"/>
  <c r="B284" i="7"/>
  <c r="C284" i="7" s="1"/>
  <c r="L283" i="7"/>
  <c r="B283" i="7"/>
  <c r="C283" i="7" s="1"/>
  <c r="L282" i="7"/>
  <c r="B282" i="7"/>
  <c r="C282" i="7" s="1"/>
  <c r="L281" i="7"/>
  <c r="B281" i="7"/>
  <c r="C281" i="7" s="1"/>
  <c r="L280" i="7"/>
  <c r="B280" i="7"/>
  <c r="C280" i="7" s="1"/>
  <c r="L279" i="7"/>
  <c r="B279" i="7"/>
  <c r="C279" i="7" s="1"/>
  <c r="L278" i="7"/>
  <c r="B278" i="7"/>
  <c r="C278" i="7" s="1"/>
  <c r="L277" i="7"/>
  <c r="B277" i="7"/>
  <c r="C277" i="7" s="1"/>
  <c r="L276" i="7"/>
  <c r="B276" i="7"/>
  <c r="C276" i="7" s="1"/>
  <c r="L275" i="7"/>
  <c r="B275" i="7"/>
  <c r="C275" i="7" s="1"/>
  <c r="L274" i="7"/>
  <c r="B274" i="7"/>
  <c r="C274" i="7" s="1"/>
  <c r="L273" i="7"/>
  <c r="B273" i="7"/>
  <c r="C273" i="7" s="1"/>
  <c r="L272" i="7"/>
  <c r="B272" i="7"/>
  <c r="C272" i="7" s="1"/>
  <c r="L271" i="7"/>
  <c r="B271" i="7"/>
  <c r="C271" i="7" s="1"/>
  <c r="L270" i="7"/>
  <c r="B270" i="7"/>
  <c r="C270" i="7" s="1"/>
  <c r="L269" i="7"/>
  <c r="B269" i="7"/>
  <c r="C269" i="7" s="1"/>
  <c r="L268" i="7"/>
  <c r="B268" i="7"/>
  <c r="C268" i="7" s="1"/>
  <c r="L267" i="7"/>
  <c r="B267" i="7"/>
  <c r="C267" i="7" s="1"/>
  <c r="L266" i="7"/>
  <c r="B266" i="7"/>
  <c r="C266" i="7" s="1"/>
  <c r="L265" i="7"/>
  <c r="B265" i="7"/>
  <c r="C265" i="7" s="1"/>
  <c r="L264" i="7"/>
  <c r="B264" i="7"/>
  <c r="C264" i="7" s="1"/>
  <c r="L263" i="7"/>
  <c r="B263" i="7"/>
  <c r="C263" i="7" s="1"/>
  <c r="L262" i="7"/>
  <c r="B262" i="7"/>
  <c r="C262" i="7" s="1"/>
  <c r="L261" i="7"/>
  <c r="B261" i="7"/>
  <c r="C261" i="7" s="1"/>
  <c r="L260" i="7"/>
  <c r="B260" i="7"/>
  <c r="C260" i="7" s="1"/>
  <c r="L259" i="7"/>
  <c r="B259" i="7"/>
  <c r="C259" i="7" s="1"/>
  <c r="L258" i="7"/>
  <c r="B258" i="7"/>
  <c r="C258" i="7" s="1"/>
  <c r="L257" i="7"/>
  <c r="B257" i="7"/>
  <c r="C257" i="7" s="1"/>
  <c r="L256" i="7"/>
  <c r="B256" i="7"/>
  <c r="C256" i="7" s="1"/>
  <c r="L255" i="7"/>
  <c r="B255" i="7"/>
  <c r="C255" i="7" s="1"/>
  <c r="L254" i="7"/>
  <c r="B254" i="7"/>
  <c r="C254" i="7" s="1"/>
  <c r="L253" i="7"/>
  <c r="B253" i="7"/>
  <c r="C253" i="7" s="1"/>
  <c r="L252" i="7"/>
  <c r="B252" i="7"/>
  <c r="C252" i="7" s="1"/>
  <c r="L251" i="7"/>
  <c r="B251" i="7"/>
  <c r="C251" i="7" s="1"/>
  <c r="L250" i="7"/>
  <c r="B250" i="7"/>
  <c r="C250" i="7" s="1"/>
  <c r="L249" i="7"/>
  <c r="B249" i="7"/>
  <c r="C249" i="7" s="1"/>
  <c r="L248" i="7"/>
  <c r="B248" i="7"/>
  <c r="C248" i="7" s="1"/>
  <c r="L247" i="7"/>
  <c r="B247" i="7"/>
  <c r="C247" i="7" s="1"/>
  <c r="L246" i="7"/>
  <c r="B246" i="7"/>
  <c r="C246" i="7" s="1"/>
  <c r="L245" i="7"/>
  <c r="B245" i="7"/>
  <c r="C245" i="7" s="1"/>
  <c r="L244" i="7"/>
  <c r="B244" i="7"/>
  <c r="C244" i="7" s="1"/>
  <c r="L243" i="7"/>
  <c r="B243" i="7"/>
  <c r="C243" i="7" s="1"/>
  <c r="L242" i="7"/>
  <c r="B242" i="7"/>
  <c r="C242" i="7" s="1"/>
  <c r="L241" i="7"/>
  <c r="B241" i="7"/>
  <c r="C241" i="7" s="1"/>
  <c r="L240" i="7"/>
  <c r="B240" i="7"/>
  <c r="C240" i="7" s="1"/>
  <c r="L239" i="7"/>
  <c r="B239" i="7"/>
  <c r="C239" i="7" s="1"/>
  <c r="L238" i="7"/>
  <c r="B238" i="7"/>
  <c r="C238" i="7" s="1"/>
  <c r="L237" i="7"/>
  <c r="B237" i="7"/>
  <c r="C237" i="7" s="1"/>
  <c r="L236" i="7"/>
  <c r="B236" i="7"/>
  <c r="C236" i="7" s="1"/>
  <c r="L235" i="7"/>
  <c r="B235" i="7"/>
  <c r="C235" i="7" s="1"/>
  <c r="L234" i="7"/>
  <c r="B234" i="7"/>
  <c r="C234" i="7" s="1"/>
  <c r="L233" i="7"/>
  <c r="B233" i="7"/>
  <c r="C233" i="7" s="1"/>
  <c r="L232" i="7"/>
  <c r="B232" i="7"/>
  <c r="C232" i="7" s="1"/>
  <c r="L231" i="7"/>
  <c r="B231" i="7"/>
  <c r="C231" i="7" s="1"/>
  <c r="L230" i="7"/>
  <c r="B230" i="7"/>
  <c r="C230" i="7" s="1"/>
  <c r="L229" i="7"/>
  <c r="B229" i="7"/>
  <c r="C229" i="7" s="1"/>
  <c r="L228" i="7"/>
  <c r="B228" i="7"/>
  <c r="C228" i="7" s="1"/>
  <c r="L227" i="7"/>
  <c r="B227" i="7"/>
  <c r="C227" i="7" s="1"/>
  <c r="L226" i="7"/>
  <c r="B226" i="7"/>
  <c r="C226" i="7" s="1"/>
  <c r="L225" i="7"/>
  <c r="B225" i="7"/>
  <c r="C225" i="7" s="1"/>
  <c r="L224" i="7"/>
  <c r="B224" i="7"/>
  <c r="C224" i="7" s="1"/>
  <c r="L223" i="7"/>
  <c r="B223" i="7"/>
  <c r="C223" i="7" s="1"/>
  <c r="L222" i="7"/>
  <c r="B222" i="7"/>
  <c r="C222" i="7" s="1"/>
  <c r="L221" i="7"/>
  <c r="B221" i="7"/>
  <c r="C221" i="7" s="1"/>
  <c r="L220" i="7"/>
  <c r="B220" i="7"/>
  <c r="C220" i="7" s="1"/>
  <c r="L219" i="7"/>
  <c r="B219" i="7"/>
  <c r="C219" i="7" s="1"/>
  <c r="L218" i="7"/>
  <c r="B218" i="7"/>
  <c r="C218" i="7" s="1"/>
  <c r="L217" i="7"/>
  <c r="B217" i="7"/>
  <c r="C217" i="7" s="1"/>
  <c r="L216" i="7"/>
  <c r="B216" i="7"/>
  <c r="C216" i="7" s="1"/>
  <c r="L215" i="7"/>
  <c r="B215" i="7"/>
  <c r="C215" i="7" s="1"/>
  <c r="L214" i="7"/>
  <c r="B214" i="7"/>
  <c r="C214" i="7" s="1"/>
  <c r="L213" i="7"/>
  <c r="B213" i="7"/>
  <c r="C213" i="7" s="1"/>
  <c r="L212" i="7"/>
  <c r="B212" i="7"/>
  <c r="C212" i="7" s="1"/>
  <c r="L211" i="7"/>
  <c r="B211" i="7"/>
  <c r="C211" i="7" s="1"/>
  <c r="L210" i="7"/>
  <c r="B210" i="7"/>
  <c r="C210" i="7" s="1"/>
  <c r="L209" i="7"/>
  <c r="B209" i="7"/>
  <c r="C209" i="7" s="1"/>
  <c r="L208" i="7"/>
  <c r="B208" i="7"/>
  <c r="C208" i="7" s="1"/>
  <c r="L207" i="7"/>
  <c r="B207" i="7"/>
  <c r="C207" i="7" s="1"/>
  <c r="L206" i="7"/>
  <c r="B206" i="7"/>
  <c r="C206" i="7" s="1"/>
  <c r="L205" i="7"/>
  <c r="B205" i="7"/>
  <c r="C205" i="7" s="1"/>
  <c r="L204" i="7"/>
  <c r="B204" i="7"/>
  <c r="C204" i="7" s="1"/>
  <c r="L203" i="7"/>
  <c r="B203" i="7"/>
  <c r="C203" i="7" s="1"/>
  <c r="L202" i="7"/>
  <c r="B202" i="7"/>
  <c r="C202" i="7" s="1"/>
  <c r="L201" i="7"/>
  <c r="B201" i="7"/>
  <c r="C201" i="7" s="1"/>
  <c r="L200" i="7"/>
  <c r="B200" i="7"/>
  <c r="C200" i="7" s="1"/>
  <c r="L199" i="7"/>
  <c r="B199" i="7"/>
  <c r="C199" i="7" s="1"/>
  <c r="L198" i="7"/>
  <c r="B198" i="7"/>
  <c r="C198" i="7" s="1"/>
  <c r="L197" i="7"/>
  <c r="B197" i="7"/>
  <c r="C197" i="7" s="1"/>
  <c r="L196" i="7"/>
  <c r="B196" i="7"/>
  <c r="C196" i="7" s="1"/>
  <c r="L195" i="7"/>
  <c r="B195" i="7"/>
  <c r="C195" i="7" s="1"/>
  <c r="L194" i="7"/>
  <c r="B194" i="7"/>
  <c r="C194" i="7" s="1"/>
  <c r="L193" i="7"/>
  <c r="B193" i="7"/>
  <c r="C193" i="7" s="1"/>
  <c r="L192" i="7"/>
  <c r="B192" i="7"/>
  <c r="C192" i="7" s="1"/>
  <c r="L191" i="7"/>
  <c r="B191" i="7"/>
  <c r="C191" i="7" s="1"/>
  <c r="L190" i="7"/>
  <c r="B190" i="7"/>
  <c r="C190" i="7" s="1"/>
  <c r="L189" i="7"/>
  <c r="B189" i="7"/>
  <c r="C189" i="7" s="1"/>
  <c r="L188" i="7"/>
  <c r="B188" i="7"/>
  <c r="C188" i="7" s="1"/>
  <c r="L187" i="7"/>
  <c r="B187" i="7"/>
  <c r="C187" i="7" s="1"/>
  <c r="L186" i="7"/>
  <c r="B186" i="7"/>
  <c r="C186" i="7" s="1"/>
  <c r="L185" i="7"/>
  <c r="B185" i="7"/>
  <c r="C185" i="7" s="1"/>
  <c r="L184" i="7"/>
  <c r="B184" i="7"/>
  <c r="C184" i="7" s="1"/>
  <c r="L183" i="7"/>
  <c r="B183" i="7"/>
  <c r="C183" i="7" s="1"/>
  <c r="L182" i="7"/>
  <c r="B182" i="7"/>
  <c r="C182" i="7" s="1"/>
  <c r="L181" i="7"/>
  <c r="B181" i="7"/>
  <c r="C181" i="7" s="1"/>
  <c r="L180" i="7"/>
  <c r="B180" i="7"/>
  <c r="C180" i="7" s="1"/>
  <c r="L179" i="7"/>
  <c r="B179" i="7"/>
  <c r="C179" i="7" s="1"/>
  <c r="L178" i="7"/>
  <c r="B178" i="7"/>
  <c r="C178" i="7" s="1"/>
  <c r="L177" i="7"/>
  <c r="B177" i="7"/>
  <c r="C177" i="7" s="1"/>
  <c r="L176" i="7"/>
  <c r="B176" i="7"/>
  <c r="C176" i="7" s="1"/>
  <c r="L175" i="7"/>
  <c r="B175" i="7"/>
  <c r="C175" i="7" s="1"/>
  <c r="L174" i="7"/>
  <c r="B174" i="7"/>
  <c r="C174" i="7" s="1"/>
  <c r="L173" i="7"/>
  <c r="B173" i="7"/>
  <c r="C173" i="7" s="1"/>
  <c r="L172" i="7"/>
  <c r="B172" i="7"/>
  <c r="C172" i="7" s="1"/>
  <c r="L171" i="7"/>
  <c r="B171" i="7"/>
  <c r="C171" i="7" s="1"/>
  <c r="L170" i="7"/>
  <c r="B170" i="7"/>
  <c r="C170" i="7" s="1"/>
  <c r="L169" i="7"/>
  <c r="B169" i="7"/>
  <c r="C169" i="7" s="1"/>
  <c r="L168" i="7"/>
  <c r="B168" i="7"/>
  <c r="C168" i="7" s="1"/>
  <c r="L167" i="7"/>
  <c r="B167" i="7"/>
  <c r="C167" i="7" s="1"/>
  <c r="L166" i="7"/>
  <c r="B166" i="7"/>
  <c r="C166" i="7" s="1"/>
  <c r="L165" i="7"/>
  <c r="B165" i="7"/>
  <c r="C165" i="7" s="1"/>
  <c r="L164" i="7"/>
  <c r="B164" i="7"/>
  <c r="C164" i="7" s="1"/>
  <c r="L163" i="7"/>
  <c r="B163" i="7"/>
  <c r="C163" i="7" s="1"/>
  <c r="L162" i="7"/>
  <c r="B162" i="7"/>
  <c r="C162" i="7" s="1"/>
  <c r="L161" i="7"/>
  <c r="B161" i="7"/>
  <c r="C161" i="7" s="1"/>
  <c r="L160" i="7"/>
  <c r="B160" i="7"/>
  <c r="C160" i="7" s="1"/>
  <c r="L159" i="7"/>
  <c r="B159" i="7"/>
  <c r="C159" i="7" s="1"/>
  <c r="L158" i="7"/>
  <c r="B158" i="7"/>
  <c r="C158" i="7" s="1"/>
  <c r="L157" i="7"/>
  <c r="B157" i="7"/>
  <c r="C157" i="7" s="1"/>
  <c r="L156" i="7"/>
  <c r="B156" i="7"/>
  <c r="C156" i="7" s="1"/>
  <c r="L155" i="7"/>
  <c r="B155" i="7"/>
  <c r="C155" i="7" s="1"/>
  <c r="L154" i="7"/>
  <c r="B154" i="7"/>
  <c r="C154" i="7" s="1"/>
  <c r="L153" i="7"/>
  <c r="B153" i="7"/>
  <c r="C153" i="7" s="1"/>
  <c r="L152" i="7"/>
  <c r="B152" i="7"/>
  <c r="C152" i="7" s="1"/>
  <c r="L151" i="7"/>
  <c r="B151" i="7"/>
  <c r="C151" i="7" s="1"/>
  <c r="L150" i="7"/>
  <c r="B150" i="7"/>
  <c r="C150" i="7" s="1"/>
  <c r="L149" i="7"/>
  <c r="B149" i="7"/>
  <c r="C149" i="7" s="1"/>
  <c r="L148" i="7"/>
  <c r="B148" i="7"/>
  <c r="C148" i="7" s="1"/>
  <c r="L147" i="7"/>
  <c r="B147" i="7"/>
  <c r="C147" i="7" s="1"/>
  <c r="L146" i="7"/>
  <c r="B146" i="7"/>
  <c r="C146" i="7" s="1"/>
  <c r="L145" i="7"/>
  <c r="B145" i="7"/>
  <c r="C145" i="7" s="1"/>
  <c r="L144" i="7"/>
  <c r="B144" i="7"/>
  <c r="C144" i="7" s="1"/>
  <c r="L143" i="7"/>
  <c r="B143" i="7"/>
  <c r="C143" i="7" s="1"/>
  <c r="L142" i="7"/>
  <c r="B142" i="7"/>
  <c r="C142" i="7" s="1"/>
  <c r="L141" i="7"/>
  <c r="B141" i="7"/>
  <c r="C141" i="7" s="1"/>
  <c r="L140" i="7"/>
  <c r="B140" i="7"/>
  <c r="C140" i="7" s="1"/>
  <c r="L139" i="7"/>
  <c r="B139" i="7"/>
  <c r="C139" i="7" s="1"/>
  <c r="L138" i="7"/>
  <c r="B138" i="7"/>
  <c r="C138" i="7" s="1"/>
  <c r="L137" i="7"/>
  <c r="B137" i="7"/>
  <c r="C137" i="7" s="1"/>
  <c r="L136" i="7"/>
  <c r="B136" i="7"/>
  <c r="C136" i="7" s="1"/>
  <c r="L135" i="7"/>
  <c r="B135" i="7"/>
  <c r="C135" i="7" s="1"/>
  <c r="L134" i="7"/>
  <c r="B134" i="7"/>
  <c r="C134" i="7" s="1"/>
  <c r="L133" i="7"/>
  <c r="B133" i="7"/>
  <c r="C133" i="7" s="1"/>
  <c r="L132" i="7"/>
  <c r="B132" i="7"/>
  <c r="C132" i="7" s="1"/>
  <c r="L131" i="7"/>
  <c r="B131" i="7"/>
  <c r="C131" i="7" s="1"/>
  <c r="L130" i="7"/>
  <c r="B130" i="7"/>
  <c r="C130" i="7" s="1"/>
  <c r="L129" i="7"/>
  <c r="B129" i="7"/>
  <c r="C129" i="7" s="1"/>
  <c r="L128" i="7"/>
  <c r="B128" i="7"/>
  <c r="C128" i="7" s="1"/>
  <c r="L127" i="7"/>
  <c r="B127" i="7"/>
  <c r="C127" i="7" s="1"/>
  <c r="L126" i="7"/>
  <c r="B126" i="7"/>
  <c r="C126" i="7" s="1"/>
  <c r="L125" i="7"/>
  <c r="B125" i="7"/>
  <c r="C125" i="7" s="1"/>
  <c r="L124" i="7"/>
  <c r="B124" i="7"/>
  <c r="C124" i="7" s="1"/>
  <c r="L123" i="7"/>
  <c r="B123" i="7"/>
  <c r="C123" i="7" s="1"/>
  <c r="L122" i="7"/>
  <c r="B122" i="7"/>
  <c r="C122" i="7" s="1"/>
  <c r="L121" i="7"/>
  <c r="B121" i="7"/>
  <c r="C121" i="7" s="1"/>
  <c r="L120" i="7"/>
  <c r="B120" i="7"/>
  <c r="C120" i="7" s="1"/>
  <c r="L119" i="7"/>
  <c r="B119" i="7"/>
  <c r="C119" i="7" s="1"/>
  <c r="L118" i="7"/>
  <c r="B118" i="7"/>
  <c r="C118" i="7" s="1"/>
  <c r="L117" i="7"/>
  <c r="B117" i="7"/>
  <c r="C117" i="7" s="1"/>
  <c r="L116" i="7"/>
  <c r="B116" i="7"/>
  <c r="C116" i="7" s="1"/>
  <c r="L115" i="7"/>
  <c r="B115" i="7"/>
  <c r="C115" i="7" s="1"/>
  <c r="L114" i="7"/>
  <c r="B114" i="7"/>
  <c r="C114" i="7" s="1"/>
  <c r="L113" i="7"/>
  <c r="B113" i="7"/>
  <c r="C113" i="7" s="1"/>
  <c r="L112" i="7"/>
  <c r="B112" i="7"/>
  <c r="C112" i="7" s="1"/>
  <c r="L111" i="7"/>
  <c r="B111" i="7"/>
  <c r="C111" i="7" s="1"/>
  <c r="L110" i="7"/>
  <c r="B110" i="7"/>
  <c r="C110" i="7" s="1"/>
  <c r="L109" i="7"/>
  <c r="B109" i="7"/>
  <c r="C109" i="7" s="1"/>
  <c r="L108" i="7"/>
  <c r="B108" i="7"/>
  <c r="C108" i="7" s="1"/>
  <c r="L107" i="7"/>
  <c r="B107" i="7"/>
  <c r="C107" i="7" s="1"/>
  <c r="L106" i="7"/>
  <c r="B106" i="7"/>
  <c r="C106" i="7" s="1"/>
  <c r="L105" i="7"/>
  <c r="B105" i="7"/>
  <c r="C105" i="7" s="1"/>
  <c r="L104" i="7"/>
  <c r="B104" i="7"/>
  <c r="C104" i="7" s="1"/>
  <c r="L103" i="7"/>
  <c r="B103" i="7"/>
  <c r="C103" i="7" s="1"/>
  <c r="L102" i="7"/>
  <c r="B102" i="7"/>
  <c r="C102" i="7" s="1"/>
  <c r="L101" i="7"/>
  <c r="B101" i="7"/>
  <c r="C101" i="7" s="1"/>
  <c r="L100" i="7"/>
  <c r="B100" i="7"/>
  <c r="C100" i="7" s="1"/>
  <c r="L99" i="7"/>
  <c r="B99" i="7"/>
  <c r="C99" i="7" s="1"/>
  <c r="L98" i="7"/>
  <c r="B98" i="7"/>
  <c r="C98" i="7" s="1"/>
  <c r="L97" i="7"/>
  <c r="B97" i="7"/>
  <c r="C97" i="7" s="1"/>
  <c r="L96" i="7"/>
  <c r="B96" i="7"/>
  <c r="C96" i="7" s="1"/>
  <c r="L95" i="7"/>
  <c r="B95" i="7"/>
  <c r="C95" i="7" s="1"/>
  <c r="L94" i="7"/>
  <c r="B94" i="7"/>
  <c r="C94" i="7" s="1"/>
  <c r="L93" i="7"/>
  <c r="B93" i="7"/>
  <c r="C93" i="7" s="1"/>
  <c r="L92" i="7"/>
  <c r="B92" i="7"/>
  <c r="C92" i="7" s="1"/>
  <c r="L91" i="7"/>
  <c r="B91" i="7"/>
  <c r="C91" i="7" s="1"/>
  <c r="L90" i="7"/>
  <c r="B90" i="7"/>
  <c r="C90" i="7" s="1"/>
  <c r="L89" i="7"/>
  <c r="B89" i="7"/>
  <c r="C89" i="7" s="1"/>
  <c r="L88" i="7"/>
  <c r="B88" i="7"/>
  <c r="C88" i="7" s="1"/>
  <c r="L87" i="7"/>
  <c r="B87" i="7"/>
  <c r="C87" i="7" s="1"/>
  <c r="L86" i="7"/>
  <c r="B86" i="7"/>
  <c r="C86" i="7" s="1"/>
  <c r="L85" i="7"/>
  <c r="B85" i="7"/>
  <c r="C85" i="7" s="1"/>
  <c r="L84" i="7"/>
  <c r="B84" i="7"/>
  <c r="C84" i="7" s="1"/>
  <c r="L83" i="7"/>
  <c r="B83" i="7"/>
  <c r="C83" i="7" s="1"/>
  <c r="L82" i="7"/>
  <c r="B82" i="7"/>
  <c r="C82" i="7" s="1"/>
  <c r="L81" i="7"/>
  <c r="B81" i="7"/>
  <c r="C81" i="7" s="1"/>
  <c r="L80" i="7"/>
  <c r="B80" i="7"/>
  <c r="C80" i="7" s="1"/>
  <c r="L79" i="7"/>
  <c r="B79" i="7"/>
  <c r="C79" i="7" s="1"/>
  <c r="L78" i="7"/>
  <c r="B78" i="7"/>
  <c r="C78" i="7" s="1"/>
  <c r="L77" i="7"/>
  <c r="B77" i="7"/>
  <c r="C77" i="7" s="1"/>
  <c r="L76" i="7"/>
  <c r="B76" i="7"/>
  <c r="C76" i="7" s="1"/>
  <c r="L75" i="7"/>
  <c r="B75" i="7"/>
  <c r="C75" i="7" s="1"/>
  <c r="L74" i="7"/>
  <c r="B74" i="7"/>
  <c r="C74" i="7" s="1"/>
  <c r="L73" i="7"/>
  <c r="B73" i="7"/>
  <c r="C73" i="7" s="1"/>
  <c r="L72" i="7"/>
  <c r="B72" i="7"/>
  <c r="C72" i="7" s="1"/>
  <c r="L71" i="7"/>
  <c r="B71" i="7"/>
  <c r="C71" i="7" s="1"/>
  <c r="L70" i="7"/>
  <c r="B70" i="7"/>
  <c r="C70" i="7" s="1"/>
  <c r="L69" i="7"/>
  <c r="B69" i="7"/>
  <c r="C69" i="7" s="1"/>
  <c r="L68" i="7"/>
  <c r="B68" i="7"/>
  <c r="C68" i="7" s="1"/>
  <c r="L67" i="7"/>
  <c r="B67" i="7"/>
  <c r="C67" i="7" s="1"/>
  <c r="L66" i="7"/>
  <c r="B66" i="7"/>
  <c r="C66" i="7" s="1"/>
  <c r="L65" i="7"/>
  <c r="B65" i="7"/>
  <c r="C65" i="7" s="1"/>
  <c r="L64" i="7"/>
  <c r="B64" i="7"/>
  <c r="C64" i="7" s="1"/>
  <c r="L63" i="7"/>
  <c r="B63" i="7"/>
  <c r="C63" i="7" s="1"/>
  <c r="L62" i="7"/>
  <c r="B62" i="7"/>
  <c r="C62" i="7" s="1"/>
  <c r="L61" i="7"/>
  <c r="B61" i="7"/>
  <c r="C61" i="7" s="1"/>
  <c r="L60" i="7"/>
  <c r="B60" i="7"/>
  <c r="C60" i="7" s="1"/>
  <c r="L59" i="7"/>
  <c r="B59" i="7"/>
  <c r="C59" i="7" s="1"/>
  <c r="L58" i="7"/>
  <c r="B58" i="7"/>
  <c r="C58" i="7" s="1"/>
  <c r="L57" i="7"/>
  <c r="B57" i="7"/>
  <c r="C57" i="7" s="1"/>
  <c r="L56" i="7"/>
  <c r="B56" i="7"/>
  <c r="C56" i="7" s="1"/>
  <c r="L55" i="7"/>
  <c r="B55" i="7"/>
  <c r="C55" i="7" s="1"/>
  <c r="L54" i="7"/>
  <c r="B54" i="7"/>
  <c r="C54" i="7" s="1"/>
  <c r="L53" i="7"/>
  <c r="B53" i="7"/>
  <c r="C53" i="7" s="1"/>
  <c r="L52" i="7"/>
  <c r="B52" i="7"/>
  <c r="C52" i="7" s="1"/>
  <c r="L51" i="7"/>
  <c r="B51" i="7"/>
  <c r="C51" i="7" s="1"/>
  <c r="L50" i="7"/>
  <c r="B50" i="7"/>
  <c r="C50" i="7" s="1"/>
  <c r="L49" i="7"/>
  <c r="B49" i="7"/>
  <c r="C49" i="7" s="1"/>
  <c r="L48" i="7"/>
  <c r="B48" i="7"/>
  <c r="C48" i="7" s="1"/>
  <c r="L47" i="7"/>
  <c r="B47" i="7"/>
  <c r="C47" i="7" s="1"/>
  <c r="L46" i="7"/>
  <c r="B46" i="7"/>
  <c r="C46" i="7" s="1"/>
  <c r="L45" i="7"/>
  <c r="B45" i="7"/>
  <c r="C45" i="7" s="1"/>
  <c r="L44" i="7"/>
  <c r="B44" i="7"/>
  <c r="C44" i="7" s="1"/>
  <c r="L43" i="7"/>
  <c r="B43" i="7"/>
  <c r="C43" i="7" s="1"/>
  <c r="L42" i="7"/>
  <c r="B42" i="7"/>
  <c r="C42" i="7" s="1"/>
  <c r="L41" i="7"/>
  <c r="B41" i="7"/>
  <c r="C41" i="7" s="1"/>
  <c r="L40" i="7"/>
  <c r="B40" i="7"/>
  <c r="C40" i="7" s="1"/>
  <c r="L39" i="7"/>
  <c r="B39" i="7"/>
  <c r="C39" i="7" s="1"/>
  <c r="L38" i="7"/>
  <c r="B38" i="7"/>
  <c r="C38" i="7" s="1"/>
  <c r="L37" i="7"/>
  <c r="B37" i="7"/>
  <c r="C37" i="7" s="1"/>
  <c r="L36" i="7"/>
  <c r="B36" i="7"/>
  <c r="C36" i="7" s="1"/>
  <c r="L34" i="7"/>
  <c r="B34" i="7"/>
  <c r="C34" i="7" s="1"/>
  <c r="L33" i="7"/>
  <c r="B33" i="7"/>
  <c r="C33" i="7" s="1"/>
  <c r="L32" i="7"/>
  <c r="B32" i="7"/>
  <c r="C32" i="7" s="1"/>
  <c r="L31" i="7"/>
  <c r="B31" i="7"/>
  <c r="C31" i="7" s="1"/>
  <c r="L30" i="7"/>
  <c r="B30" i="7"/>
  <c r="C30" i="7" s="1"/>
  <c r="L29" i="7"/>
  <c r="B29" i="7"/>
  <c r="C29" i="7" s="1"/>
  <c r="L28" i="7"/>
  <c r="B28" i="7"/>
  <c r="C28" i="7" s="1"/>
  <c r="L27" i="7"/>
  <c r="B27" i="7"/>
  <c r="C27" i="7" s="1"/>
  <c r="L26" i="7"/>
  <c r="B26" i="7"/>
  <c r="C26" i="7" s="1"/>
  <c r="L25" i="7"/>
  <c r="B25" i="7"/>
  <c r="C25" i="7" s="1"/>
  <c r="L24" i="7"/>
  <c r="B24" i="7"/>
  <c r="C24" i="7" s="1"/>
  <c r="L23" i="7"/>
  <c r="B23" i="7"/>
  <c r="C23" i="7" s="1"/>
  <c r="L22" i="7"/>
  <c r="B22" i="7"/>
  <c r="C22" i="7" s="1"/>
  <c r="L21" i="7"/>
  <c r="B21" i="7"/>
  <c r="C21" i="7" s="1"/>
  <c r="L20" i="7"/>
  <c r="B20" i="7"/>
  <c r="C20" i="7" s="1"/>
  <c r="L19" i="7"/>
  <c r="B19" i="7"/>
  <c r="C19" i="7" s="1"/>
  <c r="L18" i="7"/>
  <c r="B18" i="7"/>
  <c r="C18" i="7" s="1"/>
  <c r="L17" i="7"/>
  <c r="B17" i="7"/>
  <c r="C17" i="7" s="1"/>
  <c r="L16" i="7"/>
  <c r="B16" i="7"/>
  <c r="C16" i="7" s="1"/>
  <c r="L15" i="7"/>
  <c r="B15" i="7"/>
  <c r="C15" i="7" s="1"/>
  <c r="L14" i="7"/>
  <c r="B14" i="7"/>
  <c r="C14" i="7" s="1"/>
  <c r="L13" i="7"/>
  <c r="B13" i="7"/>
  <c r="C13" i="7" s="1"/>
  <c r="L12" i="7"/>
  <c r="B12" i="7"/>
  <c r="C12" i="7" s="1"/>
  <c r="L10" i="7"/>
  <c r="B10" i="7"/>
  <c r="C10" i="7" s="1"/>
  <c r="L9" i="7"/>
  <c r="B9" i="7"/>
  <c r="D6" i="7"/>
  <c r="D5" i="7"/>
  <c r="D4" i="7"/>
  <c r="D3" i="7"/>
  <c r="L1011" i="6"/>
  <c r="B1011" i="6"/>
  <c r="C1011" i="6" s="1"/>
  <c r="L1010" i="6"/>
  <c r="B1010" i="6"/>
  <c r="C1010" i="6" s="1"/>
  <c r="L1009" i="6"/>
  <c r="B1009" i="6"/>
  <c r="C1009" i="6" s="1"/>
  <c r="L1008" i="6"/>
  <c r="B1008" i="6"/>
  <c r="C1008" i="6" s="1"/>
  <c r="L1007" i="6"/>
  <c r="B1007" i="6"/>
  <c r="C1007" i="6" s="1"/>
  <c r="L1006" i="6"/>
  <c r="B1006" i="6"/>
  <c r="C1006" i="6" s="1"/>
  <c r="L1005" i="6"/>
  <c r="B1005" i="6"/>
  <c r="C1005" i="6" s="1"/>
  <c r="L1004" i="6"/>
  <c r="B1004" i="6"/>
  <c r="C1004" i="6" s="1"/>
  <c r="L1003" i="6"/>
  <c r="B1003" i="6"/>
  <c r="C1003" i="6" s="1"/>
  <c r="L1002" i="6"/>
  <c r="B1002" i="6"/>
  <c r="C1002" i="6" s="1"/>
  <c r="L1001" i="6"/>
  <c r="B1001" i="6"/>
  <c r="C1001" i="6" s="1"/>
  <c r="L1000" i="6"/>
  <c r="B1000" i="6"/>
  <c r="C1000" i="6" s="1"/>
  <c r="L999" i="6"/>
  <c r="B999" i="6"/>
  <c r="C999" i="6" s="1"/>
  <c r="L998" i="6"/>
  <c r="B998" i="6"/>
  <c r="C998" i="6" s="1"/>
  <c r="L997" i="6"/>
  <c r="B997" i="6"/>
  <c r="C997" i="6" s="1"/>
  <c r="L996" i="6"/>
  <c r="B996" i="6"/>
  <c r="C996" i="6" s="1"/>
  <c r="L995" i="6"/>
  <c r="B995" i="6"/>
  <c r="C995" i="6" s="1"/>
  <c r="L994" i="6"/>
  <c r="B994" i="6"/>
  <c r="C994" i="6" s="1"/>
  <c r="L993" i="6"/>
  <c r="B993" i="6"/>
  <c r="C993" i="6" s="1"/>
  <c r="L992" i="6"/>
  <c r="B992" i="6"/>
  <c r="C992" i="6" s="1"/>
  <c r="L991" i="6"/>
  <c r="B991" i="6"/>
  <c r="C991" i="6" s="1"/>
  <c r="L990" i="6"/>
  <c r="B990" i="6"/>
  <c r="C990" i="6" s="1"/>
  <c r="L989" i="6"/>
  <c r="B989" i="6"/>
  <c r="C989" i="6" s="1"/>
  <c r="L988" i="6"/>
  <c r="B988" i="6"/>
  <c r="C988" i="6" s="1"/>
  <c r="L987" i="6"/>
  <c r="B987" i="6"/>
  <c r="C987" i="6" s="1"/>
  <c r="L986" i="6"/>
  <c r="B986" i="6"/>
  <c r="C986" i="6" s="1"/>
  <c r="L985" i="6"/>
  <c r="B985" i="6"/>
  <c r="C985" i="6" s="1"/>
  <c r="L984" i="6"/>
  <c r="B984" i="6"/>
  <c r="C984" i="6" s="1"/>
  <c r="L983" i="6"/>
  <c r="B983" i="6"/>
  <c r="C983" i="6" s="1"/>
  <c r="L982" i="6"/>
  <c r="B982" i="6"/>
  <c r="C982" i="6" s="1"/>
  <c r="L981" i="6"/>
  <c r="B981" i="6"/>
  <c r="C981" i="6" s="1"/>
  <c r="L980" i="6"/>
  <c r="B980" i="6"/>
  <c r="C980" i="6" s="1"/>
  <c r="L979" i="6"/>
  <c r="B979" i="6"/>
  <c r="C979" i="6" s="1"/>
  <c r="L978" i="6"/>
  <c r="B978" i="6"/>
  <c r="C978" i="6" s="1"/>
  <c r="L977" i="6"/>
  <c r="B977" i="6"/>
  <c r="C977" i="6" s="1"/>
  <c r="L976" i="6"/>
  <c r="B976" i="6"/>
  <c r="C976" i="6" s="1"/>
  <c r="L975" i="6"/>
  <c r="B975" i="6"/>
  <c r="C975" i="6" s="1"/>
  <c r="L974" i="6"/>
  <c r="B974" i="6"/>
  <c r="C974" i="6" s="1"/>
  <c r="L973" i="6"/>
  <c r="B973" i="6"/>
  <c r="C973" i="6" s="1"/>
  <c r="L972" i="6"/>
  <c r="B972" i="6"/>
  <c r="C972" i="6" s="1"/>
  <c r="L971" i="6"/>
  <c r="B971" i="6"/>
  <c r="C971" i="6" s="1"/>
  <c r="L970" i="6"/>
  <c r="B970" i="6"/>
  <c r="C970" i="6" s="1"/>
  <c r="L969" i="6"/>
  <c r="B969" i="6"/>
  <c r="C969" i="6" s="1"/>
  <c r="L968" i="6"/>
  <c r="B968" i="6"/>
  <c r="C968" i="6" s="1"/>
  <c r="L967" i="6"/>
  <c r="B967" i="6"/>
  <c r="C967" i="6" s="1"/>
  <c r="L966" i="6"/>
  <c r="B966" i="6"/>
  <c r="C966" i="6" s="1"/>
  <c r="L965" i="6"/>
  <c r="B965" i="6"/>
  <c r="C965" i="6" s="1"/>
  <c r="L964" i="6"/>
  <c r="B964" i="6"/>
  <c r="C964" i="6" s="1"/>
  <c r="L963" i="6"/>
  <c r="B963" i="6"/>
  <c r="C963" i="6" s="1"/>
  <c r="L962" i="6"/>
  <c r="B962" i="6"/>
  <c r="C962" i="6" s="1"/>
  <c r="L961" i="6"/>
  <c r="B961" i="6"/>
  <c r="C961" i="6" s="1"/>
  <c r="L960" i="6"/>
  <c r="B960" i="6"/>
  <c r="C960" i="6" s="1"/>
  <c r="L959" i="6"/>
  <c r="B959" i="6"/>
  <c r="C959" i="6" s="1"/>
  <c r="L958" i="6"/>
  <c r="B958" i="6"/>
  <c r="C958" i="6" s="1"/>
  <c r="L957" i="6"/>
  <c r="B957" i="6"/>
  <c r="C957" i="6" s="1"/>
  <c r="L956" i="6"/>
  <c r="B956" i="6"/>
  <c r="C956" i="6" s="1"/>
  <c r="L955" i="6"/>
  <c r="B955" i="6"/>
  <c r="C955" i="6" s="1"/>
  <c r="L954" i="6"/>
  <c r="B954" i="6"/>
  <c r="C954" i="6" s="1"/>
  <c r="L953" i="6"/>
  <c r="B953" i="6"/>
  <c r="C953" i="6" s="1"/>
  <c r="L952" i="6"/>
  <c r="B952" i="6"/>
  <c r="C952" i="6" s="1"/>
  <c r="L951" i="6"/>
  <c r="B951" i="6"/>
  <c r="C951" i="6" s="1"/>
  <c r="L950" i="6"/>
  <c r="B950" i="6"/>
  <c r="C950" i="6" s="1"/>
  <c r="L949" i="6"/>
  <c r="B949" i="6"/>
  <c r="C949" i="6" s="1"/>
  <c r="L948" i="6"/>
  <c r="B948" i="6"/>
  <c r="C948" i="6" s="1"/>
  <c r="L947" i="6"/>
  <c r="B947" i="6"/>
  <c r="C947" i="6" s="1"/>
  <c r="L946" i="6"/>
  <c r="B946" i="6"/>
  <c r="C946" i="6" s="1"/>
  <c r="L945" i="6"/>
  <c r="B945" i="6"/>
  <c r="C945" i="6" s="1"/>
  <c r="L944" i="6"/>
  <c r="B944" i="6"/>
  <c r="C944" i="6" s="1"/>
  <c r="L943" i="6"/>
  <c r="B943" i="6"/>
  <c r="C943" i="6" s="1"/>
  <c r="L942" i="6"/>
  <c r="B942" i="6"/>
  <c r="C942" i="6" s="1"/>
  <c r="L941" i="6"/>
  <c r="B941" i="6"/>
  <c r="C941" i="6" s="1"/>
  <c r="L940" i="6"/>
  <c r="B940" i="6"/>
  <c r="C940" i="6" s="1"/>
  <c r="L939" i="6"/>
  <c r="B939" i="6"/>
  <c r="C939" i="6" s="1"/>
  <c r="L938" i="6"/>
  <c r="B938" i="6"/>
  <c r="C938" i="6" s="1"/>
  <c r="L937" i="6"/>
  <c r="B937" i="6"/>
  <c r="C937" i="6" s="1"/>
  <c r="L936" i="6"/>
  <c r="B936" i="6"/>
  <c r="C936" i="6" s="1"/>
  <c r="L935" i="6"/>
  <c r="B935" i="6"/>
  <c r="C935" i="6" s="1"/>
  <c r="L934" i="6"/>
  <c r="B934" i="6"/>
  <c r="C934" i="6" s="1"/>
  <c r="L933" i="6"/>
  <c r="B933" i="6"/>
  <c r="C933" i="6" s="1"/>
  <c r="L932" i="6"/>
  <c r="B932" i="6"/>
  <c r="C932" i="6" s="1"/>
  <c r="L931" i="6"/>
  <c r="B931" i="6"/>
  <c r="C931" i="6" s="1"/>
  <c r="L930" i="6"/>
  <c r="B930" i="6"/>
  <c r="C930" i="6" s="1"/>
  <c r="L929" i="6"/>
  <c r="B929" i="6"/>
  <c r="C929" i="6" s="1"/>
  <c r="L928" i="6"/>
  <c r="B928" i="6"/>
  <c r="C928" i="6" s="1"/>
  <c r="L927" i="6"/>
  <c r="B927" i="6"/>
  <c r="C927" i="6" s="1"/>
  <c r="L926" i="6"/>
  <c r="B926" i="6"/>
  <c r="C926" i="6" s="1"/>
  <c r="L925" i="6"/>
  <c r="B925" i="6"/>
  <c r="C925" i="6" s="1"/>
  <c r="L924" i="6"/>
  <c r="B924" i="6"/>
  <c r="C924" i="6" s="1"/>
  <c r="L923" i="6"/>
  <c r="B923" i="6"/>
  <c r="C923" i="6" s="1"/>
  <c r="L922" i="6"/>
  <c r="B922" i="6"/>
  <c r="C922" i="6" s="1"/>
  <c r="L921" i="6"/>
  <c r="B921" i="6"/>
  <c r="C921" i="6" s="1"/>
  <c r="L920" i="6"/>
  <c r="B920" i="6"/>
  <c r="C920" i="6" s="1"/>
  <c r="L919" i="6"/>
  <c r="B919" i="6"/>
  <c r="C919" i="6" s="1"/>
  <c r="L918" i="6"/>
  <c r="B918" i="6"/>
  <c r="C918" i="6" s="1"/>
  <c r="L917" i="6"/>
  <c r="B917" i="6"/>
  <c r="C917" i="6" s="1"/>
  <c r="L916" i="6"/>
  <c r="B916" i="6"/>
  <c r="C916" i="6" s="1"/>
  <c r="L915" i="6"/>
  <c r="B915" i="6"/>
  <c r="C915" i="6" s="1"/>
  <c r="L914" i="6"/>
  <c r="B914" i="6"/>
  <c r="C914" i="6" s="1"/>
  <c r="L913" i="6"/>
  <c r="B913" i="6"/>
  <c r="C913" i="6" s="1"/>
  <c r="L912" i="6"/>
  <c r="B912" i="6"/>
  <c r="C912" i="6" s="1"/>
  <c r="L911" i="6"/>
  <c r="B911" i="6"/>
  <c r="C911" i="6" s="1"/>
  <c r="L910" i="6"/>
  <c r="B910" i="6"/>
  <c r="C910" i="6" s="1"/>
  <c r="L909" i="6"/>
  <c r="B909" i="6"/>
  <c r="C909" i="6" s="1"/>
  <c r="L908" i="6"/>
  <c r="B908" i="6"/>
  <c r="C908" i="6" s="1"/>
  <c r="L907" i="6"/>
  <c r="B907" i="6"/>
  <c r="C907" i="6" s="1"/>
  <c r="L906" i="6"/>
  <c r="B906" i="6"/>
  <c r="C906" i="6" s="1"/>
  <c r="L905" i="6"/>
  <c r="B905" i="6"/>
  <c r="C905" i="6" s="1"/>
  <c r="L904" i="6"/>
  <c r="B904" i="6"/>
  <c r="C904" i="6" s="1"/>
  <c r="L903" i="6"/>
  <c r="B903" i="6"/>
  <c r="C903" i="6" s="1"/>
  <c r="L902" i="6"/>
  <c r="B902" i="6"/>
  <c r="C902" i="6" s="1"/>
  <c r="L901" i="6"/>
  <c r="B901" i="6"/>
  <c r="C901" i="6" s="1"/>
  <c r="L900" i="6"/>
  <c r="B900" i="6"/>
  <c r="C900" i="6" s="1"/>
  <c r="L899" i="6"/>
  <c r="B899" i="6"/>
  <c r="C899" i="6" s="1"/>
  <c r="L898" i="6"/>
  <c r="B898" i="6"/>
  <c r="C898" i="6" s="1"/>
  <c r="L897" i="6"/>
  <c r="B897" i="6"/>
  <c r="C897" i="6" s="1"/>
  <c r="L896" i="6"/>
  <c r="B896" i="6"/>
  <c r="C896" i="6" s="1"/>
  <c r="L895" i="6"/>
  <c r="B895" i="6"/>
  <c r="C895" i="6" s="1"/>
  <c r="L894" i="6"/>
  <c r="B894" i="6"/>
  <c r="C894" i="6" s="1"/>
  <c r="L893" i="6"/>
  <c r="B893" i="6"/>
  <c r="C893" i="6" s="1"/>
  <c r="L892" i="6"/>
  <c r="B892" i="6"/>
  <c r="C892" i="6" s="1"/>
  <c r="L891" i="6"/>
  <c r="B891" i="6"/>
  <c r="C891" i="6" s="1"/>
  <c r="L890" i="6"/>
  <c r="B890" i="6"/>
  <c r="C890" i="6" s="1"/>
  <c r="L889" i="6"/>
  <c r="B889" i="6"/>
  <c r="C889" i="6" s="1"/>
  <c r="L888" i="6"/>
  <c r="B888" i="6"/>
  <c r="C888" i="6" s="1"/>
  <c r="L887" i="6"/>
  <c r="B887" i="6"/>
  <c r="C887" i="6" s="1"/>
  <c r="L886" i="6"/>
  <c r="B886" i="6"/>
  <c r="C886" i="6" s="1"/>
  <c r="L885" i="6"/>
  <c r="B885" i="6"/>
  <c r="C885" i="6" s="1"/>
  <c r="L884" i="6"/>
  <c r="B884" i="6"/>
  <c r="C884" i="6" s="1"/>
  <c r="L883" i="6"/>
  <c r="B883" i="6"/>
  <c r="C883" i="6" s="1"/>
  <c r="L882" i="6"/>
  <c r="B882" i="6"/>
  <c r="C882" i="6" s="1"/>
  <c r="L881" i="6"/>
  <c r="B881" i="6"/>
  <c r="C881" i="6" s="1"/>
  <c r="L880" i="6"/>
  <c r="B880" i="6"/>
  <c r="C880" i="6" s="1"/>
  <c r="L879" i="6"/>
  <c r="B879" i="6"/>
  <c r="C879" i="6" s="1"/>
  <c r="L878" i="6"/>
  <c r="B878" i="6"/>
  <c r="C878" i="6" s="1"/>
  <c r="L877" i="6"/>
  <c r="B877" i="6"/>
  <c r="C877" i="6" s="1"/>
  <c r="L876" i="6"/>
  <c r="B876" i="6"/>
  <c r="C876" i="6" s="1"/>
  <c r="L875" i="6"/>
  <c r="B875" i="6"/>
  <c r="C875" i="6" s="1"/>
  <c r="L874" i="6"/>
  <c r="B874" i="6"/>
  <c r="C874" i="6" s="1"/>
  <c r="L873" i="6"/>
  <c r="B873" i="6"/>
  <c r="C873" i="6" s="1"/>
  <c r="L872" i="6"/>
  <c r="B872" i="6"/>
  <c r="C872" i="6" s="1"/>
  <c r="L871" i="6"/>
  <c r="B871" i="6"/>
  <c r="C871" i="6" s="1"/>
  <c r="L870" i="6"/>
  <c r="B870" i="6"/>
  <c r="C870" i="6" s="1"/>
  <c r="L869" i="6"/>
  <c r="B869" i="6"/>
  <c r="C869" i="6" s="1"/>
  <c r="L868" i="6"/>
  <c r="B868" i="6"/>
  <c r="C868" i="6" s="1"/>
  <c r="L867" i="6"/>
  <c r="B867" i="6"/>
  <c r="C867" i="6" s="1"/>
  <c r="L866" i="6"/>
  <c r="B866" i="6"/>
  <c r="C866" i="6" s="1"/>
  <c r="L865" i="6"/>
  <c r="B865" i="6"/>
  <c r="C865" i="6" s="1"/>
  <c r="L864" i="6"/>
  <c r="B864" i="6"/>
  <c r="C864" i="6" s="1"/>
  <c r="L863" i="6"/>
  <c r="B863" i="6"/>
  <c r="C863" i="6" s="1"/>
  <c r="L862" i="6"/>
  <c r="B862" i="6"/>
  <c r="C862" i="6" s="1"/>
  <c r="L861" i="6"/>
  <c r="B861" i="6"/>
  <c r="C861" i="6" s="1"/>
  <c r="L860" i="6"/>
  <c r="B860" i="6"/>
  <c r="C860" i="6" s="1"/>
  <c r="L859" i="6"/>
  <c r="B859" i="6"/>
  <c r="C859" i="6" s="1"/>
  <c r="L858" i="6"/>
  <c r="B858" i="6"/>
  <c r="C858" i="6" s="1"/>
  <c r="L857" i="6"/>
  <c r="B857" i="6"/>
  <c r="C857" i="6" s="1"/>
  <c r="L856" i="6"/>
  <c r="B856" i="6"/>
  <c r="C856" i="6" s="1"/>
  <c r="L855" i="6"/>
  <c r="B855" i="6"/>
  <c r="C855" i="6" s="1"/>
  <c r="L854" i="6"/>
  <c r="B854" i="6"/>
  <c r="C854" i="6" s="1"/>
  <c r="L853" i="6"/>
  <c r="B853" i="6"/>
  <c r="C853" i="6" s="1"/>
  <c r="L852" i="6"/>
  <c r="B852" i="6"/>
  <c r="C852" i="6" s="1"/>
  <c r="L851" i="6"/>
  <c r="B851" i="6"/>
  <c r="C851" i="6" s="1"/>
  <c r="L850" i="6"/>
  <c r="B850" i="6"/>
  <c r="C850" i="6" s="1"/>
  <c r="L849" i="6"/>
  <c r="B849" i="6"/>
  <c r="C849" i="6" s="1"/>
  <c r="L848" i="6"/>
  <c r="B848" i="6"/>
  <c r="C848" i="6" s="1"/>
  <c r="L847" i="6"/>
  <c r="B847" i="6"/>
  <c r="C847" i="6" s="1"/>
  <c r="L846" i="6"/>
  <c r="B846" i="6"/>
  <c r="C846" i="6" s="1"/>
  <c r="L845" i="6"/>
  <c r="B845" i="6"/>
  <c r="C845" i="6" s="1"/>
  <c r="L844" i="6"/>
  <c r="B844" i="6"/>
  <c r="C844" i="6" s="1"/>
  <c r="L843" i="6"/>
  <c r="B843" i="6"/>
  <c r="C843" i="6" s="1"/>
  <c r="L842" i="6"/>
  <c r="B842" i="6"/>
  <c r="C842" i="6" s="1"/>
  <c r="L841" i="6"/>
  <c r="B841" i="6"/>
  <c r="C841" i="6" s="1"/>
  <c r="L840" i="6"/>
  <c r="B840" i="6"/>
  <c r="C840" i="6" s="1"/>
  <c r="L839" i="6"/>
  <c r="B839" i="6"/>
  <c r="C839" i="6" s="1"/>
  <c r="L838" i="6"/>
  <c r="B838" i="6"/>
  <c r="C838" i="6" s="1"/>
  <c r="L837" i="6"/>
  <c r="B837" i="6"/>
  <c r="C837" i="6" s="1"/>
  <c r="L836" i="6"/>
  <c r="B836" i="6"/>
  <c r="C836" i="6" s="1"/>
  <c r="L835" i="6"/>
  <c r="B835" i="6"/>
  <c r="C835" i="6" s="1"/>
  <c r="L834" i="6"/>
  <c r="B834" i="6"/>
  <c r="C834" i="6" s="1"/>
  <c r="L833" i="6"/>
  <c r="B833" i="6"/>
  <c r="C833" i="6" s="1"/>
  <c r="L832" i="6"/>
  <c r="B832" i="6"/>
  <c r="C832" i="6" s="1"/>
  <c r="L831" i="6"/>
  <c r="B831" i="6"/>
  <c r="C831" i="6" s="1"/>
  <c r="L830" i="6"/>
  <c r="B830" i="6"/>
  <c r="C830" i="6" s="1"/>
  <c r="L829" i="6"/>
  <c r="B829" i="6"/>
  <c r="C829" i="6" s="1"/>
  <c r="L828" i="6"/>
  <c r="B828" i="6"/>
  <c r="C828" i="6" s="1"/>
  <c r="L827" i="6"/>
  <c r="B827" i="6"/>
  <c r="C827" i="6" s="1"/>
  <c r="L826" i="6"/>
  <c r="B826" i="6"/>
  <c r="C826" i="6" s="1"/>
  <c r="L825" i="6"/>
  <c r="B825" i="6"/>
  <c r="C825" i="6" s="1"/>
  <c r="L824" i="6"/>
  <c r="B824" i="6"/>
  <c r="C824" i="6" s="1"/>
  <c r="L823" i="6"/>
  <c r="B823" i="6"/>
  <c r="C823" i="6" s="1"/>
  <c r="L822" i="6"/>
  <c r="B822" i="6"/>
  <c r="C822" i="6" s="1"/>
  <c r="L821" i="6"/>
  <c r="B821" i="6"/>
  <c r="C821" i="6" s="1"/>
  <c r="L820" i="6"/>
  <c r="B820" i="6"/>
  <c r="C820" i="6" s="1"/>
  <c r="L819" i="6"/>
  <c r="B819" i="6"/>
  <c r="C819" i="6" s="1"/>
  <c r="L818" i="6"/>
  <c r="B818" i="6"/>
  <c r="C818" i="6" s="1"/>
  <c r="L817" i="6"/>
  <c r="B817" i="6"/>
  <c r="C817" i="6" s="1"/>
  <c r="L816" i="6"/>
  <c r="B816" i="6"/>
  <c r="C816" i="6" s="1"/>
  <c r="L815" i="6"/>
  <c r="B815" i="6"/>
  <c r="C815" i="6" s="1"/>
  <c r="L814" i="6"/>
  <c r="B814" i="6"/>
  <c r="C814" i="6" s="1"/>
  <c r="L813" i="6"/>
  <c r="B813" i="6"/>
  <c r="C813" i="6" s="1"/>
  <c r="L812" i="6"/>
  <c r="B812" i="6"/>
  <c r="C812" i="6" s="1"/>
  <c r="L811" i="6"/>
  <c r="B811" i="6"/>
  <c r="C811" i="6" s="1"/>
  <c r="L810" i="6"/>
  <c r="B810" i="6"/>
  <c r="C810" i="6" s="1"/>
  <c r="L809" i="6"/>
  <c r="B809" i="6"/>
  <c r="C809" i="6" s="1"/>
  <c r="L808" i="6"/>
  <c r="B808" i="6"/>
  <c r="C808" i="6" s="1"/>
  <c r="L807" i="6"/>
  <c r="B807" i="6"/>
  <c r="C807" i="6" s="1"/>
  <c r="L806" i="6"/>
  <c r="B806" i="6"/>
  <c r="C806" i="6" s="1"/>
  <c r="L805" i="6"/>
  <c r="B805" i="6"/>
  <c r="C805" i="6" s="1"/>
  <c r="L804" i="6"/>
  <c r="B804" i="6"/>
  <c r="C804" i="6" s="1"/>
  <c r="L803" i="6"/>
  <c r="B803" i="6"/>
  <c r="C803" i="6" s="1"/>
  <c r="L802" i="6"/>
  <c r="B802" i="6"/>
  <c r="C802" i="6" s="1"/>
  <c r="L801" i="6"/>
  <c r="B801" i="6"/>
  <c r="C801" i="6" s="1"/>
  <c r="L800" i="6"/>
  <c r="B800" i="6"/>
  <c r="C800" i="6" s="1"/>
  <c r="L799" i="6"/>
  <c r="B799" i="6"/>
  <c r="C799" i="6" s="1"/>
  <c r="L798" i="6"/>
  <c r="B798" i="6"/>
  <c r="C798" i="6" s="1"/>
  <c r="L797" i="6"/>
  <c r="B797" i="6"/>
  <c r="C797" i="6" s="1"/>
  <c r="L796" i="6"/>
  <c r="B796" i="6"/>
  <c r="C796" i="6" s="1"/>
  <c r="L795" i="6"/>
  <c r="B795" i="6"/>
  <c r="C795" i="6" s="1"/>
  <c r="L794" i="6"/>
  <c r="B794" i="6"/>
  <c r="C794" i="6" s="1"/>
  <c r="L793" i="6"/>
  <c r="B793" i="6"/>
  <c r="C793" i="6" s="1"/>
  <c r="L792" i="6"/>
  <c r="B792" i="6"/>
  <c r="C792" i="6" s="1"/>
  <c r="L791" i="6"/>
  <c r="B791" i="6"/>
  <c r="C791" i="6" s="1"/>
  <c r="L790" i="6"/>
  <c r="B790" i="6"/>
  <c r="C790" i="6" s="1"/>
  <c r="L789" i="6"/>
  <c r="B789" i="6"/>
  <c r="C789" i="6" s="1"/>
  <c r="L788" i="6"/>
  <c r="B788" i="6"/>
  <c r="C788" i="6" s="1"/>
  <c r="L787" i="6"/>
  <c r="B787" i="6"/>
  <c r="C787" i="6" s="1"/>
  <c r="L786" i="6"/>
  <c r="B786" i="6"/>
  <c r="C786" i="6" s="1"/>
  <c r="L785" i="6"/>
  <c r="B785" i="6"/>
  <c r="C785" i="6" s="1"/>
  <c r="L784" i="6"/>
  <c r="B784" i="6"/>
  <c r="C784" i="6" s="1"/>
  <c r="L783" i="6"/>
  <c r="B783" i="6"/>
  <c r="C783" i="6" s="1"/>
  <c r="L782" i="6"/>
  <c r="B782" i="6"/>
  <c r="C782" i="6" s="1"/>
  <c r="L781" i="6"/>
  <c r="B781" i="6"/>
  <c r="C781" i="6" s="1"/>
  <c r="L780" i="6"/>
  <c r="B780" i="6"/>
  <c r="C780" i="6" s="1"/>
  <c r="L779" i="6"/>
  <c r="B779" i="6"/>
  <c r="C779" i="6" s="1"/>
  <c r="L778" i="6"/>
  <c r="B778" i="6"/>
  <c r="C778" i="6" s="1"/>
  <c r="L777" i="6"/>
  <c r="B777" i="6"/>
  <c r="C777" i="6" s="1"/>
  <c r="L776" i="6"/>
  <c r="B776" i="6"/>
  <c r="C776" i="6" s="1"/>
  <c r="L775" i="6"/>
  <c r="B775" i="6"/>
  <c r="C775" i="6" s="1"/>
  <c r="L774" i="6"/>
  <c r="B774" i="6"/>
  <c r="C774" i="6" s="1"/>
  <c r="L773" i="6"/>
  <c r="B773" i="6"/>
  <c r="C773" i="6" s="1"/>
  <c r="L772" i="6"/>
  <c r="B772" i="6"/>
  <c r="C772" i="6" s="1"/>
  <c r="L771" i="6"/>
  <c r="B771" i="6"/>
  <c r="C771" i="6" s="1"/>
  <c r="L770" i="6"/>
  <c r="B770" i="6"/>
  <c r="C770" i="6" s="1"/>
  <c r="L769" i="6"/>
  <c r="B769" i="6"/>
  <c r="C769" i="6" s="1"/>
  <c r="L768" i="6"/>
  <c r="B768" i="6"/>
  <c r="C768" i="6" s="1"/>
  <c r="L767" i="6"/>
  <c r="B767" i="6"/>
  <c r="C767" i="6" s="1"/>
  <c r="L766" i="6"/>
  <c r="B766" i="6"/>
  <c r="C766" i="6" s="1"/>
  <c r="L765" i="6"/>
  <c r="B765" i="6"/>
  <c r="C765" i="6" s="1"/>
  <c r="L764" i="6"/>
  <c r="B764" i="6"/>
  <c r="C764" i="6" s="1"/>
  <c r="L763" i="6"/>
  <c r="B763" i="6"/>
  <c r="C763" i="6" s="1"/>
  <c r="L762" i="6"/>
  <c r="B762" i="6"/>
  <c r="C762" i="6" s="1"/>
  <c r="L761" i="6"/>
  <c r="B761" i="6"/>
  <c r="C761" i="6" s="1"/>
  <c r="L760" i="6"/>
  <c r="B760" i="6"/>
  <c r="C760" i="6" s="1"/>
  <c r="L759" i="6"/>
  <c r="B759" i="6"/>
  <c r="C759" i="6" s="1"/>
  <c r="L758" i="6"/>
  <c r="B758" i="6"/>
  <c r="C758" i="6" s="1"/>
  <c r="L757" i="6"/>
  <c r="B757" i="6"/>
  <c r="C757" i="6" s="1"/>
  <c r="L756" i="6"/>
  <c r="B756" i="6"/>
  <c r="C756" i="6" s="1"/>
  <c r="L755" i="6"/>
  <c r="B755" i="6"/>
  <c r="C755" i="6" s="1"/>
  <c r="L754" i="6"/>
  <c r="B754" i="6"/>
  <c r="C754" i="6" s="1"/>
  <c r="L753" i="6"/>
  <c r="B753" i="6"/>
  <c r="C753" i="6" s="1"/>
  <c r="L752" i="6"/>
  <c r="B752" i="6"/>
  <c r="C752" i="6" s="1"/>
  <c r="L751" i="6"/>
  <c r="B751" i="6"/>
  <c r="C751" i="6" s="1"/>
  <c r="L750" i="6"/>
  <c r="B750" i="6"/>
  <c r="C750" i="6" s="1"/>
  <c r="L749" i="6"/>
  <c r="B749" i="6"/>
  <c r="C749" i="6" s="1"/>
  <c r="L748" i="6"/>
  <c r="B748" i="6"/>
  <c r="C748" i="6" s="1"/>
  <c r="L747" i="6"/>
  <c r="B747" i="6"/>
  <c r="C747" i="6" s="1"/>
  <c r="L746" i="6"/>
  <c r="B746" i="6"/>
  <c r="C746" i="6" s="1"/>
  <c r="L745" i="6"/>
  <c r="B745" i="6"/>
  <c r="C745" i="6" s="1"/>
  <c r="L744" i="6"/>
  <c r="B744" i="6"/>
  <c r="C744" i="6" s="1"/>
  <c r="L743" i="6"/>
  <c r="B743" i="6"/>
  <c r="C743" i="6" s="1"/>
  <c r="L742" i="6"/>
  <c r="B742" i="6"/>
  <c r="C742" i="6" s="1"/>
  <c r="L741" i="6"/>
  <c r="B741" i="6"/>
  <c r="C741" i="6" s="1"/>
  <c r="L740" i="6"/>
  <c r="B740" i="6"/>
  <c r="C740" i="6" s="1"/>
  <c r="L739" i="6"/>
  <c r="B739" i="6"/>
  <c r="C739" i="6" s="1"/>
  <c r="L738" i="6"/>
  <c r="B738" i="6"/>
  <c r="C738" i="6" s="1"/>
  <c r="L737" i="6"/>
  <c r="B737" i="6"/>
  <c r="C737" i="6" s="1"/>
  <c r="L736" i="6"/>
  <c r="B736" i="6"/>
  <c r="C736" i="6" s="1"/>
  <c r="L735" i="6"/>
  <c r="B735" i="6"/>
  <c r="C735" i="6" s="1"/>
  <c r="L734" i="6"/>
  <c r="B734" i="6"/>
  <c r="C734" i="6" s="1"/>
  <c r="L733" i="6"/>
  <c r="B733" i="6"/>
  <c r="C733" i="6" s="1"/>
  <c r="L732" i="6"/>
  <c r="B732" i="6"/>
  <c r="C732" i="6" s="1"/>
  <c r="L731" i="6"/>
  <c r="B731" i="6"/>
  <c r="C731" i="6" s="1"/>
  <c r="L730" i="6"/>
  <c r="B730" i="6"/>
  <c r="C730" i="6" s="1"/>
  <c r="L729" i="6"/>
  <c r="B729" i="6"/>
  <c r="C729" i="6" s="1"/>
  <c r="L728" i="6"/>
  <c r="B728" i="6"/>
  <c r="C728" i="6" s="1"/>
  <c r="L727" i="6"/>
  <c r="B727" i="6"/>
  <c r="C727" i="6" s="1"/>
  <c r="L726" i="6"/>
  <c r="B726" i="6"/>
  <c r="C726" i="6" s="1"/>
  <c r="L725" i="6"/>
  <c r="B725" i="6"/>
  <c r="C725" i="6" s="1"/>
  <c r="L724" i="6"/>
  <c r="B724" i="6"/>
  <c r="C724" i="6" s="1"/>
  <c r="L723" i="6"/>
  <c r="B723" i="6"/>
  <c r="C723" i="6" s="1"/>
  <c r="L722" i="6"/>
  <c r="B722" i="6"/>
  <c r="C722" i="6" s="1"/>
  <c r="L721" i="6"/>
  <c r="B721" i="6"/>
  <c r="C721" i="6" s="1"/>
  <c r="L720" i="6"/>
  <c r="B720" i="6"/>
  <c r="C720" i="6" s="1"/>
  <c r="L719" i="6"/>
  <c r="B719" i="6"/>
  <c r="C719" i="6" s="1"/>
  <c r="L718" i="6"/>
  <c r="B718" i="6"/>
  <c r="C718" i="6" s="1"/>
  <c r="L717" i="6"/>
  <c r="B717" i="6"/>
  <c r="C717" i="6" s="1"/>
  <c r="L716" i="6"/>
  <c r="B716" i="6"/>
  <c r="C716" i="6" s="1"/>
  <c r="L715" i="6"/>
  <c r="B715" i="6"/>
  <c r="C715" i="6" s="1"/>
  <c r="L714" i="6"/>
  <c r="B714" i="6"/>
  <c r="C714" i="6" s="1"/>
  <c r="L713" i="6"/>
  <c r="B713" i="6"/>
  <c r="C713" i="6" s="1"/>
  <c r="L712" i="6"/>
  <c r="B712" i="6"/>
  <c r="C712" i="6" s="1"/>
  <c r="L711" i="6"/>
  <c r="B711" i="6"/>
  <c r="C711" i="6" s="1"/>
  <c r="L710" i="6"/>
  <c r="B710" i="6"/>
  <c r="C710" i="6" s="1"/>
  <c r="L709" i="6"/>
  <c r="B709" i="6"/>
  <c r="C709" i="6" s="1"/>
  <c r="L708" i="6"/>
  <c r="B708" i="6"/>
  <c r="C708" i="6" s="1"/>
  <c r="L707" i="6"/>
  <c r="B707" i="6"/>
  <c r="C707" i="6" s="1"/>
  <c r="L706" i="6"/>
  <c r="B706" i="6"/>
  <c r="C706" i="6" s="1"/>
  <c r="L705" i="6"/>
  <c r="B705" i="6"/>
  <c r="C705" i="6" s="1"/>
  <c r="L704" i="6"/>
  <c r="B704" i="6"/>
  <c r="C704" i="6" s="1"/>
  <c r="L703" i="6"/>
  <c r="B703" i="6"/>
  <c r="C703" i="6" s="1"/>
  <c r="L702" i="6"/>
  <c r="B702" i="6"/>
  <c r="C702" i="6" s="1"/>
  <c r="L701" i="6"/>
  <c r="B701" i="6"/>
  <c r="C701" i="6" s="1"/>
  <c r="L700" i="6"/>
  <c r="B700" i="6"/>
  <c r="C700" i="6" s="1"/>
  <c r="L699" i="6"/>
  <c r="B699" i="6"/>
  <c r="C699" i="6" s="1"/>
  <c r="L698" i="6"/>
  <c r="B698" i="6"/>
  <c r="C698" i="6" s="1"/>
  <c r="L697" i="6"/>
  <c r="B697" i="6"/>
  <c r="C697" i="6" s="1"/>
  <c r="L696" i="6"/>
  <c r="B696" i="6"/>
  <c r="C696" i="6" s="1"/>
  <c r="L695" i="6"/>
  <c r="B695" i="6"/>
  <c r="C695" i="6" s="1"/>
  <c r="L694" i="6"/>
  <c r="B694" i="6"/>
  <c r="C694" i="6" s="1"/>
  <c r="L693" i="6"/>
  <c r="B693" i="6"/>
  <c r="C693" i="6" s="1"/>
  <c r="L692" i="6"/>
  <c r="B692" i="6"/>
  <c r="C692" i="6" s="1"/>
  <c r="L691" i="6"/>
  <c r="B691" i="6"/>
  <c r="C691" i="6" s="1"/>
  <c r="L690" i="6"/>
  <c r="B690" i="6"/>
  <c r="C690" i="6" s="1"/>
  <c r="L689" i="6"/>
  <c r="B689" i="6"/>
  <c r="C689" i="6" s="1"/>
  <c r="L688" i="6"/>
  <c r="B688" i="6"/>
  <c r="C688" i="6" s="1"/>
  <c r="L687" i="6"/>
  <c r="B687" i="6"/>
  <c r="C687" i="6" s="1"/>
  <c r="L686" i="6"/>
  <c r="B686" i="6"/>
  <c r="C686" i="6" s="1"/>
  <c r="L685" i="6"/>
  <c r="B685" i="6"/>
  <c r="C685" i="6" s="1"/>
  <c r="L684" i="6"/>
  <c r="B684" i="6"/>
  <c r="C684" i="6" s="1"/>
  <c r="L683" i="6"/>
  <c r="B683" i="6"/>
  <c r="C683" i="6" s="1"/>
  <c r="L682" i="6"/>
  <c r="B682" i="6"/>
  <c r="C682" i="6" s="1"/>
  <c r="L681" i="6"/>
  <c r="B681" i="6"/>
  <c r="C681" i="6" s="1"/>
  <c r="L680" i="6"/>
  <c r="B680" i="6"/>
  <c r="C680" i="6" s="1"/>
  <c r="L679" i="6"/>
  <c r="B679" i="6"/>
  <c r="C679" i="6" s="1"/>
  <c r="L678" i="6"/>
  <c r="B678" i="6"/>
  <c r="C678" i="6" s="1"/>
  <c r="L677" i="6"/>
  <c r="B677" i="6"/>
  <c r="C677" i="6" s="1"/>
  <c r="L676" i="6"/>
  <c r="B676" i="6"/>
  <c r="C676" i="6" s="1"/>
  <c r="L675" i="6"/>
  <c r="B675" i="6"/>
  <c r="C675" i="6" s="1"/>
  <c r="L674" i="6"/>
  <c r="B674" i="6"/>
  <c r="C674" i="6" s="1"/>
  <c r="L673" i="6"/>
  <c r="B673" i="6"/>
  <c r="C673" i="6" s="1"/>
  <c r="L672" i="6"/>
  <c r="B672" i="6"/>
  <c r="C672" i="6" s="1"/>
  <c r="L671" i="6"/>
  <c r="B671" i="6"/>
  <c r="C671" i="6" s="1"/>
  <c r="L670" i="6"/>
  <c r="B670" i="6"/>
  <c r="C670" i="6" s="1"/>
  <c r="L669" i="6"/>
  <c r="B669" i="6"/>
  <c r="C669" i="6" s="1"/>
  <c r="L668" i="6"/>
  <c r="B668" i="6"/>
  <c r="C668" i="6" s="1"/>
  <c r="L667" i="6"/>
  <c r="B667" i="6"/>
  <c r="C667" i="6" s="1"/>
  <c r="L666" i="6"/>
  <c r="B666" i="6"/>
  <c r="C666" i="6" s="1"/>
  <c r="L665" i="6"/>
  <c r="B665" i="6"/>
  <c r="C665" i="6" s="1"/>
  <c r="L664" i="6"/>
  <c r="B664" i="6"/>
  <c r="C664" i="6" s="1"/>
  <c r="L663" i="6"/>
  <c r="B663" i="6"/>
  <c r="C663" i="6" s="1"/>
  <c r="L662" i="6"/>
  <c r="B662" i="6"/>
  <c r="C662" i="6" s="1"/>
  <c r="L661" i="6"/>
  <c r="B661" i="6"/>
  <c r="C661" i="6" s="1"/>
  <c r="L660" i="6"/>
  <c r="B660" i="6"/>
  <c r="C660" i="6" s="1"/>
  <c r="L659" i="6"/>
  <c r="B659" i="6"/>
  <c r="C659" i="6" s="1"/>
  <c r="L658" i="6"/>
  <c r="B658" i="6"/>
  <c r="C658" i="6" s="1"/>
  <c r="L657" i="6"/>
  <c r="B657" i="6"/>
  <c r="C657" i="6" s="1"/>
  <c r="L656" i="6"/>
  <c r="B656" i="6"/>
  <c r="C656" i="6" s="1"/>
  <c r="L655" i="6"/>
  <c r="B655" i="6"/>
  <c r="C655" i="6" s="1"/>
  <c r="L654" i="6"/>
  <c r="B654" i="6"/>
  <c r="C654" i="6" s="1"/>
  <c r="L653" i="6"/>
  <c r="B653" i="6"/>
  <c r="C653" i="6" s="1"/>
  <c r="L652" i="6"/>
  <c r="B652" i="6"/>
  <c r="C652" i="6" s="1"/>
  <c r="L651" i="6"/>
  <c r="B651" i="6"/>
  <c r="C651" i="6" s="1"/>
  <c r="L650" i="6"/>
  <c r="B650" i="6"/>
  <c r="C650" i="6" s="1"/>
  <c r="L649" i="6"/>
  <c r="B649" i="6"/>
  <c r="C649" i="6" s="1"/>
  <c r="L648" i="6"/>
  <c r="B648" i="6"/>
  <c r="C648" i="6" s="1"/>
  <c r="L647" i="6"/>
  <c r="B647" i="6"/>
  <c r="C647" i="6" s="1"/>
  <c r="L646" i="6"/>
  <c r="B646" i="6"/>
  <c r="C646" i="6" s="1"/>
  <c r="L645" i="6"/>
  <c r="B645" i="6"/>
  <c r="C645" i="6" s="1"/>
  <c r="L644" i="6"/>
  <c r="B644" i="6"/>
  <c r="C644" i="6" s="1"/>
  <c r="L643" i="6"/>
  <c r="B643" i="6"/>
  <c r="C643" i="6" s="1"/>
  <c r="L642" i="6"/>
  <c r="B642" i="6"/>
  <c r="C642" i="6" s="1"/>
  <c r="L641" i="6"/>
  <c r="B641" i="6"/>
  <c r="C641" i="6" s="1"/>
  <c r="L640" i="6"/>
  <c r="B640" i="6"/>
  <c r="C640" i="6" s="1"/>
  <c r="L639" i="6"/>
  <c r="B639" i="6"/>
  <c r="C639" i="6" s="1"/>
  <c r="L638" i="6"/>
  <c r="B638" i="6"/>
  <c r="C638" i="6" s="1"/>
  <c r="L637" i="6"/>
  <c r="B637" i="6"/>
  <c r="C637" i="6" s="1"/>
  <c r="L636" i="6"/>
  <c r="B636" i="6"/>
  <c r="C636" i="6" s="1"/>
  <c r="L635" i="6"/>
  <c r="B635" i="6"/>
  <c r="C635" i="6" s="1"/>
  <c r="L634" i="6"/>
  <c r="B634" i="6"/>
  <c r="C634" i="6" s="1"/>
  <c r="L633" i="6"/>
  <c r="B633" i="6"/>
  <c r="C633" i="6" s="1"/>
  <c r="L632" i="6"/>
  <c r="B632" i="6"/>
  <c r="C632" i="6" s="1"/>
  <c r="L631" i="6"/>
  <c r="B631" i="6"/>
  <c r="C631" i="6" s="1"/>
  <c r="L630" i="6"/>
  <c r="B630" i="6"/>
  <c r="C630" i="6" s="1"/>
  <c r="L629" i="6"/>
  <c r="B629" i="6"/>
  <c r="C629" i="6" s="1"/>
  <c r="L628" i="6"/>
  <c r="B628" i="6"/>
  <c r="C628" i="6" s="1"/>
  <c r="L627" i="6"/>
  <c r="B627" i="6"/>
  <c r="C627" i="6" s="1"/>
  <c r="L626" i="6"/>
  <c r="B626" i="6"/>
  <c r="C626" i="6" s="1"/>
  <c r="L625" i="6"/>
  <c r="B625" i="6"/>
  <c r="C625" i="6" s="1"/>
  <c r="L624" i="6"/>
  <c r="B624" i="6"/>
  <c r="C624" i="6" s="1"/>
  <c r="L623" i="6"/>
  <c r="B623" i="6"/>
  <c r="C623" i="6" s="1"/>
  <c r="L622" i="6"/>
  <c r="B622" i="6"/>
  <c r="C622" i="6" s="1"/>
  <c r="L621" i="6"/>
  <c r="B621" i="6"/>
  <c r="C621" i="6" s="1"/>
  <c r="L620" i="6"/>
  <c r="B620" i="6"/>
  <c r="C620" i="6" s="1"/>
  <c r="L619" i="6"/>
  <c r="B619" i="6"/>
  <c r="C619" i="6" s="1"/>
  <c r="L618" i="6"/>
  <c r="B618" i="6"/>
  <c r="C618" i="6" s="1"/>
  <c r="L617" i="6"/>
  <c r="B617" i="6"/>
  <c r="C617" i="6" s="1"/>
  <c r="L616" i="6"/>
  <c r="B616" i="6"/>
  <c r="C616" i="6" s="1"/>
  <c r="L615" i="6"/>
  <c r="B615" i="6"/>
  <c r="C615" i="6" s="1"/>
  <c r="L614" i="6"/>
  <c r="B614" i="6"/>
  <c r="C614" i="6" s="1"/>
  <c r="L613" i="6"/>
  <c r="B613" i="6"/>
  <c r="C613" i="6" s="1"/>
  <c r="L612" i="6"/>
  <c r="B612" i="6"/>
  <c r="C612" i="6" s="1"/>
  <c r="L611" i="6"/>
  <c r="B611" i="6"/>
  <c r="C611" i="6" s="1"/>
  <c r="L610" i="6"/>
  <c r="B610" i="6"/>
  <c r="C610" i="6" s="1"/>
  <c r="L609" i="6"/>
  <c r="B609" i="6"/>
  <c r="C609" i="6" s="1"/>
  <c r="L608" i="6"/>
  <c r="B608" i="6"/>
  <c r="C608" i="6" s="1"/>
  <c r="L607" i="6"/>
  <c r="B607" i="6"/>
  <c r="C607" i="6" s="1"/>
  <c r="L606" i="6"/>
  <c r="B606" i="6"/>
  <c r="C606" i="6" s="1"/>
  <c r="L605" i="6"/>
  <c r="B605" i="6"/>
  <c r="C605" i="6" s="1"/>
  <c r="L604" i="6"/>
  <c r="B604" i="6"/>
  <c r="C604" i="6" s="1"/>
  <c r="L603" i="6"/>
  <c r="B603" i="6"/>
  <c r="C603" i="6" s="1"/>
  <c r="L602" i="6"/>
  <c r="B602" i="6"/>
  <c r="C602" i="6" s="1"/>
  <c r="L601" i="6"/>
  <c r="B601" i="6"/>
  <c r="C601" i="6" s="1"/>
  <c r="L600" i="6"/>
  <c r="B600" i="6"/>
  <c r="C600" i="6" s="1"/>
  <c r="L599" i="6"/>
  <c r="B599" i="6"/>
  <c r="C599" i="6" s="1"/>
  <c r="L598" i="6"/>
  <c r="B598" i="6"/>
  <c r="C598" i="6" s="1"/>
  <c r="L597" i="6"/>
  <c r="B597" i="6"/>
  <c r="C597" i="6" s="1"/>
  <c r="L596" i="6"/>
  <c r="B596" i="6"/>
  <c r="C596" i="6" s="1"/>
  <c r="L595" i="6"/>
  <c r="B595" i="6"/>
  <c r="C595" i="6" s="1"/>
  <c r="L594" i="6"/>
  <c r="B594" i="6"/>
  <c r="C594" i="6" s="1"/>
  <c r="L593" i="6"/>
  <c r="B593" i="6"/>
  <c r="C593" i="6" s="1"/>
  <c r="L592" i="6"/>
  <c r="B592" i="6"/>
  <c r="C592" i="6" s="1"/>
  <c r="L591" i="6"/>
  <c r="B591" i="6"/>
  <c r="C591" i="6" s="1"/>
  <c r="L590" i="6"/>
  <c r="B590" i="6"/>
  <c r="C590" i="6" s="1"/>
  <c r="L589" i="6"/>
  <c r="B589" i="6"/>
  <c r="C589" i="6" s="1"/>
  <c r="L588" i="6"/>
  <c r="B588" i="6"/>
  <c r="C588" i="6" s="1"/>
  <c r="L587" i="6"/>
  <c r="B587" i="6"/>
  <c r="C587" i="6" s="1"/>
  <c r="L586" i="6"/>
  <c r="B586" i="6"/>
  <c r="C586" i="6" s="1"/>
  <c r="L585" i="6"/>
  <c r="B585" i="6"/>
  <c r="C585" i="6" s="1"/>
  <c r="L584" i="6"/>
  <c r="B584" i="6"/>
  <c r="C584" i="6" s="1"/>
  <c r="L583" i="6"/>
  <c r="B583" i="6"/>
  <c r="C583" i="6" s="1"/>
  <c r="L582" i="6"/>
  <c r="B582" i="6"/>
  <c r="C582" i="6" s="1"/>
  <c r="L581" i="6"/>
  <c r="B581" i="6"/>
  <c r="C581" i="6" s="1"/>
  <c r="L580" i="6"/>
  <c r="B580" i="6"/>
  <c r="C580" i="6" s="1"/>
  <c r="L579" i="6"/>
  <c r="B579" i="6"/>
  <c r="C579" i="6" s="1"/>
  <c r="L578" i="6"/>
  <c r="B578" i="6"/>
  <c r="C578" i="6" s="1"/>
  <c r="L577" i="6"/>
  <c r="B577" i="6"/>
  <c r="C577" i="6" s="1"/>
  <c r="L576" i="6"/>
  <c r="B576" i="6"/>
  <c r="C576" i="6" s="1"/>
  <c r="L575" i="6"/>
  <c r="B575" i="6"/>
  <c r="C575" i="6" s="1"/>
  <c r="L574" i="6"/>
  <c r="B574" i="6"/>
  <c r="C574" i="6" s="1"/>
  <c r="L573" i="6"/>
  <c r="B573" i="6"/>
  <c r="C573" i="6" s="1"/>
  <c r="L572" i="6"/>
  <c r="B572" i="6"/>
  <c r="C572" i="6" s="1"/>
  <c r="L571" i="6"/>
  <c r="B571" i="6"/>
  <c r="C571" i="6" s="1"/>
  <c r="L570" i="6"/>
  <c r="B570" i="6"/>
  <c r="C570" i="6" s="1"/>
  <c r="L569" i="6"/>
  <c r="B569" i="6"/>
  <c r="C569" i="6" s="1"/>
  <c r="L568" i="6"/>
  <c r="B568" i="6"/>
  <c r="C568" i="6" s="1"/>
  <c r="L567" i="6"/>
  <c r="B567" i="6"/>
  <c r="C567" i="6" s="1"/>
  <c r="L566" i="6"/>
  <c r="B566" i="6"/>
  <c r="C566" i="6" s="1"/>
  <c r="L565" i="6"/>
  <c r="B565" i="6"/>
  <c r="C565" i="6" s="1"/>
  <c r="L564" i="6"/>
  <c r="B564" i="6"/>
  <c r="C564" i="6" s="1"/>
  <c r="L563" i="6"/>
  <c r="B563" i="6"/>
  <c r="C563" i="6" s="1"/>
  <c r="L562" i="6"/>
  <c r="B562" i="6"/>
  <c r="C562" i="6" s="1"/>
  <c r="L561" i="6"/>
  <c r="B561" i="6"/>
  <c r="C561" i="6" s="1"/>
  <c r="L560" i="6"/>
  <c r="B560" i="6"/>
  <c r="C560" i="6" s="1"/>
  <c r="L559" i="6"/>
  <c r="B559" i="6"/>
  <c r="C559" i="6" s="1"/>
  <c r="L558" i="6"/>
  <c r="B558" i="6"/>
  <c r="C558" i="6" s="1"/>
  <c r="L557" i="6"/>
  <c r="B557" i="6"/>
  <c r="C557" i="6" s="1"/>
  <c r="L556" i="6"/>
  <c r="B556" i="6"/>
  <c r="C556" i="6" s="1"/>
  <c r="L555" i="6"/>
  <c r="B555" i="6"/>
  <c r="C555" i="6" s="1"/>
  <c r="L554" i="6"/>
  <c r="B554" i="6"/>
  <c r="C554" i="6" s="1"/>
  <c r="L553" i="6"/>
  <c r="B553" i="6"/>
  <c r="C553" i="6" s="1"/>
  <c r="L552" i="6"/>
  <c r="B552" i="6"/>
  <c r="C552" i="6" s="1"/>
  <c r="L551" i="6"/>
  <c r="B551" i="6"/>
  <c r="C551" i="6" s="1"/>
  <c r="L550" i="6"/>
  <c r="B550" i="6"/>
  <c r="C550" i="6" s="1"/>
  <c r="L549" i="6"/>
  <c r="B549" i="6"/>
  <c r="C549" i="6" s="1"/>
  <c r="L548" i="6"/>
  <c r="B548" i="6"/>
  <c r="C548" i="6" s="1"/>
  <c r="L547" i="6"/>
  <c r="B547" i="6"/>
  <c r="C547" i="6" s="1"/>
  <c r="L546" i="6"/>
  <c r="B546" i="6"/>
  <c r="C546" i="6" s="1"/>
  <c r="L545" i="6"/>
  <c r="B545" i="6"/>
  <c r="C545" i="6" s="1"/>
  <c r="L544" i="6"/>
  <c r="B544" i="6"/>
  <c r="C544" i="6" s="1"/>
  <c r="L543" i="6"/>
  <c r="B543" i="6"/>
  <c r="C543" i="6" s="1"/>
  <c r="L542" i="6"/>
  <c r="B542" i="6"/>
  <c r="C542" i="6" s="1"/>
  <c r="L541" i="6"/>
  <c r="B541" i="6"/>
  <c r="C541" i="6" s="1"/>
  <c r="L540" i="6"/>
  <c r="B540" i="6"/>
  <c r="C540" i="6" s="1"/>
  <c r="L539" i="6"/>
  <c r="B539" i="6"/>
  <c r="C539" i="6" s="1"/>
  <c r="L538" i="6"/>
  <c r="B538" i="6"/>
  <c r="C538" i="6" s="1"/>
  <c r="L537" i="6"/>
  <c r="B537" i="6"/>
  <c r="C537" i="6" s="1"/>
  <c r="L536" i="6"/>
  <c r="B536" i="6"/>
  <c r="C536" i="6" s="1"/>
  <c r="L535" i="6"/>
  <c r="B535" i="6"/>
  <c r="C535" i="6" s="1"/>
  <c r="L534" i="6"/>
  <c r="B534" i="6"/>
  <c r="C534" i="6" s="1"/>
  <c r="L533" i="6"/>
  <c r="B533" i="6"/>
  <c r="C533" i="6" s="1"/>
  <c r="L532" i="6"/>
  <c r="B532" i="6"/>
  <c r="C532" i="6" s="1"/>
  <c r="L531" i="6"/>
  <c r="B531" i="6"/>
  <c r="C531" i="6" s="1"/>
  <c r="L530" i="6"/>
  <c r="B530" i="6"/>
  <c r="C530" i="6" s="1"/>
  <c r="L529" i="6"/>
  <c r="B529" i="6"/>
  <c r="C529" i="6" s="1"/>
  <c r="L528" i="6"/>
  <c r="B528" i="6"/>
  <c r="C528" i="6" s="1"/>
  <c r="L527" i="6"/>
  <c r="B527" i="6"/>
  <c r="C527" i="6" s="1"/>
  <c r="L526" i="6"/>
  <c r="B526" i="6"/>
  <c r="C526" i="6" s="1"/>
  <c r="L525" i="6"/>
  <c r="B525" i="6"/>
  <c r="C525" i="6" s="1"/>
  <c r="L524" i="6"/>
  <c r="B524" i="6"/>
  <c r="C524" i="6" s="1"/>
  <c r="L523" i="6"/>
  <c r="B523" i="6"/>
  <c r="C523" i="6" s="1"/>
  <c r="L522" i="6"/>
  <c r="B522" i="6"/>
  <c r="C522" i="6" s="1"/>
  <c r="L521" i="6"/>
  <c r="B521" i="6"/>
  <c r="C521" i="6" s="1"/>
  <c r="L520" i="6"/>
  <c r="B520" i="6"/>
  <c r="C520" i="6" s="1"/>
  <c r="L519" i="6"/>
  <c r="B519" i="6"/>
  <c r="C519" i="6" s="1"/>
  <c r="L518" i="6"/>
  <c r="B518" i="6"/>
  <c r="C518" i="6" s="1"/>
  <c r="L517" i="6"/>
  <c r="B517" i="6"/>
  <c r="C517" i="6" s="1"/>
  <c r="L516" i="6"/>
  <c r="B516" i="6"/>
  <c r="C516" i="6" s="1"/>
  <c r="L515" i="6"/>
  <c r="B515" i="6"/>
  <c r="C515" i="6" s="1"/>
  <c r="L514" i="6"/>
  <c r="B514" i="6"/>
  <c r="C514" i="6" s="1"/>
  <c r="L513" i="6"/>
  <c r="B513" i="6"/>
  <c r="C513" i="6" s="1"/>
  <c r="L512" i="6"/>
  <c r="B512" i="6"/>
  <c r="C512" i="6" s="1"/>
  <c r="L511" i="6"/>
  <c r="B511" i="6"/>
  <c r="C511" i="6" s="1"/>
  <c r="L510" i="6"/>
  <c r="B510" i="6"/>
  <c r="C510" i="6" s="1"/>
  <c r="L509" i="6"/>
  <c r="B509" i="6"/>
  <c r="C509" i="6" s="1"/>
  <c r="L508" i="6"/>
  <c r="B508" i="6"/>
  <c r="C508" i="6" s="1"/>
  <c r="L507" i="6"/>
  <c r="B507" i="6"/>
  <c r="C507" i="6" s="1"/>
  <c r="L506" i="6"/>
  <c r="B506" i="6"/>
  <c r="C506" i="6" s="1"/>
  <c r="L505" i="6"/>
  <c r="B505" i="6"/>
  <c r="C505" i="6" s="1"/>
  <c r="L504" i="6"/>
  <c r="B504" i="6"/>
  <c r="C504" i="6" s="1"/>
  <c r="L503" i="6"/>
  <c r="B503" i="6"/>
  <c r="C503" i="6" s="1"/>
  <c r="L502" i="6"/>
  <c r="B502" i="6"/>
  <c r="C502" i="6" s="1"/>
  <c r="L501" i="6"/>
  <c r="B501" i="6"/>
  <c r="C501" i="6" s="1"/>
  <c r="L500" i="6"/>
  <c r="B500" i="6"/>
  <c r="C500" i="6" s="1"/>
  <c r="L499" i="6"/>
  <c r="B499" i="6"/>
  <c r="C499" i="6" s="1"/>
  <c r="L498" i="6"/>
  <c r="B498" i="6"/>
  <c r="C498" i="6" s="1"/>
  <c r="L497" i="6"/>
  <c r="B497" i="6"/>
  <c r="C497" i="6" s="1"/>
  <c r="L496" i="6"/>
  <c r="B496" i="6"/>
  <c r="C496" i="6" s="1"/>
  <c r="L495" i="6"/>
  <c r="B495" i="6"/>
  <c r="C495" i="6" s="1"/>
  <c r="L494" i="6"/>
  <c r="B494" i="6"/>
  <c r="C494" i="6" s="1"/>
  <c r="L493" i="6"/>
  <c r="B493" i="6"/>
  <c r="C493" i="6" s="1"/>
  <c r="L492" i="6"/>
  <c r="B492" i="6"/>
  <c r="C492" i="6" s="1"/>
  <c r="L491" i="6"/>
  <c r="B491" i="6"/>
  <c r="C491" i="6" s="1"/>
  <c r="L490" i="6"/>
  <c r="B490" i="6"/>
  <c r="C490" i="6" s="1"/>
  <c r="L489" i="6"/>
  <c r="B489" i="6"/>
  <c r="C489" i="6" s="1"/>
  <c r="L488" i="6"/>
  <c r="B488" i="6"/>
  <c r="C488" i="6" s="1"/>
  <c r="L487" i="6"/>
  <c r="B487" i="6"/>
  <c r="C487" i="6" s="1"/>
  <c r="L486" i="6"/>
  <c r="B486" i="6"/>
  <c r="C486" i="6" s="1"/>
  <c r="L485" i="6"/>
  <c r="B485" i="6"/>
  <c r="C485" i="6" s="1"/>
  <c r="L484" i="6"/>
  <c r="B484" i="6"/>
  <c r="C484" i="6" s="1"/>
  <c r="L483" i="6"/>
  <c r="B483" i="6"/>
  <c r="C483" i="6" s="1"/>
  <c r="L482" i="6"/>
  <c r="B482" i="6"/>
  <c r="C482" i="6" s="1"/>
  <c r="L481" i="6"/>
  <c r="B481" i="6"/>
  <c r="C481" i="6" s="1"/>
  <c r="L480" i="6"/>
  <c r="B480" i="6"/>
  <c r="C480" i="6" s="1"/>
  <c r="L479" i="6"/>
  <c r="B479" i="6"/>
  <c r="C479" i="6" s="1"/>
  <c r="L478" i="6"/>
  <c r="B478" i="6"/>
  <c r="C478" i="6" s="1"/>
  <c r="L477" i="6"/>
  <c r="B477" i="6"/>
  <c r="C477" i="6" s="1"/>
  <c r="L476" i="6"/>
  <c r="B476" i="6"/>
  <c r="C476" i="6" s="1"/>
  <c r="L475" i="6"/>
  <c r="B475" i="6"/>
  <c r="C475" i="6" s="1"/>
  <c r="L474" i="6"/>
  <c r="B474" i="6"/>
  <c r="C474" i="6" s="1"/>
  <c r="L473" i="6"/>
  <c r="B473" i="6"/>
  <c r="C473" i="6" s="1"/>
  <c r="L472" i="6"/>
  <c r="B472" i="6"/>
  <c r="C472" i="6" s="1"/>
  <c r="L471" i="6"/>
  <c r="B471" i="6"/>
  <c r="C471" i="6" s="1"/>
  <c r="L470" i="6"/>
  <c r="B470" i="6"/>
  <c r="C470" i="6" s="1"/>
  <c r="L469" i="6"/>
  <c r="B469" i="6"/>
  <c r="C469" i="6" s="1"/>
  <c r="L468" i="6"/>
  <c r="B468" i="6"/>
  <c r="C468" i="6" s="1"/>
  <c r="L467" i="6"/>
  <c r="B467" i="6"/>
  <c r="C467" i="6" s="1"/>
  <c r="L466" i="6"/>
  <c r="B466" i="6"/>
  <c r="C466" i="6" s="1"/>
  <c r="L465" i="6"/>
  <c r="B465" i="6"/>
  <c r="C465" i="6" s="1"/>
  <c r="L464" i="6"/>
  <c r="B464" i="6"/>
  <c r="C464" i="6" s="1"/>
  <c r="L463" i="6"/>
  <c r="B463" i="6"/>
  <c r="C463" i="6" s="1"/>
  <c r="L462" i="6"/>
  <c r="B462" i="6"/>
  <c r="C462" i="6" s="1"/>
  <c r="L461" i="6"/>
  <c r="B461" i="6"/>
  <c r="C461" i="6" s="1"/>
  <c r="L460" i="6"/>
  <c r="B460" i="6"/>
  <c r="C460" i="6" s="1"/>
  <c r="L459" i="6"/>
  <c r="B459" i="6"/>
  <c r="C459" i="6" s="1"/>
  <c r="L458" i="6"/>
  <c r="B458" i="6"/>
  <c r="C458" i="6" s="1"/>
  <c r="L457" i="6"/>
  <c r="B457" i="6"/>
  <c r="C457" i="6" s="1"/>
  <c r="L456" i="6"/>
  <c r="B456" i="6"/>
  <c r="C456" i="6" s="1"/>
  <c r="L455" i="6"/>
  <c r="B455" i="6"/>
  <c r="C455" i="6" s="1"/>
  <c r="L454" i="6"/>
  <c r="B454" i="6"/>
  <c r="C454" i="6" s="1"/>
  <c r="L453" i="6"/>
  <c r="B453" i="6"/>
  <c r="C453" i="6" s="1"/>
  <c r="L452" i="6"/>
  <c r="B452" i="6"/>
  <c r="C452" i="6" s="1"/>
  <c r="L451" i="6"/>
  <c r="B451" i="6"/>
  <c r="C451" i="6" s="1"/>
  <c r="L450" i="6"/>
  <c r="B450" i="6"/>
  <c r="C450" i="6" s="1"/>
  <c r="L449" i="6"/>
  <c r="B449" i="6"/>
  <c r="C449" i="6" s="1"/>
  <c r="L448" i="6"/>
  <c r="B448" i="6"/>
  <c r="C448" i="6" s="1"/>
  <c r="L447" i="6"/>
  <c r="B447" i="6"/>
  <c r="C447" i="6" s="1"/>
  <c r="L446" i="6"/>
  <c r="B446" i="6"/>
  <c r="C446" i="6" s="1"/>
  <c r="L445" i="6"/>
  <c r="B445" i="6"/>
  <c r="C445" i="6" s="1"/>
  <c r="L444" i="6"/>
  <c r="B444" i="6"/>
  <c r="C444" i="6" s="1"/>
  <c r="L443" i="6"/>
  <c r="B443" i="6"/>
  <c r="C443" i="6" s="1"/>
  <c r="L442" i="6"/>
  <c r="B442" i="6"/>
  <c r="C442" i="6" s="1"/>
  <c r="L441" i="6"/>
  <c r="B441" i="6"/>
  <c r="C441" i="6" s="1"/>
  <c r="L440" i="6"/>
  <c r="B440" i="6"/>
  <c r="C440" i="6" s="1"/>
  <c r="L439" i="6"/>
  <c r="B439" i="6"/>
  <c r="C439" i="6" s="1"/>
  <c r="L438" i="6"/>
  <c r="B438" i="6"/>
  <c r="C438" i="6" s="1"/>
  <c r="L437" i="6"/>
  <c r="B437" i="6"/>
  <c r="C437" i="6" s="1"/>
  <c r="L436" i="6"/>
  <c r="B436" i="6"/>
  <c r="C436" i="6" s="1"/>
  <c r="L435" i="6"/>
  <c r="B435" i="6"/>
  <c r="C435" i="6" s="1"/>
  <c r="L434" i="6"/>
  <c r="B434" i="6"/>
  <c r="C434" i="6" s="1"/>
  <c r="L433" i="6"/>
  <c r="B433" i="6"/>
  <c r="C433" i="6" s="1"/>
  <c r="L432" i="6"/>
  <c r="B432" i="6"/>
  <c r="C432" i="6" s="1"/>
  <c r="L431" i="6"/>
  <c r="B431" i="6"/>
  <c r="C431" i="6" s="1"/>
  <c r="L430" i="6"/>
  <c r="B430" i="6"/>
  <c r="C430" i="6" s="1"/>
  <c r="L429" i="6"/>
  <c r="B429" i="6"/>
  <c r="C429" i="6" s="1"/>
  <c r="L428" i="6"/>
  <c r="B428" i="6"/>
  <c r="C428" i="6" s="1"/>
  <c r="L427" i="6"/>
  <c r="B427" i="6"/>
  <c r="C427" i="6" s="1"/>
  <c r="L426" i="6"/>
  <c r="B426" i="6"/>
  <c r="C426" i="6" s="1"/>
  <c r="L425" i="6"/>
  <c r="B425" i="6"/>
  <c r="C425" i="6" s="1"/>
  <c r="L424" i="6"/>
  <c r="B424" i="6"/>
  <c r="C424" i="6" s="1"/>
  <c r="L423" i="6"/>
  <c r="B423" i="6"/>
  <c r="C423" i="6" s="1"/>
  <c r="L422" i="6"/>
  <c r="B422" i="6"/>
  <c r="C422" i="6" s="1"/>
  <c r="L421" i="6"/>
  <c r="B421" i="6"/>
  <c r="C421" i="6" s="1"/>
  <c r="L420" i="6"/>
  <c r="B420" i="6"/>
  <c r="C420" i="6" s="1"/>
  <c r="L419" i="6"/>
  <c r="B419" i="6"/>
  <c r="C419" i="6" s="1"/>
  <c r="L418" i="6"/>
  <c r="B418" i="6"/>
  <c r="C418" i="6" s="1"/>
  <c r="L417" i="6"/>
  <c r="B417" i="6"/>
  <c r="C417" i="6" s="1"/>
  <c r="L416" i="6"/>
  <c r="B416" i="6"/>
  <c r="C416" i="6" s="1"/>
  <c r="L415" i="6"/>
  <c r="B415" i="6"/>
  <c r="C415" i="6" s="1"/>
  <c r="L414" i="6"/>
  <c r="B414" i="6"/>
  <c r="C414" i="6" s="1"/>
  <c r="L413" i="6"/>
  <c r="B413" i="6"/>
  <c r="C413" i="6" s="1"/>
  <c r="L412" i="6"/>
  <c r="B412" i="6"/>
  <c r="C412" i="6" s="1"/>
  <c r="L411" i="6"/>
  <c r="B411" i="6"/>
  <c r="C411" i="6" s="1"/>
  <c r="L410" i="6"/>
  <c r="B410" i="6"/>
  <c r="C410" i="6" s="1"/>
  <c r="L409" i="6"/>
  <c r="B409" i="6"/>
  <c r="C409" i="6" s="1"/>
  <c r="L408" i="6"/>
  <c r="B408" i="6"/>
  <c r="C408" i="6" s="1"/>
  <c r="L407" i="6"/>
  <c r="B407" i="6"/>
  <c r="C407" i="6" s="1"/>
  <c r="L406" i="6"/>
  <c r="B406" i="6"/>
  <c r="C406" i="6" s="1"/>
  <c r="L405" i="6"/>
  <c r="B405" i="6"/>
  <c r="C405" i="6" s="1"/>
  <c r="L404" i="6"/>
  <c r="B404" i="6"/>
  <c r="C404" i="6" s="1"/>
  <c r="L403" i="6"/>
  <c r="B403" i="6"/>
  <c r="C403" i="6" s="1"/>
  <c r="L402" i="6"/>
  <c r="B402" i="6"/>
  <c r="C402" i="6" s="1"/>
  <c r="L401" i="6"/>
  <c r="B401" i="6"/>
  <c r="C401" i="6" s="1"/>
  <c r="L400" i="6"/>
  <c r="B400" i="6"/>
  <c r="C400" i="6" s="1"/>
  <c r="L399" i="6"/>
  <c r="B399" i="6"/>
  <c r="C399" i="6" s="1"/>
  <c r="L398" i="6"/>
  <c r="B398" i="6"/>
  <c r="C398" i="6" s="1"/>
  <c r="L397" i="6"/>
  <c r="B397" i="6"/>
  <c r="C397" i="6" s="1"/>
  <c r="L396" i="6"/>
  <c r="B396" i="6"/>
  <c r="C396" i="6" s="1"/>
  <c r="L395" i="6"/>
  <c r="B395" i="6"/>
  <c r="C395" i="6" s="1"/>
  <c r="L394" i="6"/>
  <c r="B394" i="6"/>
  <c r="C394" i="6" s="1"/>
  <c r="L393" i="6"/>
  <c r="B393" i="6"/>
  <c r="C393" i="6" s="1"/>
  <c r="L392" i="6"/>
  <c r="B392" i="6"/>
  <c r="C392" i="6" s="1"/>
  <c r="L391" i="6"/>
  <c r="B391" i="6"/>
  <c r="C391" i="6" s="1"/>
  <c r="L390" i="6"/>
  <c r="B390" i="6"/>
  <c r="C390" i="6" s="1"/>
  <c r="L389" i="6"/>
  <c r="B389" i="6"/>
  <c r="C389" i="6" s="1"/>
  <c r="L388" i="6"/>
  <c r="B388" i="6"/>
  <c r="C388" i="6" s="1"/>
  <c r="L387" i="6"/>
  <c r="B387" i="6"/>
  <c r="C387" i="6" s="1"/>
  <c r="L386" i="6"/>
  <c r="B386" i="6"/>
  <c r="C386" i="6" s="1"/>
  <c r="L385" i="6"/>
  <c r="B385" i="6"/>
  <c r="C385" i="6" s="1"/>
  <c r="L384" i="6"/>
  <c r="B384" i="6"/>
  <c r="C384" i="6" s="1"/>
  <c r="L383" i="6"/>
  <c r="B383" i="6"/>
  <c r="C383" i="6" s="1"/>
  <c r="L382" i="6"/>
  <c r="B382" i="6"/>
  <c r="C382" i="6" s="1"/>
  <c r="L381" i="6"/>
  <c r="B381" i="6"/>
  <c r="C381" i="6" s="1"/>
  <c r="L380" i="6"/>
  <c r="B380" i="6"/>
  <c r="C380" i="6" s="1"/>
  <c r="L379" i="6"/>
  <c r="B379" i="6"/>
  <c r="C379" i="6" s="1"/>
  <c r="L378" i="6"/>
  <c r="B378" i="6"/>
  <c r="C378" i="6" s="1"/>
  <c r="L377" i="6"/>
  <c r="B377" i="6"/>
  <c r="C377" i="6" s="1"/>
  <c r="L376" i="6"/>
  <c r="B376" i="6"/>
  <c r="C376" i="6" s="1"/>
  <c r="L375" i="6"/>
  <c r="B375" i="6"/>
  <c r="C375" i="6" s="1"/>
  <c r="L374" i="6"/>
  <c r="B374" i="6"/>
  <c r="C374" i="6" s="1"/>
  <c r="L373" i="6"/>
  <c r="B373" i="6"/>
  <c r="C373" i="6" s="1"/>
  <c r="L372" i="6"/>
  <c r="B372" i="6"/>
  <c r="C372" i="6" s="1"/>
  <c r="L371" i="6"/>
  <c r="B371" i="6"/>
  <c r="C371" i="6" s="1"/>
  <c r="L370" i="6"/>
  <c r="B370" i="6"/>
  <c r="C370" i="6" s="1"/>
  <c r="L369" i="6"/>
  <c r="B369" i="6"/>
  <c r="C369" i="6" s="1"/>
  <c r="L368" i="6"/>
  <c r="B368" i="6"/>
  <c r="C368" i="6" s="1"/>
  <c r="L367" i="6"/>
  <c r="B367" i="6"/>
  <c r="C367" i="6" s="1"/>
  <c r="L366" i="6"/>
  <c r="B366" i="6"/>
  <c r="C366" i="6" s="1"/>
  <c r="L365" i="6"/>
  <c r="B365" i="6"/>
  <c r="C365" i="6" s="1"/>
  <c r="L364" i="6"/>
  <c r="B364" i="6"/>
  <c r="C364" i="6" s="1"/>
  <c r="L363" i="6"/>
  <c r="B363" i="6"/>
  <c r="C363" i="6" s="1"/>
  <c r="L362" i="6"/>
  <c r="B362" i="6"/>
  <c r="C362" i="6" s="1"/>
  <c r="L361" i="6"/>
  <c r="B361" i="6"/>
  <c r="C361" i="6" s="1"/>
  <c r="L360" i="6"/>
  <c r="B360" i="6"/>
  <c r="C360" i="6" s="1"/>
  <c r="L359" i="6"/>
  <c r="B359" i="6"/>
  <c r="C359" i="6" s="1"/>
  <c r="L358" i="6"/>
  <c r="B358" i="6"/>
  <c r="C358" i="6" s="1"/>
  <c r="L357" i="6"/>
  <c r="B357" i="6"/>
  <c r="C357" i="6" s="1"/>
  <c r="L356" i="6"/>
  <c r="B356" i="6"/>
  <c r="C356" i="6" s="1"/>
  <c r="L355" i="6"/>
  <c r="B355" i="6"/>
  <c r="C355" i="6" s="1"/>
  <c r="L354" i="6"/>
  <c r="B354" i="6"/>
  <c r="C354" i="6" s="1"/>
  <c r="L353" i="6"/>
  <c r="B353" i="6"/>
  <c r="C353" i="6" s="1"/>
  <c r="L352" i="6"/>
  <c r="B352" i="6"/>
  <c r="C352" i="6" s="1"/>
  <c r="L351" i="6"/>
  <c r="B351" i="6"/>
  <c r="C351" i="6" s="1"/>
  <c r="L350" i="6"/>
  <c r="B350" i="6"/>
  <c r="C350" i="6" s="1"/>
  <c r="L349" i="6"/>
  <c r="B349" i="6"/>
  <c r="C349" i="6" s="1"/>
  <c r="L348" i="6"/>
  <c r="B348" i="6"/>
  <c r="C348" i="6" s="1"/>
  <c r="L347" i="6"/>
  <c r="B347" i="6"/>
  <c r="C347" i="6" s="1"/>
  <c r="L346" i="6"/>
  <c r="B346" i="6"/>
  <c r="C346" i="6" s="1"/>
  <c r="L345" i="6"/>
  <c r="B345" i="6"/>
  <c r="C345" i="6" s="1"/>
  <c r="L344" i="6"/>
  <c r="B344" i="6"/>
  <c r="C344" i="6" s="1"/>
  <c r="L343" i="6"/>
  <c r="B343" i="6"/>
  <c r="C343" i="6" s="1"/>
  <c r="L342" i="6"/>
  <c r="B342" i="6"/>
  <c r="C342" i="6" s="1"/>
  <c r="L341" i="6"/>
  <c r="B341" i="6"/>
  <c r="C341" i="6" s="1"/>
  <c r="L340" i="6"/>
  <c r="B340" i="6"/>
  <c r="C340" i="6" s="1"/>
  <c r="L339" i="6"/>
  <c r="B339" i="6"/>
  <c r="C339" i="6" s="1"/>
  <c r="L338" i="6"/>
  <c r="B338" i="6"/>
  <c r="C338" i="6" s="1"/>
  <c r="L337" i="6"/>
  <c r="B337" i="6"/>
  <c r="C337" i="6" s="1"/>
  <c r="L336" i="6"/>
  <c r="B336" i="6"/>
  <c r="C336" i="6" s="1"/>
  <c r="L335" i="6"/>
  <c r="B335" i="6"/>
  <c r="C335" i="6" s="1"/>
  <c r="L334" i="6"/>
  <c r="B334" i="6"/>
  <c r="C334" i="6" s="1"/>
  <c r="L333" i="6"/>
  <c r="B333" i="6"/>
  <c r="C333" i="6" s="1"/>
  <c r="L332" i="6"/>
  <c r="B332" i="6"/>
  <c r="C332" i="6" s="1"/>
  <c r="L331" i="6"/>
  <c r="B331" i="6"/>
  <c r="C331" i="6" s="1"/>
  <c r="L330" i="6"/>
  <c r="B330" i="6"/>
  <c r="C330" i="6" s="1"/>
  <c r="L329" i="6"/>
  <c r="B329" i="6"/>
  <c r="C329" i="6" s="1"/>
  <c r="L328" i="6"/>
  <c r="B328" i="6"/>
  <c r="C328" i="6" s="1"/>
  <c r="L327" i="6"/>
  <c r="B327" i="6"/>
  <c r="C327" i="6" s="1"/>
  <c r="L326" i="6"/>
  <c r="B326" i="6"/>
  <c r="C326" i="6" s="1"/>
  <c r="L325" i="6"/>
  <c r="B325" i="6"/>
  <c r="C325" i="6" s="1"/>
  <c r="L324" i="6"/>
  <c r="B324" i="6"/>
  <c r="C324" i="6" s="1"/>
  <c r="L323" i="6"/>
  <c r="B323" i="6"/>
  <c r="C323" i="6" s="1"/>
  <c r="L322" i="6"/>
  <c r="B322" i="6"/>
  <c r="C322" i="6" s="1"/>
  <c r="L321" i="6"/>
  <c r="B321" i="6"/>
  <c r="C321" i="6" s="1"/>
  <c r="L320" i="6"/>
  <c r="B320" i="6"/>
  <c r="C320" i="6" s="1"/>
  <c r="L319" i="6"/>
  <c r="B319" i="6"/>
  <c r="C319" i="6" s="1"/>
  <c r="L318" i="6"/>
  <c r="B318" i="6"/>
  <c r="C318" i="6" s="1"/>
  <c r="L317" i="6"/>
  <c r="B317" i="6"/>
  <c r="C317" i="6" s="1"/>
  <c r="L316" i="6"/>
  <c r="B316" i="6"/>
  <c r="C316" i="6" s="1"/>
  <c r="L315" i="6"/>
  <c r="B315" i="6"/>
  <c r="C315" i="6" s="1"/>
  <c r="L314" i="6"/>
  <c r="B314" i="6"/>
  <c r="C314" i="6" s="1"/>
  <c r="L313" i="6"/>
  <c r="B313" i="6"/>
  <c r="C313" i="6" s="1"/>
  <c r="L312" i="6"/>
  <c r="B312" i="6"/>
  <c r="C312" i="6" s="1"/>
  <c r="L311" i="6"/>
  <c r="B311" i="6"/>
  <c r="C311" i="6" s="1"/>
  <c r="L310" i="6"/>
  <c r="B310" i="6"/>
  <c r="C310" i="6" s="1"/>
  <c r="L309" i="6"/>
  <c r="B309" i="6"/>
  <c r="C309" i="6" s="1"/>
  <c r="L308" i="6"/>
  <c r="B308" i="6"/>
  <c r="C308" i="6" s="1"/>
  <c r="L307" i="6"/>
  <c r="B307" i="6"/>
  <c r="C307" i="6" s="1"/>
  <c r="L306" i="6"/>
  <c r="B306" i="6"/>
  <c r="C306" i="6" s="1"/>
  <c r="L305" i="6"/>
  <c r="B305" i="6"/>
  <c r="C305" i="6" s="1"/>
  <c r="L304" i="6"/>
  <c r="B304" i="6"/>
  <c r="C304" i="6" s="1"/>
  <c r="L303" i="6"/>
  <c r="B303" i="6"/>
  <c r="C303" i="6" s="1"/>
  <c r="L302" i="6"/>
  <c r="B302" i="6"/>
  <c r="C302" i="6" s="1"/>
  <c r="L301" i="6"/>
  <c r="B301" i="6"/>
  <c r="C301" i="6" s="1"/>
  <c r="L300" i="6"/>
  <c r="B300" i="6"/>
  <c r="C300" i="6" s="1"/>
  <c r="L299" i="6"/>
  <c r="B299" i="6"/>
  <c r="C299" i="6" s="1"/>
  <c r="L298" i="6"/>
  <c r="B298" i="6"/>
  <c r="C298" i="6" s="1"/>
  <c r="L297" i="6"/>
  <c r="B297" i="6"/>
  <c r="C297" i="6" s="1"/>
  <c r="L296" i="6"/>
  <c r="B296" i="6"/>
  <c r="C296" i="6" s="1"/>
  <c r="L295" i="6"/>
  <c r="B295" i="6"/>
  <c r="C295" i="6" s="1"/>
  <c r="L294" i="6"/>
  <c r="B294" i="6"/>
  <c r="C294" i="6" s="1"/>
  <c r="L293" i="6"/>
  <c r="B293" i="6"/>
  <c r="C293" i="6" s="1"/>
  <c r="L292" i="6"/>
  <c r="B292" i="6"/>
  <c r="C292" i="6" s="1"/>
  <c r="L291" i="6"/>
  <c r="B291" i="6"/>
  <c r="C291" i="6" s="1"/>
  <c r="L290" i="6"/>
  <c r="B290" i="6"/>
  <c r="C290" i="6" s="1"/>
  <c r="L289" i="6"/>
  <c r="B289" i="6"/>
  <c r="C289" i="6" s="1"/>
  <c r="L288" i="6"/>
  <c r="B288" i="6"/>
  <c r="C288" i="6" s="1"/>
  <c r="L287" i="6"/>
  <c r="B287" i="6"/>
  <c r="C287" i="6" s="1"/>
  <c r="L286" i="6"/>
  <c r="B286" i="6"/>
  <c r="C286" i="6" s="1"/>
  <c r="L285" i="6"/>
  <c r="B285" i="6"/>
  <c r="C285" i="6" s="1"/>
  <c r="L284" i="6"/>
  <c r="B284" i="6"/>
  <c r="C284" i="6" s="1"/>
  <c r="L283" i="6"/>
  <c r="B283" i="6"/>
  <c r="C283" i="6" s="1"/>
  <c r="L282" i="6"/>
  <c r="B282" i="6"/>
  <c r="C282" i="6" s="1"/>
  <c r="L281" i="6"/>
  <c r="B281" i="6"/>
  <c r="C281" i="6" s="1"/>
  <c r="L280" i="6"/>
  <c r="B280" i="6"/>
  <c r="C280" i="6" s="1"/>
  <c r="L279" i="6"/>
  <c r="B279" i="6"/>
  <c r="C279" i="6" s="1"/>
  <c r="L278" i="6"/>
  <c r="B278" i="6"/>
  <c r="C278" i="6" s="1"/>
  <c r="L277" i="6"/>
  <c r="B277" i="6"/>
  <c r="C277" i="6" s="1"/>
  <c r="L276" i="6"/>
  <c r="B276" i="6"/>
  <c r="C276" i="6" s="1"/>
  <c r="L275" i="6"/>
  <c r="B275" i="6"/>
  <c r="C275" i="6" s="1"/>
  <c r="L274" i="6"/>
  <c r="B274" i="6"/>
  <c r="C274" i="6" s="1"/>
  <c r="L273" i="6"/>
  <c r="B273" i="6"/>
  <c r="C273" i="6" s="1"/>
  <c r="L272" i="6"/>
  <c r="B272" i="6"/>
  <c r="C272" i="6" s="1"/>
  <c r="L271" i="6"/>
  <c r="B271" i="6"/>
  <c r="C271" i="6" s="1"/>
  <c r="L270" i="6"/>
  <c r="B270" i="6"/>
  <c r="C270" i="6" s="1"/>
  <c r="L269" i="6"/>
  <c r="B269" i="6"/>
  <c r="C269" i="6" s="1"/>
  <c r="L268" i="6"/>
  <c r="B268" i="6"/>
  <c r="C268" i="6" s="1"/>
  <c r="L267" i="6"/>
  <c r="B267" i="6"/>
  <c r="C267" i="6" s="1"/>
  <c r="L266" i="6"/>
  <c r="B266" i="6"/>
  <c r="C266" i="6" s="1"/>
  <c r="L265" i="6"/>
  <c r="B265" i="6"/>
  <c r="C265" i="6" s="1"/>
  <c r="L264" i="6"/>
  <c r="B264" i="6"/>
  <c r="C264" i="6" s="1"/>
  <c r="L263" i="6"/>
  <c r="B263" i="6"/>
  <c r="C263" i="6" s="1"/>
  <c r="L262" i="6"/>
  <c r="B262" i="6"/>
  <c r="C262" i="6" s="1"/>
  <c r="L261" i="6"/>
  <c r="B261" i="6"/>
  <c r="C261" i="6" s="1"/>
  <c r="L260" i="6"/>
  <c r="B260" i="6"/>
  <c r="C260" i="6" s="1"/>
  <c r="L259" i="6"/>
  <c r="B259" i="6"/>
  <c r="C259" i="6" s="1"/>
  <c r="L258" i="6"/>
  <c r="B258" i="6"/>
  <c r="C258" i="6" s="1"/>
  <c r="L257" i="6"/>
  <c r="B257" i="6"/>
  <c r="C257" i="6" s="1"/>
  <c r="L256" i="6"/>
  <c r="B256" i="6"/>
  <c r="C256" i="6" s="1"/>
  <c r="L255" i="6"/>
  <c r="B255" i="6"/>
  <c r="C255" i="6" s="1"/>
  <c r="L254" i="6"/>
  <c r="B254" i="6"/>
  <c r="C254" i="6" s="1"/>
  <c r="L253" i="6"/>
  <c r="B253" i="6"/>
  <c r="C253" i="6" s="1"/>
  <c r="L252" i="6"/>
  <c r="B252" i="6"/>
  <c r="C252" i="6" s="1"/>
  <c r="L251" i="6"/>
  <c r="B251" i="6"/>
  <c r="C251" i="6" s="1"/>
  <c r="L250" i="6"/>
  <c r="B250" i="6"/>
  <c r="C250" i="6" s="1"/>
  <c r="L249" i="6"/>
  <c r="B249" i="6"/>
  <c r="C249" i="6" s="1"/>
  <c r="L248" i="6"/>
  <c r="B248" i="6"/>
  <c r="C248" i="6" s="1"/>
  <c r="L247" i="6"/>
  <c r="B247" i="6"/>
  <c r="C247" i="6" s="1"/>
  <c r="L246" i="6"/>
  <c r="B246" i="6"/>
  <c r="C246" i="6" s="1"/>
  <c r="L245" i="6"/>
  <c r="B245" i="6"/>
  <c r="C245" i="6" s="1"/>
  <c r="L244" i="6"/>
  <c r="B244" i="6"/>
  <c r="C244" i="6" s="1"/>
  <c r="L243" i="6"/>
  <c r="B243" i="6"/>
  <c r="C243" i="6" s="1"/>
  <c r="L242" i="6"/>
  <c r="B242" i="6"/>
  <c r="C242" i="6" s="1"/>
  <c r="L241" i="6"/>
  <c r="B241" i="6"/>
  <c r="C241" i="6" s="1"/>
  <c r="L240" i="6"/>
  <c r="B240" i="6"/>
  <c r="C240" i="6" s="1"/>
  <c r="L239" i="6"/>
  <c r="B239" i="6"/>
  <c r="C239" i="6" s="1"/>
  <c r="L238" i="6"/>
  <c r="B238" i="6"/>
  <c r="C238" i="6" s="1"/>
  <c r="L237" i="6"/>
  <c r="B237" i="6"/>
  <c r="C237" i="6" s="1"/>
  <c r="L236" i="6"/>
  <c r="B236" i="6"/>
  <c r="C236" i="6" s="1"/>
  <c r="L235" i="6"/>
  <c r="B235" i="6"/>
  <c r="C235" i="6" s="1"/>
  <c r="L234" i="6"/>
  <c r="B234" i="6"/>
  <c r="C234" i="6" s="1"/>
  <c r="L233" i="6"/>
  <c r="B233" i="6"/>
  <c r="C233" i="6" s="1"/>
  <c r="L232" i="6"/>
  <c r="B232" i="6"/>
  <c r="C232" i="6" s="1"/>
  <c r="L231" i="6"/>
  <c r="B231" i="6"/>
  <c r="C231" i="6" s="1"/>
  <c r="L230" i="6"/>
  <c r="B230" i="6"/>
  <c r="C230" i="6" s="1"/>
  <c r="L229" i="6"/>
  <c r="B229" i="6"/>
  <c r="C229" i="6" s="1"/>
  <c r="L228" i="6"/>
  <c r="B228" i="6"/>
  <c r="C228" i="6" s="1"/>
  <c r="L227" i="6"/>
  <c r="B227" i="6"/>
  <c r="C227" i="6" s="1"/>
  <c r="L226" i="6"/>
  <c r="B226" i="6"/>
  <c r="C226" i="6" s="1"/>
  <c r="L225" i="6"/>
  <c r="B225" i="6"/>
  <c r="C225" i="6" s="1"/>
  <c r="L224" i="6"/>
  <c r="B224" i="6"/>
  <c r="C224" i="6" s="1"/>
  <c r="L223" i="6"/>
  <c r="B223" i="6"/>
  <c r="C223" i="6" s="1"/>
  <c r="L222" i="6"/>
  <c r="B222" i="6"/>
  <c r="C222" i="6" s="1"/>
  <c r="L221" i="6"/>
  <c r="B221" i="6"/>
  <c r="C221" i="6" s="1"/>
  <c r="L220" i="6"/>
  <c r="B220" i="6"/>
  <c r="C220" i="6" s="1"/>
  <c r="L219" i="6"/>
  <c r="B219" i="6"/>
  <c r="C219" i="6" s="1"/>
  <c r="L218" i="6"/>
  <c r="B218" i="6"/>
  <c r="C218" i="6" s="1"/>
  <c r="L217" i="6"/>
  <c r="B217" i="6"/>
  <c r="C217" i="6" s="1"/>
  <c r="L216" i="6"/>
  <c r="B216" i="6"/>
  <c r="C216" i="6" s="1"/>
  <c r="L215" i="6"/>
  <c r="B215" i="6"/>
  <c r="C215" i="6" s="1"/>
  <c r="L214" i="6"/>
  <c r="B214" i="6"/>
  <c r="C214" i="6" s="1"/>
  <c r="L213" i="6"/>
  <c r="B213" i="6"/>
  <c r="C213" i="6" s="1"/>
  <c r="L212" i="6"/>
  <c r="B212" i="6"/>
  <c r="C212" i="6" s="1"/>
  <c r="L211" i="6"/>
  <c r="B211" i="6"/>
  <c r="C211" i="6" s="1"/>
  <c r="L210" i="6"/>
  <c r="B210" i="6"/>
  <c r="C210" i="6" s="1"/>
  <c r="L209" i="6"/>
  <c r="B209" i="6"/>
  <c r="C209" i="6" s="1"/>
  <c r="L208" i="6"/>
  <c r="B208" i="6"/>
  <c r="C208" i="6" s="1"/>
  <c r="L207" i="6"/>
  <c r="B207" i="6"/>
  <c r="C207" i="6" s="1"/>
  <c r="L206" i="6"/>
  <c r="B206" i="6"/>
  <c r="C206" i="6" s="1"/>
  <c r="L205" i="6"/>
  <c r="B205" i="6"/>
  <c r="C205" i="6" s="1"/>
  <c r="L204" i="6"/>
  <c r="B204" i="6"/>
  <c r="C204" i="6" s="1"/>
  <c r="L203" i="6"/>
  <c r="B203" i="6"/>
  <c r="C203" i="6" s="1"/>
  <c r="L202" i="6"/>
  <c r="B202" i="6"/>
  <c r="C202" i="6" s="1"/>
  <c r="L201" i="6"/>
  <c r="B201" i="6"/>
  <c r="C201" i="6" s="1"/>
  <c r="L200" i="6"/>
  <c r="B200" i="6"/>
  <c r="C200" i="6" s="1"/>
  <c r="L199" i="6"/>
  <c r="B199" i="6"/>
  <c r="C199" i="6" s="1"/>
  <c r="L198" i="6"/>
  <c r="B198" i="6"/>
  <c r="C198" i="6" s="1"/>
  <c r="L197" i="6"/>
  <c r="B197" i="6"/>
  <c r="C197" i="6" s="1"/>
  <c r="L196" i="6"/>
  <c r="B196" i="6"/>
  <c r="C196" i="6" s="1"/>
  <c r="L195" i="6"/>
  <c r="B195" i="6"/>
  <c r="C195" i="6" s="1"/>
  <c r="L194" i="6"/>
  <c r="B194" i="6"/>
  <c r="C194" i="6" s="1"/>
  <c r="L193" i="6"/>
  <c r="B193" i="6"/>
  <c r="C193" i="6" s="1"/>
  <c r="L192" i="6"/>
  <c r="B192" i="6"/>
  <c r="C192" i="6" s="1"/>
  <c r="L191" i="6"/>
  <c r="B191" i="6"/>
  <c r="C191" i="6" s="1"/>
  <c r="L190" i="6"/>
  <c r="B190" i="6"/>
  <c r="C190" i="6" s="1"/>
  <c r="L189" i="6"/>
  <c r="B189" i="6"/>
  <c r="C189" i="6" s="1"/>
  <c r="L188" i="6"/>
  <c r="B188" i="6"/>
  <c r="C188" i="6" s="1"/>
  <c r="L187" i="6"/>
  <c r="B187" i="6"/>
  <c r="C187" i="6" s="1"/>
  <c r="L186" i="6"/>
  <c r="B186" i="6"/>
  <c r="C186" i="6" s="1"/>
  <c r="L185" i="6"/>
  <c r="B185" i="6"/>
  <c r="C185" i="6" s="1"/>
  <c r="L184" i="6"/>
  <c r="B184" i="6"/>
  <c r="C184" i="6" s="1"/>
  <c r="L183" i="6"/>
  <c r="B183" i="6"/>
  <c r="C183" i="6" s="1"/>
  <c r="L182" i="6"/>
  <c r="B182" i="6"/>
  <c r="C182" i="6" s="1"/>
  <c r="L181" i="6"/>
  <c r="B181" i="6"/>
  <c r="C181" i="6" s="1"/>
  <c r="L180" i="6"/>
  <c r="B180" i="6"/>
  <c r="C180" i="6" s="1"/>
  <c r="L179" i="6"/>
  <c r="B179" i="6"/>
  <c r="C179" i="6" s="1"/>
  <c r="L178" i="6"/>
  <c r="B178" i="6"/>
  <c r="C178" i="6" s="1"/>
  <c r="L177" i="6"/>
  <c r="B177" i="6"/>
  <c r="C177" i="6" s="1"/>
  <c r="L176" i="6"/>
  <c r="B176" i="6"/>
  <c r="C176" i="6" s="1"/>
  <c r="L175" i="6"/>
  <c r="B175" i="6"/>
  <c r="C175" i="6" s="1"/>
  <c r="L174" i="6"/>
  <c r="B174" i="6"/>
  <c r="C174" i="6" s="1"/>
  <c r="L173" i="6"/>
  <c r="B173" i="6"/>
  <c r="C173" i="6" s="1"/>
  <c r="L172" i="6"/>
  <c r="B172" i="6"/>
  <c r="C172" i="6" s="1"/>
  <c r="L171" i="6"/>
  <c r="B171" i="6"/>
  <c r="C171" i="6" s="1"/>
  <c r="L170" i="6"/>
  <c r="B170" i="6"/>
  <c r="C170" i="6" s="1"/>
  <c r="L169" i="6"/>
  <c r="B169" i="6"/>
  <c r="C169" i="6" s="1"/>
  <c r="L168" i="6"/>
  <c r="B168" i="6"/>
  <c r="C168" i="6" s="1"/>
  <c r="L167" i="6"/>
  <c r="B167" i="6"/>
  <c r="C167" i="6" s="1"/>
  <c r="L166" i="6"/>
  <c r="B166" i="6"/>
  <c r="C166" i="6" s="1"/>
  <c r="L165" i="6"/>
  <c r="B165" i="6"/>
  <c r="C165" i="6" s="1"/>
  <c r="L164" i="6"/>
  <c r="B164" i="6"/>
  <c r="C164" i="6" s="1"/>
  <c r="L163" i="6"/>
  <c r="B163" i="6"/>
  <c r="C163" i="6" s="1"/>
  <c r="L162" i="6"/>
  <c r="B162" i="6"/>
  <c r="C162" i="6" s="1"/>
  <c r="L161" i="6"/>
  <c r="B161" i="6"/>
  <c r="C161" i="6" s="1"/>
  <c r="L160" i="6"/>
  <c r="B160" i="6"/>
  <c r="C160" i="6" s="1"/>
  <c r="L159" i="6"/>
  <c r="B159" i="6"/>
  <c r="C159" i="6" s="1"/>
  <c r="L158" i="6"/>
  <c r="B158" i="6"/>
  <c r="C158" i="6" s="1"/>
  <c r="L157" i="6"/>
  <c r="B157" i="6"/>
  <c r="C157" i="6" s="1"/>
  <c r="L156" i="6"/>
  <c r="B156" i="6"/>
  <c r="C156" i="6" s="1"/>
  <c r="L155" i="6"/>
  <c r="B155" i="6"/>
  <c r="C155" i="6" s="1"/>
  <c r="L154" i="6"/>
  <c r="B154" i="6"/>
  <c r="C154" i="6" s="1"/>
  <c r="L153" i="6"/>
  <c r="B153" i="6"/>
  <c r="C153" i="6" s="1"/>
  <c r="L152" i="6"/>
  <c r="B152" i="6"/>
  <c r="C152" i="6" s="1"/>
  <c r="L151" i="6"/>
  <c r="B151" i="6"/>
  <c r="C151" i="6" s="1"/>
  <c r="L150" i="6"/>
  <c r="B150" i="6"/>
  <c r="C150" i="6" s="1"/>
  <c r="L149" i="6"/>
  <c r="B149" i="6"/>
  <c r="C149" i="6" s="1"/>
  <c r="L148" i="6"/>
  <c r="B148" i="6"/>
  <c r="C148" i="6" s="1"/>
  <c r="L147" i="6"/>
  <c r="B147" i="6"/>
  <c r="C147" i="6" s="1"/>
  <c r="L146" i="6"/>
  <c r="B146" i="6"/>
  <c r="C146" i="6" s="1"/>
  <c r="L145" i="6"/>
  <c r="B145" i="6"/>
  <c r="C145" i="6" s="1"/>
  <c r="L144" i="6"/>
  <c r="B144" i="6"/>
  <c r="C144" i="6" s="1"/>
  <c r="L143" i="6"/>
  <c r="B143" i="6"/>
  <c r="C143" i="6" s="1"/>
  <c r="L142" i="6"/>
  <c r="B142" i="6"/>
  <c r="C142" i="6" s="1"/>
  <c r="L141" i="6"/>
  <c r="B141" i="6"/>
  <c r="C141" i="6" s="1"/>
  <c r="L140" i="6"/>
  <c r="B140" i="6"/>
  <c r="C140" i="6" s="1"/>
  <c r="L139" i="6"/>
  <c r="B139" i="6"/>
  <c r="C139" i="6" s="1"/>
  <c r="L138" i="6"/>
  <c r="B138" i="6"/>
  <c r="C138" i="6" s="1"/>
  <c r="L137" i="6"/>
  <c r="B137" i="6"/>
  <c r="C137" i="6" s="1"/>
  <c r="L136" i="6"/>
  <c r="B136" i="6"/>
  <c r="C136" i="6" s="1"/>
  <c r="L135" i="6"/>
  <c r="B135" i="6"/>
  <c r="C135" i="6" s="1"/>
  <c r="L134" i="6"/>
  <c r="B134" i="6"/>
  <c r="C134" i="6" s="1"/>
  <c r="L133" i="6"/>
  <c r="B133" i="6"/>
  <c r="C133" i="6" s="1"/>
  <c r="L132" i="6"/>
  <c r="B132" i="6"/>
  <c r="C132" i="6" s="1"/>
  <c r="L131" i="6"/>
  <c r="B131" i="6"/>
  <c r="C131" i="6" s="1"/>
  <c r="L130" i="6"/>
  <c r="B130" i="6"/>
  <c r="C130" i="6" s="1"/>
  <c r="L129" i="6"/>
  <c r="B129" i="6"/>
  <c r="C129" i="6" s="1"/>
  <c r="L128" i="6"/>
  <c r="B128" i="6"/>
  <c r="C128" i="6" s="1"/>
  <c r="L127" i="6"/>
  <c r="B127" i="6"/>
  <c r="C127" i="6" s="1"/>
  <c r="L126" i="6"/>
  <c r="B126" i="6"/>
  <c r="C126" i="6" s="1"/>
  <c r="L125" i="6"/>
  <c r="B125" i="6"/>
  <c r="C125" i="6" s="1"/>
  <c r="L124" i="6"/>
  <c r="B124" i="6"/>
  <c r="C124" i="6" s="1"/>
  <c r="L123" i="6"/>
  <c r="B123" i="6"/>
  <c r="C123" i="6" s="1"/>
  <c r="L122" i="6"/>
  <c r="B122" i="6"/>
  <c r="C122" i="6" s="1"/>
  <c r="L121" i="6"/>
  <c r="B121" i="6"/>
  <c r="C121" i="6" s="1"/>
  <c r="L120" i="6"/>
  <c r="B120" i="6"/>
  <c r="C120" i="6" s="1"/>
  <c r="L119" i="6"/>
  <c r="B119" i="6"/>
  <c r="C119" i="6" s="1"/>
  <c r="L118" i="6"/>
  <c r="B118" i="6"/>
  <c r="C118" i="6" s="1"/>
  <c r="L117" i="6"/>
  <c r="B117" i="6"/>
  <c r="C117" i="6" s="1"/>
  <c r="L116" i="6"/>
  <c r="B116" i="6"/>
  <c r="C116" i="6" s="1"/>
  <c r="L115" i="6"/>
  <c r="B115" i="6"/>
  <c r="C115" i="6" s="1"/>
  <c r="L114" i="6"/>
  <c r="B114" i="6"/>
  <c r="C114" i="6" s="1"/>
  <c r="L113" i="6"/>
  <c r="B113" i="6"/>
  <c r="C113" i="6" s="1"/>
  <c r="L112" i="6"/>
  <c r="B112" i="6"/>
  <c r="C112" i="6" s="1"/>
  <c r="B111" i="6"/>
  <c r="C111" i="6" s="1"/>
  <c r="L110" i="6"/>
  <c r="B110" i="6"/>
  <c r="C110" i="6" s="1"/>
  <c r="L109" i="6"/>
  <c r="B109" i="6"/>
  <c r="C109" i="6" s="1"/>
  <c r="L108" i="6"/>
  <c r="B108" i="6"/>
  <c r="C108" i="6" s="1"/>
  <c r="L107" i="6"/>
  <c r="B107" i="6"/>
  <c r="C107" i="6" s="1"/>
  <c r="L106" i="6"/>
  <c r="B106" i="6"/>
  <c r="C106" i="6" s="1"/>
  <c r="L105" i="6"/>
  <c r="B105" i="6"/>
  <c r="C105" i="6" s="1"/>
  <c r="L104" i="6"/>
  <c r="B104" i="6"/>
  <c r="C104" i="6" s="1"/>
  <c r="L103" i="6"/>
  <c r="B103" i="6"/>
  <c r="C103" i="6" s="1"/>
  <c r="L102" i="6"/>
  <c r="B102" i="6"/>
  <c r="C102" i="6" s="1"/>
  <c r="L101" i="6"/>
  <c r="B101" i="6"/>
  <c r="C101" i="6" s="1"/>
  <c r="L100" i="6"/>
  <c r="B100" i="6"/>
  <c r="C100" i="6" s="1"/>
  <c r="L99" i="6"/>
  <c r="B99" i="6"/>
  <c r="C99" i="6" s="1"/>
  <c r="L98" i="6"/>
  <c r="B98" i="6"/>
  <c r="C98" i="6" s="1"/>
  <c r="L97" i="6"/>
  <c r="B97" i="6"/>
  <c r="C97" i="6" s="1"/>
  <c r="L96" i="6"/>
  <c r="B96" i="6"/>
  <c r="C96" i="6" s="1"/>
  <c r="L94" i="6"/>
  <c r="B94" i="6"/>
  <c r="C94" i="6" s="1"/>
  <c r="L93" i="6"/>
  <c r="B93" i="6"/>
  <c r="C93" i="6" s="1"/>
  <c r="L92" i="6"/>
  <c r="B92" i="6"/>
  <c r="C92" i="6" s="1"/>
  <c r="L91" i="6"/>
  <c r="B91" i="6"/>
  <c r="C91" i="6" s="1"/>
  <c r="L90" i="6"/>
  <c r="B90" i="6"/>
  <c r="C90" i="6" s="1"/>
  <c r="L89" i="6"/>
  <c r="B89" i="6"/>
  <c r="C89" i="6" s="1"/>
  <c r="L88" i="6"/>
  <c r="B88" i="6"/>
  <c r="C88" i="6" s="1"/>
  <c r="L87" i="6"/>
  <c r="B87" i="6"/>
  <c r="C87" i="6" s="1"/>
  <c r="L86" i="6"/>
  <c r="B86" i="6"/>
  <c r="C86" i="6" s="1"/>
  <c r="L85" i="6"/>
  <c r="B85" i="6"/>
  <c r="C85" i="6" s="1"/>
  <c r="L84" i="6"/>
  <c r="B84" i="6"/>
  <c r="C84" i="6" s="1"/>
  <c r="L83" i="6"/>
  <c r="B83" i="6"/>
  <c r="C83" i="6" s="1"/>
  <c r="L82" i="6"/>
  <c r="B82" i="6"/>
  <c r="C82" i="6" s="1"/>
  <c r="L81" i="6"/>
  <c r="B81" i="6"/>
  <c r="C81" i="6" s="1"/>
  <c r="L80" i="6"/>
  <c r="B80" i="6"/>
  <c r="C80" i="6" s="1"/>
  <c r="L79" i="6"/>
  <c r="B79" i="6"/>
  <c r="C79" i="6" s="1"/>
  <c r="L78" i="6"/>
  <c r="B78" i="6"/>
  <c r="C78" i="6" s="1"/>
  <c r="L77" i="6"/>
  <c r="B77" i="6"/>
  <c r="C77" i="6" s="1"/>
  <c r="L76" i="6"/>
  <c r="B76" i="6"/>
  <c r="C76" i="6" s="1"/>
  <c r="L75" i="6"/>
  <c r="B75" i="6"/>
  <c r="C75" i="6" s="1"/>
  <c r="L73" i="6"/>
  <c r="B73" i="6"/>
  <c r="C73" i="6" s="1"/>
  <c r="L72" i="6"/>
  <c r="B72" i="6"/>
  <c r="C72" i="6" s="1"/>
  <c r="L71" i="6"/>
  <c r="B71" i="6"/>
  <c r="C71" i="6" s="1"/>
  <c r="L70" i="6"/>
  <c r="B70" i="6"/>
  <c r="C70" i="6" s="1"/>
  <c r="L67" i="6"/>
  <c r="B67" i="6"/>
  <c r="C67" i="6" s="1"/>
  <c r="L65" i="6"/>
  <c r="B65" i="6"/>
  <c r="C65" i="6" s="1"/>
  <c r="L64" i="6"/>
  <c r="B64" i="6"/>
  <c r="C64" i="6" s="1"/>
  <c r="L63" i="6"/>
  <c r="B63" i="6"/>
  <c r="C63" i="6" s="1"/>
  <c r="L62" i="6"/>
  <c r="B62" i="6"/>
  <c r="C62" i="6" s="1"/>
  <c r="L61" i="6"/>
  <c r="B61" i="6"/>
  <c r="C61" i="6" s="1"/>
  <c r="L60" i="6"/>
  <c r="B60" i="6"/>
  <c r="C60" i="6" s="1"/>
  <c r="L59" i="6"/>
  <c r="B59" i="6"/>
  <c r="C59" i="6" s="1"/>
  <c r="L58" i="6"/>
  <c r="B58" i="6"/>
  <c r="C58" i="6" s="1"/>
  <c r="L57" i="6"/>
  <c r="B57" i="6"/>
  <c r="C57" i="6" s="1"/>
  <c r="B56" i="6"/>
  <c r="C56" i="6" s="1"/>
  <c r="L55" i="6"/>
  <c r="B55" i="6"/>
  <c r="C55" i="6" s="1"/>
  <c r="L53" i="6"/>
  <c r="B53" i="6"/>
  <c r="C53" i="6" s="1"/>
  <c r="L52" i="6"/>
  <c r="B52" i="6"/>
  <c r="C52" i="6" s="1"/>
  <c r="L51" i="6"/>
  <c r="B51" i="6"/>
  <c r="C51" i="6" s="1"/>
  <c r="L50" i="6"/>
  <c r="B50" i="6"/>
  <c r="C50" i="6" s="1"/>
  <c r="L44" i="6"/>
  <c r="B44" i="6"/>
  <c r="C44" i="6" s="1"/>
  <c r="L43" i="6"/>
  <c r="B43" i="6"/>
  <c r="C43" i="6" s="1"/>
  <c r="L42" i="6"/>
  <c r="B42" i="6"/>
  <c r="C42" i="6" s="1"/>
  <c r="L41" i="6"/>
  <c r="B41" i="6"/>
  <c r="C41" i="6" s="1"/>
  <c r="L40" i="6"/>
  <c r="B40" i="6"/>
  <c r="C40" i="6" s="1"/>
  <c r="L38" i="6"/>
  <c r="B38" i="6"/>
  <c r="C38" i="6" s="1"/>
  <c r="L37" i="6"/>
  <c r="B37" i="6"/>
  <c r="C37" i="6" s="1"/>
  <c r="L34" i="6"/>
  <c r="B34" i="6"/>
  <c r="C34" i="6" s="1"/>
  <c r="L33" i="6"/>
  <c r="B33" i="6"/>
  <c r="C33" i="6" s="1"/>
  <c r="L32" i="6"/>
  <c r="B32" i="6"/>
  <c r="C32" i="6" s="1"/>
  <c r="L31" i="6"/>
  <c r="B31" i="6"/>
  <c r="C31" i="6" s="1"/>
  <c r="L29" i="6"/>
  <c r="B29" i="6"/>
  <c r="C29" i="6" s="1"/>
  <c r="L28" i="6"/>
  <c r="B28" i="6"/>
  <c r="C28" i="6" s="1"/>
  <c r="L27" i="6"/>
  <c r="B27" i="6"/>
  <c r="C27" i="6" s="1"/>
  <c r="L26" i="6"/>
  <c r="B26" i="6"/>
  <c r="C26" i="6" s="1"/>
  <c r="L25" i="6"/>
  <c r="B25" i="6"/>
  <c r="C25" i="6" s="1"/>
  <c r="L22" i="6"/>
  <c r="B22" i="6"/>
  <c r="C22" i="6" s="1"/>
  <c r="L21" i="6"/>
  <c r="B21" i="6"/>
  <c r="C21" i="6" s="1"/>
  <c r="L20" i="6"/>
  <c r="B20" i="6"/>
  <c r="C20" i="6" s="1"/>
  <c r="L18" i="6"/>
  <c r="B18" i="6"/>
  <c r="C18" i="6" s="1"/>
  <c r="L17" i="6"/>
  <c r="B17" i="6"/>
  <c r="C17" i="6" s="1"/>
  <c r="L16" i="6"/>
  <c r="B16" i="6"/>
  <c r="C16" i="6" s="1"/>
  <c r="L14" i="6"/>
  <c r="B14" i="6"/>
  <c r="C14" i="6" s="1"/>
  <c r="L13" i="6"/>
  <c r="B13" i="6"/>
  <c r="C13" i="6" s="1"/>
  <c r="L12" i="6"/>
  <c r="B12" i="6"/>
  <c r="C12" i="6" s="1"/>
  <c r="L11" i="6"/>
  <c r="B11" i="6"/>
  <c r="C11" i="6" s="1"/>
  <c r="L10" i="6"/>
  <c r="B10" i="6"/>
  <c r="C10" i="6" s="1"/>
  <c r="L9" i="6"/>
  <c r="B9" i="6"/>
  <c r="D6" i="6"/>
  <c r="D5" i="6"/>
  <c r="D4" i="6"/>
  <c r="D3" i="6"/>
  <c r="L982" i="5"/>
  <c r="B982" i="5"/>
  <c r="C982" i="5" s="1"/>
  <c r="L981" i="5"/>
  <c r="B981" i="5"/>
  <c r="C981" i="5" s="1"/>
  <c r="L980" i="5"/>
  <c r="B980" i="5"/>
  <c r="C980" i="5" s="1"/>
  <c r="L979" i="5"/>
  <c r="B979" i="5"/>
  <c r="C979" i="5" s="1"/>
  <c r="L978" i="5"/>
  <c r="B978" i="5"/>
  <c r="C978" i="5" s="1"/>
  <c r="L977" i="5"/>
  <c r="B977" i="5"/>
  <c r="C977" i="5" s="1"/>
  <c r="L976" i="5"/>
  <c r="B976" i="5"/>
  <c r="C976" i="5" s="1"/>
  <c r="L975" i="5"/>
  <c r="B975" i="5"/>
  <c r="C975" i="5" s="1"/>
  <c r="L974" i="5"/>
  <c r="B974" i="5"/>
  <c r="C974" i="5" s="1"/>
  <c r="L973" i="5"/>
  <c r="B973" i="5"/>
  <c r="C973" i="5" s="1"/>
  <c r="L972" i="5"/>
  <c r="B972" i="5"/>
  <c r="C972" i="5" s="1"/>
  <c r="L971" i="5"/>
  <c r="B971" i="5"/>
  <c r="C971" i="5" s="1"/>
  <c r="L970" i="5"/>
  <c r="B970" i="5"/>
  <c r="C970" i="5" s="1"/>
  <c r="L969" i="5"/>
  <c r="B969" i="5"/>
  <c r="C969" i="5" s="1"/>
  <c r="L968" i="5"/>
  <c r="B968" i="5"/>
  <c r="C968" i="5" s="1"/>
  <c r="L967" i="5"/>
  <c r="B967" i="5"/>
  <c r="C967" i="5" s="1"/>
  <c r="L966" i="5"/>
  <c r="B966" i="5"/>
  <c r="C966" i="5" s="1"/>
  <c r="L965" i="5"/>
  <c r="B965" i="5"/>
  <c r="C965" i="5" s="1"/>
  <c r="L964" i="5"/>
  <c r="B964" i="5"/>
  <c r="C964" i="5" s="1"/>
  <c r="L963" i="5"/>
  <c r="B963" i="5"/>
  <c r="C963" i="5" s="1"/>
  <c r="L962" i="5"/>
  <c r="B962" i="5"/>
  <c r="C962" i="5" s="1"/>
  <c r="L961" i="5"/>
  <c r="B961" i="5"/>
  <c r="C961" i="5" s="1"/>
  <c r="L960" i="5"/>
  <c r="B960" i="5"/>
  <c r="C960" i="5" s="1"/>
  <c r="L959" i="5"/>
  <c r="B959" i="5"/>
  <c r="C959" i="5" s="1"/>
  <c r="L958" i="5"/>
  <c r="B958" i="5"/>
  <c r="C958" i="5" s="1"/>
  <c r="L957" i="5"/>
  <c r="B957" i="5"/>
  <c r="C957" i="5" s="1"/>
  <c r="L956" i="5"/>
  <c r="B956" i="5"/>
  <c r="C956" i="5" s="1"/>
  <c r="L955" i="5"/>
  <c r="B955" i="5"/>
  <c r="C955" i="5" s="1"/>
  <c r="L954" i="5"/>
  <c r="B954" i="5"/>
  <c r="C954" i="5" s="1"/>
  <c r="L953" i="5"/>
  <c r="B953" i="5"/>
  <c r="C953" i="5" s="1"/>
  <c r="L952" i="5"/>
  <c r="B952" i="5"/>
  <c r="C952" i="5" s="1"/>
  <c r="L951" i="5"/>
  <c r="B951" i="5"/>
  <c r="C951" i="5" s="1"/>
  <c r="L950" i="5"/>
  <c r="B950" i="5"/>
  <c r="C950" i="5" s="1"/>
  <c r="L949" i="5"/>
  <c r="B949" i="5"/>
  <c r="C949" i="5" s="1"/>
  <c r="L948" i="5"/>
  <c r="B948" i="5"/>
  <c r="C948" i="5" s="1"/>
  <c r="L947" i="5"/>
  <c r="B947" i="5"/>
  <c r="C947" i="5" s="1"/>
  <c r="L946" i="5"/>
  <c r="B946" i="5"/>
  <c r="C946" i="5" s="1"/>
  <c r="L945" i="5"/>
  <c r="B945" i="5"/>
  <c r="C945" i="5" s="1"/>
  <c r="L944" i="5"/>
  <c r="B944" i="5"/>
  <c r="C944" i="5" s="1"/>
  <c r="L943" i="5"/>
  <c r="B943" i="5"/>
  <c r="C943" i="5" s="1"/>
  <c r="L942" i="5"/>
  <c r="B942" i="5"/>
  <c r="C942" i="5" s="1"/>
  <c r="L941" i="5"/>
  <c r="B941" i="5"/>
  <c r="C941" i="5" s="1"/>
  <c r="L940" i="5"/>
  <c r="B940" i="5"/>
  <c r="C940" i="5" s="1"/>
  <c r="L939" i="5"/>
  <c r="B939" i="5"/>
  <c r="C939" i="5" s="1"/>
  <c r="L938" i="5"/>
  <c r="B938" i="5"/>
  <c r="C938" i="5" s="1"/>
  <c r="L937" i="5"/>
  <c r="B937" i="5"/>
  <c r="C937" i="5" s="1"/>
  <c r="L936" i="5"/>
  <c r="B936" i="5"/>
  <c r="C936" i="5" s="1"/>
  <c r="L935" i="5"/>
  <c r="B935" i="5"/>
  <c r="C935" i="5" s="1"/>
  <c r="L934" i="5"/>
  <c r="B934" i="5"/>
  <c r="C934" i="5" s="1"/>
  <c r="L933" i="5"/>
  <c r="B933" i="5"/>
  <c r="C933" i="5" s="1"/>
  <c r="L932" i="5"/>
  <c r="B932" i="5"/>
  <c r="C932" i="5" s="1"/>
  <c r="L931" i="5"/>
  <c r="B931" i="5"/>
  <c r="C931" i="5" s="1"/>
  <c r="L930" i="5"/>
  <c r="B930" i="5"/>
  <c r="C930" i="5" s="1"/>
  <c r="L929" i="5"/>
  <c r="B929" i="5"/>
  <c r="C929" i="5" s="1"/>
  <c r="L928" i="5"/>
  <c r="B928" i="5"/>
  <c r="C928" i="5" s="1"/>
  <c r="L927" i="5"/>
  <c r="B927" i="5"/>
  <c r="C927" i="5" s="1"/>
  <c r="L926" i="5"/>
  <c r="B926" i="5"/>
  <c r="C926" i="5" s="1"/>
  <c r="L925" i="5"/>
  <c r="B925" i="5"/>
  <c r="C925" i="5" s="1"/>
  <c r="L924" i="5"/>
  <c r="B924" i="5"/>
  <c r="C924" i="5" s="1"/>
  <c r="L923" i="5"/>
  <c r="B923" i="5"/>
  <c r="C923" i="5" s="1"/>
  <c r="L922" i="5"/>
  <c r="B922" i="5"/>
  <c r="C922" i="5" s="1"/>
  <c r="L921" i="5"/>
  <c r="B921" i="5"/>
  <c r="C921" i="5" s="1"/>
  <c r="L920" i="5"/>
  <c r="B920" i="5"/>
  <c r="C920" i="5" s="1"/>
  <c r="L919" i="5"/>
  <c r="B919" i="5"/>
  <c r="C919" i="5" s="1"/>
  <c r="L918" i="5"/>
  <c r="B918" i="5"/>
  <c r="C918" i="5" s="1"/>
  <c r="L917" i="5"/>
  <c r="B917" i="5"/>
  <c r="C917" i="5" s="1"/>
  <c r="L916" i="5"/>
  <c r="B916" i="5"/>
  <c r="C916" i="5" s="1"/>
  <c r="L915" i="5"/>
  <c r="B915" i="5"/>
  <c r="C915" i="5" s="1"/>
  <c r="L914" i="5"/>
  <c r="B914" i="5"/>
  <c r="C914" i="5" s="1"/>
  <c r="L913" i="5"/>
  <c r="B913" i="5"/>
  <c r="C913" i="5" s="1"/>
  <c r="L912" i="5"/>
  <c r="B912" i="5"/>
  <c r="C912" i="5" s="1"/>
  <c r="L911" i="5"/>
  <c r="B911" i="5"/>
  <c r="C911" i="5" s="1"/>
  <c r="L910" i="5"/>
  <c r="B910" i="5"/>
  <c r="C910" i="5" s="1"/>
  <c r="L909" i="5"/>
  <c r="B909" i="5"/>
  <c r="C909" i="5" s="1"/>
  <c r="L908" i="5"/>
  <c r="B908" i="5"/>
  <c r="C908" i="5" s="1"/>
  <c r="L907" i="5"/>
  <c r="B907" i="5"/>
  <c r="C907" i="5" s="1"/>
  <c r="L906" i="5"/>
  <c r="B906" i="5"/>
  <c r="C906" i="5" s="1"/>
  <c r="L905" i="5"/>
  <c r="B905" i="5"/>
  <c r="C905" i="5" s="1"/>
  <c r="L904" i="5"/>
  <c r="B904" i="5"/>
  <c r="C904" i="5" s="1"/>
  <c r="L903" i="5"/>
  <c r="B903" i="5"/>
  <c r="C903" i="5" s="1"/>
  <c r="L902" i="5"/>
  <c r="B902" i="5"/>
  <c r="C902" i="5" s="1"/>
  <c r="L901" i="5"/>
  <c r="B901" i="5"/>
  <c r="C901" i="5" s="1"/>
  <c r="L900" i="5"/>
  <c r="B900" i="5"/>
  <c r="C900" i="5" s="1"/>
  <c r="L899" i="5"/>
  <c r="B899" i="5"/>
  <c r="C899" i="5" s="1"/>
  <c r="L898" i="5"/>
  <c r="B898" i="5"/>
  <c r="C898" i="5" s="1"/>
  <c r="L897" i="5"/>
  <c r="B897" i="5"/>
  <c r="C897" i="5" s="1"/>
  <c r="L896" i="5"/>
  <c r="B896" i="5"/>
  <c r="C896" i="5" s="1"/>
  <c r="L895" i="5"/>
  <c r="B895" i="5"/>
  <c r="C895" i="5" s="1"/>
  <c r="L894" i="5"/>
  <c r="B894" i="5"/>
  <c r="C894" i="5" s="1"/>
  <c r="L893" i="5"/>
  <c r="B893" i="5"/>
  <c r="C893" i="5" s="1"/>
  <c r="L892" i="5"/>
  <c r="B892" i="5"/>
  <c r="C892" i="5" s="1"/>
  <c r="L891" i="5"/>
  <c r="B891" i="5"/>
  <c r="C891" i="5" s="1"/>
  <c r="L890" i="5"/>
  <c r="B890" i="5"/>
  <c r="C890" i="5" s="1"/>
  <c r="L889" i="5"/>
  <c r="B889" i="5"/>
  <c r="C889" i="5" s="1"/>
  <c r="L888" i="5"/>
  <c r="B888" i="5"/>
  <c r="C888" i="5" s="1"/>
  <c r="L887" i="5"/>
  <c r="B887" i="5"/>
  <c r="C887" i="5" s="1"/>
  <c r="L886" i="5"/>
  <c r="B886" i="5"/>
  <c r="C886" i="5" s="1"/>
  <c r="L885" i="5"/>
  <c r="B885" i="5"/>
  <c r="C885" i="5" s="1"/>
  <c r="L884" i="5"/>
  <c r="B884" i="5"/>
  <c r="C884" i="5" s="1"/>
  <c r="L883" i="5"/>
  <c r="B883" i="5"/>
  <c r="C883" i="5" s="1"/>
  <c r="L882" i="5"/>
  <c r="B882" i="5"/>
  <c r="C882" i="5" s="1"/>
  <c r="L881" i="5"/>
  <c r="B881" i="5"/>
  <c r="C881" i="5" s="1"/>
  <c r="L880" i="5"/>
  <c r="B880" i="5"/>
  <c r="C880" i="5" s="1"/>
  <c r="L879" i="5"/>
  <c r="B879" i="5"/>
  <c r="C879" i="5" s="1"/>
  <c r="L878" i="5"/>
  <c r="B878" i="5"/>
  <c r="C878" i="5" s="1"/>
  <c r="L877" i="5"/>
  <c r="B877" i="5"/>
  <c r="C877" i="5" s="1"/>
  <c r="L876" i="5"/>
  <c r="B876" i="5"/>
  <c r="C876" i="5" s="1"/>
  <c r="L875" i="5"/>
  <c r="B875" i="5"/>
  <c r="C875" i="5" s="1"/>
  <c r="L874" i="5"/>
  <c r="B874" i="5"/>
  <c r="C874" i="5" s="1"/>
  <c r="L873" i="5"/>
  <c r="B873" i="5"/>
  <c r="C873" i="5" s="1"/>
  <c r="L872" i="5"/>
  <c r="B872" i="5"/>
  <c r="C872" i="5" s="1"/>
  <c r="L871" i="5"/>
  <c r="B871" i="5"/>
  <c r="C871" i="5" s="1"/>
  <c r="L870" i="5"/>
  <c r="B870" i="5"/>
  <c r="C870" i="5" s="1"/>
  <c r="L869" i="5"/>
  <c r="B869" i="5"/>
  <c r="C869" i="5" s="1"/>
  <c r="L868" i="5"/>
  <c r="B868" i="5"/>
  <c r="C868" i="5" s="1"/>
  <c r="L867" i="5"/>
  <c r="B867" i="5"/>
  <c r="C867" i="5" s="1"/>
  <c r="L866" i="5"/>
  <c r="B866" i="5"/>
  <c r="C866" i="5" s="1"/>
  <c r="L865" i="5"/>
  <c r="B865" i="5"/>
  <c r="C865" i="5" s="1"/>
  <c r="L864" i="5"/>
  <c r="B864" i="5"/>
  <c r="C864" i="5" s="1"/>
  <c r="L863" i="5"/>
  <c r="B863" i="5"/>
  <c r="C863" i="5" s="1"/>
  <c r="L862" i="5"/>
  <c r="B862" i="5"/>
  <c r="C862" i="5" s="1"/>
  <c r="L861" i="5"/>
  <c r="B861" i="5"/>
  <c r="C861" i="5" s="1"/>
  <c r="L860" i="5"/>
  <c r="B860" i="5"/>
  <c r="C860" i="5" s="1"/>
  <c r="L859" i="5"/>
  <c r="B859" i="5"/>
  <c r="C859" i="5" s="1"/>
  <c r="L858" i="5"/>
  <c r="B858" i="5"/>
  <c r="C858" i="5" s="1"/>
  <c r="L857" i="5"/>
  <c r="B857" i="5"/>
  <c r="C857" i="5" s="1"/>
  <c r="L856" i="5"/>
  <c r="B856" i="5"/>
  <c r="C856" i="5" s="1"/>
  <c r="L855" i="5"/>
  <c r="B855" i="5"/>
  <c r="C855" i="5" s="1"/>
  <c r="L854" i="5"/>
  <c r="B854" i="5"/>
  <c r="C854" i="5" s="1"/>
  <c r="L853" i="5"/>
  <c r="B853" i="5"/>
  <c r="C853" i="5" s="1"/>
  <c r="L852" i="5"/>
  <c r="B852" i="5"/>
  <c r="C852" i="5" s="1"/>
  <c r="L851" i="5"/>
  <c r="B851" i="5"/>
  <c r="C851" i="5" s="1"/>
  <c r="L850" i="5"/>
  <c r="B850" i="5"/>
  <c r="C850" i="5" s="1"/>
  <c r="L849" i="5"/>
  <c r="B849" i="5"/>
  <c r="C849" i="5" s="1"/>
  <c r="L848" i="5"/>
  <c r="B848" i="5"/>
  <c r="C848" i="5" s="1"/>
  <c r="L847" i="5"/>
  <c r="B847" i="5"/>
  <c r="C847" i="5" s="1"/>
  <c r="L846" i="5"/>
  <c r="B846" i="5"/>
  <c r="C846" i="5" s="1"/>
  <c r="L845" i="5"/>
  <c r="B845" i="5"/>
  <c r="C845" i="5" s="1"/>
  <c r="L844" i="5"/>
  <c r="B844" i="5"/>
  <c r="C844" i="5" s="1"/>
  <c r="L843" i="5"/>
  <c r="B843" i="5"/>
  <c r="C843" i="5" s="1"/>
  <c r="L842" i="5"/>
  <c r="B842" i="5"/>
  <c r="C842" i="5" s="1"/>
  <c r="L841" i="5"/>
  <c r="B841" i="5"/>
  <c r="C841" i="5" s="1"/>
  <c r="L840" i="5"/>
  <c r="B840" i="5"/>
  <c r="C840" i="5" s="1"/>
  <c r="L839" i="5"/>
  <c r="B839" i="5"/>
  <c r="C839" i="5" s="1"/>
  <c r="L838" i="5"/>
  <c r="B838" i="5"/>
  <c r="C838" i="5" s="1"/>
  <c r="L837" i="5"/>
  <c r="B837" i="5"/>
  <c r="C837" i="5" s="1"/>
  <c r="L836" i="5"/>
  <c r="B836" i="5"/>
  <c r="C836" i="5" s="1"/>
  <c r="L835" i="5"/>
  <c r="B835" i="5"/>
  <c r="C835" i="5" s="1"/>
  <c r="L834" i="5"/>
  <c r="B834" i="5"/>
  <c r="C834" i="5" s="1"/>
  <c r="L833" i="5"/>
  <c r="B833" i="5"/>
  <c r="C833" i="5" s="1"/>
  <c r="L832" i="5"/>
  <c r="B832" i="5"/>
  <c r="C832" i="5" s="1"/>
  <c r="L831" i="5"/>
  <c r="B831" i="5"/>
  <c r="C831" i="5" s="1"/>
  <c r="L830" i="5"/>
  <c r="B830" i="5"/>
  <c r="C830" i="5" s="1"/>
  <c r="L829" i="5"/>
  <c r="B829" i="5"/>
  <c r="C829" i="5" s="1"/>
  <c r="L828" i="5"/>
  <c r="B828" i="5"/>
  <c r="C828" i="5" s="1"/>
  <c r="L827" i="5"/>
  <c r="B827" i="5"/>
  <c r="C827" i="5" s="1"/>
  <c r="L826" i="5"/>
  <c r="B826" i="5"/>
  <c r="C826" i="5" s="1"/>
  <c r="L825" i="5"/>
  <c r="B825" i="5"/>
  <c r="C825" i="5" s="1"/>
  <c r="L824" i="5"/>
  <c r="B824" i="5"/>
  <c r="C824" i="5" s="1"/>
  <c r="L823" i="5"/>
  <c r="B823" i="5"/>
  <c r="C823" i="5" s="1"/>
  <c r="L822" i="5"/>
  <c r="B822" i="5"/>
  <c r="C822" i="5" s="1"/>
  <c r="L821" i="5"/>
  <c r="B821" i="5"/>
  <c r="C821" i="5" s="1"/>
  <c r="L820" i="5"/>
  <c r="B820" i="5"/>
  <c r="C820" i="5" s="1"/>
  <c r="L819" i="5"/>
  <c r="B819" i="5"/>
  <c r="C819" i="5" s="1"/>
  <c r="L818" i="5"/>
  <c r="B818" i="5"/>
  <c r="C818" i="5" s="1"/>
  <c r="L817" i="5"/>
  <c r="B817" i="5"/>
  <c r="C817" i="5" s="1"/>
  <c r="L816" i="5"/>
  <c r="B816" i="5"/>
  <c r="C816" i="5" s="1"/>
  <c r="L815" i="5"/>
  <c r="B815" i="5"/>
  <c r="C815" i="5" s="1"/>
  <c r="L814" i="5"/>
  <c r="B814" i="5"/>
  <c r="C814" i="5" s="1"/>
  <c r="L813" i="5"/>
  <c r="B813" i="5"/>
  <c r="C813" i="5" s="1"/>
  <c r="L812" i="5"/>
  <c r="B812" i="5"/>
  <c r="C812" i="5" s="1"/>
  <c r="L811" i="5"/>
  <c r="B811" i="5"/>
  <c r="C811" i="5" s="1"/>
  <c r="L810" i="5"/>
  <c r="B810" i="5"/>
  <c r="C810" i="5" s="1"/>
  <c r="L809" i="5"/>
  <c r="B809" i="5"/>
  <c r="C809" i="5" s="1"/>
  <c r="L808" i="5"/>
  <c r="B808" i="5"/>
  <c r="C808" i="5" s="1"/>
  <c r="L807" i="5"/>
  <c r="B807" i="5"/>
  <c r="C807" i="5" s="1"/>
  <c r="L806" i="5"/>
  <c r="B806" i="5"/>
  <c r="C806" i="5" s="1"/>
  <c r="L805" i="5"/>
  <c r="B805" i="5"/>
  <c r="C805" i="5" s="1"/>
  <c r="L804" i="5"/>
  <c r="B804" i="5"/>
  <c r="C804" i="5" s="1"/>
  <c r="L803" i="5"/>
  <c r="B803" i="5"/>
  <c r="C803" i="5" s="1"/>
  <c r="L802" i="5"/>
  <c r="B802" i="5"/>
  <c r="C802" i="5" s="1"/>
  <c r="L801" i="5"/>
  <c r="B801" i="5"/>
  <c r="C801" i="5" s="1"/>
  <c r="L800" i="5"/>
  <c r="B800" i="5"/>
  <c r="C800" i="5" s="1"/>
  <c r="L799" i="5"/>
  <c r="B799" i="5"/>
  <c r="C799" i="5" s="1"/>
  <c r="L798" i="5"/>
  <c r="B798" i="5"/>
  <c r="C798" i="5" s="1"/>
  <c r="L797" i="5"/>
  <c r="B797" i="5"/>
  <c r="C797" i="5" s="1"/>
  <c r="L796" i="5"/>
  <c r="B796" i="5"/>
  <c r="C796" i="5" s="1"/>
  <c r="L795" i="5"/>
  <c r="B795" i="5"/>
  <c r="C795" i="5" s="1"/>
  <c r="L794" i="5"/>
  <c r="B794" i="5"/>
  <c r="C794" i="5" s="1"/>
  <c r="L793" i="5"/>
  <c r="B793" i="5"/>
  <c r="C793" i="5" s="1"/>
  <c r="L792" i="5"/>
  <c r="B792" i="5"/>
  <c r="C792" i="5" s="1"/>
  <c r="L791" i="5"/>
  <c r="B791" i="5"/>
  <c r="C791" i="5" s="1"/>
  <c r="L790" i="5"/>
  <c r="B790" i="5"/>
  <c r="C790" i="5" s="1"/>
  <c r="L789" i="5"/>
  <c r="B789" i="5"/>
  <c r="C789" i="5" s="1"/>
  <c r="L788" i="5"/>
  <c r="B788" i="5"/>
  <c r="C788" i="5" s="1"/>
  <c r="L787" i="5"/>
  <c r="B787" i="5"/>
  <c r="C787" i="5" s="1"/>
  <c r="L786" i="5"/>
  <c r="B786" i="5"/>
  <c r="C786" i="5" s="1"/>
  <c r="L785" i="5"/>
  <c r="B785" i="5"/>
  <c r="C785" i="5" s="1"/>
  <c r="L784" i="5"/>
  <c r="B784" i="5"/>
  <c r="C784" i="5" s="1"/>
  <c r="L783" i="5"/>
  <c r="B783" i="5"/>
  <c r="C783" i="5" s="1"/>
  <c r="L782" i="5"/>
  <c r="B782" i="5"/>
  <c r="C782" i="5" s="1"/>
  <c r="L781" i="5"/>
  <c r="B781" i="5"/>
  <c r="C781" i="5" s="1"/>
  <c r="L780" i="5"/>
  <c r="B780" i="5"/>
  <c r="C780" i="5" s="1"/>
  <c r="L779" i="5"/>
  <c r="B779" i="5"/>
  <c r="C779" i="5" s="1"/>
  <c r="L778" i="5"/>
  <c r="B778" i="5"/>
  <c r="C778" i="5" s="1"/>
  <c r="L777" i="5"/>
  <c r="B777" i="5"/>
  <c r="C777" i="5" s="1"/>
  <c r="L776" i="5"/>
  <c r="B776" i="5"/>
  <c r="C776" i="5" s="1"/>
  <c r="L775" i="5"/>
  <c r="B775" i="5"/>
  <c r="C775" i="5" s="1"/>
  <c r="L774" i="5"/>
  <c r="B774" i="5"/>
  <c r="C774" i="5" s="1"/>
  <c r="L773" i="5"/>
  <c r="B773" i="5"/>
  <c r="C773" i="5" s="1"/>
  <c r="L772" i="5"/>
  <c r="B772" i="5"/>
  <c r="C772" i="5" s="1"/>
  <c r="L771" i="5"/>
  <c r="B771" i="5"/>
  <c r="C771" i="5" s="1"/>
  <c r="L770" i="5"/>
  <c r="B770" i="5"/>
  <c r="C770" i="5" s="1"/>
  <c r="L769" i="5"/>
  <c r="B769" i="5"/>
  <c r="C769" i="5" s="1"/>
  <c r="L768" i="5"/>
  <c r="B768" i="5"/>
  <c r="C768" i="5" s="1"/>
  <c r="L767" i="5"/>
  <c r="B767" i="5"/>
  <c r="C767" i="5" s="1"/>
  <c r="L766" i="5"/>
  <c r="B766" i="5"/>
  <c r="C766" i="5" s="1"/>
  <c r="L765" i="5"/>
  <c r="B765" i="5"/>
  <c r="C765" i="5" s="1"/>
  <c r="L764" i="5"/>
  <c r="B764" i="5"/>
  <c r="C764" i="5" s="1"/>
  <c r="L763" i="5"/>
  <c r="B763" i="5"/>
  <c r="C763" i="5" s="1"/>
  <c r="L762" i="5"/>
  <c r="B762" i="5"/>
  <c r="C762" i="5" s="1"/>
  <c r="L761" i="5"/>
  <c r="B761" i="5"/>
  <c r="C761" i="5" s="1"/>
  <c r="L760" i="5"/>
  <c r="B760" i="5"/>
  <c r="C760" i="5" s="1"/>
  <c r="L759" i="5"/>
  <c r="B759" i="5"/>
  <c r="C759" i="5" s="1"/>
  <c r="L758" i="5"/>
  <c r="B758" i="5"/>
  <c r="C758" i="5" s="1"/>
  <c r="L757" i="5"/>
  <c r="B757" i="5"/>
  <c r="C757" i="5" s="1"/>
  <c r="L756" i="5"/>
  <c r="B756" i="5"/>
  <c r="C756" i="5" s="1"/>
  <c r="L755" i="5"/>
  <c r="B755" i="5"/>
  <c r="C755" i="5" s="1"/>
  <c r="L754" i="5"/>
  <c r="B754" i="5"/>
  <c r="C754" i="5" s="1"/>
  <c r="L753" i="5"/>
  <c r="B753" i="5"/>
  <c r="C753" i="5" s="1"/>
  <c r="L752" i="5"/>
  <c r="B752" i="5"/>
  <c r="C752" i="5" s="1"/>
  <c r="L751" i="5"/>
  <c r="B751" i="5"/>
  <c r="C751" i="5" s="1"/>
  <c r="L750" i="5"/>
  <c r="B750" i="5"/>
  <c r="C750" i="5" s="1"/>
  <c r="L749" i="5"/>
  <c r="B749" i="5"/>
  <c r="C749" i="5" s="1"/>
  <c r="L748" i="5"/>
  <c r="B748" i="5"/>
  <c r="C748" i="5" s="1"/>
  <c r="L747" i="5"/>
  <c r="B747" i="5"/>
  <c r="C747" i="5" s="1"/>
  <c r="L746" i="5"/>
  <c r="B746" i="5"/>
  <c r="C746" i="5" s="1"/>
  <c r="L745" i="5"/>
  <c r="B745" i="5"/>
  <c r="C745" i="5" s="1"/>
  <c r="L744" i="5"/>
  <c r="B744" i="5"/>
  <c r="C744" i="5" s="1"/>
  <c r="L743" i="5"/>
  <c r="B743" i="5"/>
  <c r="C743" i="5" s="1"/>
  <c r="L742" i="5"/>
  <c r="B742" i="5"/>
  <c r="C742" i="5" s="1"/>
  <c r="L741" i="5"/>
  <c r="B741" i="5"/>
  <c r="C741" i="5" s="1"/>
  <c r="L740" i="5"/>
  <c r="B740" i="5"/>
  <c r="C740" i="5" s="1"/>
  <c r="L739" i="5"/>
  <c r="B739" i="5"/>
  <c r="C739" i="5" s="1"/>
  <c r="L738" i="5"/>
  <c r="B738" i="5"/>
  <c r="C738" i="5" s="1"/>
  <c r="L737" i="5"/>
  <c r="B737" i="5"/>
  <c r="C737" i="5" s="1"/>
  <c r="L736" i="5"/>
  <c r="B736" i="5"/>
  <c r="C736" i="5" s="1"/>
  <c r="L735" i="5"/>
  <c r="B735" i="5"/>
  <c r="C735" i="5" s="1"/>
  <c r="L734" i="5"/>
  <c r="B734" i="5"/>
  <c r="C734" i="5" s="1"/>
  <c r="L733" i="5"/>
  <c r="B733" i="5"/>
  <c r="C733" i="5" s="1"/>
  <c r="L732" i="5"/>
  <c r="B732" i="5"/>
  <c r="C732" i="5" s="1"/>
  <c r="L731" i="5"/>
  <c r="B731" i="5"/>
  <c r="C731" i="5" s="1"/>
  <c r="L730" i="5"/>
  <c r="B730" i="5"/>
  <c r="C730" i="5" s="1"/>
  <c r="L729" i="5"/>
  <c r="B729" i="5"/>
  <c r="C729" i="5" s="1"/>
  <c r="L728" i="5"/>
  <c r="B728" i="5"/>
  <c r="C728" i="5" s="1"/>
  <c r="L727" i="5"/>
  <c r="B727" i="5"/>
  <c r="C727" i="5" s="1"/>
  <c r="L726" i="5"/>
  <c r="B726" i="5"/>
  <c r="C726" i="5" s="1"/>
  <c r="L725" i="5"/>
  <c r="B725" i="5"/>
  <c r="C725" i="5" s="1"/>
  <c r="L724" i="5"/>
  <c r="B724" i="5"/>
  <c r="C724" i="5" s="1"/>
  <c r="L723" i="5"/>
  <c r="B723" i="5"/>
  <c r="C723" i="5" s="1"/>
  <c r="L722" i="5"/>
  <c r="B722" i="5"/>
  <c r="C722" i="5" s="1"/>
  <c r="L721" i="5"/>
  <c r="B721" i="5"/>
  <c r="C721" i="5" s="1"/>
  <c r="L720" i="5"/>
  <c r="B720" i="5"/>
  <c r="C720" i="5" s="1"/>
  <c r="L719" i="5"/>
  <c r="B719" i="5"/>
  <c r="C719" i="5" s="1"/>
  <c r="L718" i="5"/>
  <c r="B718" i="5"/>
  <c r="C718" i="5" s="1"/>
  <c r="L717" i="5"/>
  <c r="B717" i="5"/>
  <c r="C717" i="5" s="1"/>
  <c r="L716" i="5"/>
  <c r="B716" i="5"/>
  <c r="C716" i="5" s="1"/>
  <c r="L715" i="5"/>
  <c r="B715" i="5"/>
  <c r="C715" i="5" s="1"/>
  <c r="L714" i="5"/>
  <c r="B714" i="5"/>
  <c r="C714" i="5" s="1"/>
  <c r="L713" i="5"/>
  <c r="B713" i="5"/>
  <c r="C713" i="5" s="1"/>
  <c r="L712" i="5"/>
  <c r="B712" i="5"/>
  <c r="C712" i="5" s="1"/>
  <c r="L711" i="5"/>
  <c r="B711" i="5"/>
  <c r="C711" i="5" s="1"/>
  <c r="L710" i="5"/>
  <c r="B710" i="5"/>
  <c r="C710" i="5" s="1"/>
  <c r="L709" i="5"/>
  <c r="B709" i="5"/>
  <c r="C709" i="5" s="1"/>
  <c r="L708" i="5"/>
  <c r="B708" i="5"/>
  <c r="C708" i="5" s="1"/>
  <c r="L707" i="5"/>
  <c r="B707" i="5"/>
  <c r="C707" i="5" s="1"/>
  <c r="L706" i="5"/>
  <c r="B706" i="5"/>
  <c r="C706" i="5" s="1"/>
  <c r="L705" i="5"/>
  <c r="B705" i="5"/>
  <c r="C705" i="5" s="1"/>
  <c r="L704" i="5"/>
  <c r="B704" i="5"/>
  <c r="C704" i="5" s="1"/>
  <c r="L703" i="5"/>
  <c r="B703" i="5"/>
  <c r="C703" i="5" s="1"/>
  <c r="L702" i="5"/>
  <c r="B702" i="5"/>
  <c r="C702" i="5" s="1"/>
  <c r="L701" i="5"/>
  <c r="B701" i="5"/>
  <c r="C701" i="5" s="1"/>
  <c r="L700" i="5"/>
  <c r="B700" i="5"/>
  <c r="C700" i="5" s="1"/>
  <c r="L699" i="5"/>
  <c r="B699" i="5"/>
  <c r="C699" i="5" s="1"/>
  <c r="L698" i="5"/>
  <c r="B698" i="5"/>
  <c r="C698" i="5" s="1"/>
  <c r="L697" i="5"/>
  <c r="B697" i="5"/>
  <c r="C697" i="5" s="1"/>
  <c r="L696" i="5"/>
  <c r="B696" i="5"/>
  <c r="C696" i="5" s="1"/>
  <c r="L695" i="5"/>
  <c r="B695" i="5"/>
  <c r="C695" i="5" s="1"/>
  <c r="L694" i="5"/>
  <c r="B694" i="5"/>
  <c r="C694" i="5" s="1"/>
  <c r="L693" i="5"/>
  <c r="B693" i="5"/>
  <c r="C693" i="5" s="1"/>
  <c r="L692" i="5"/>
  <c r="B692" i="5"/>
  <c r="C692" i="5" s="1"/>
  <c r="L691" i="5"/>
  <c r="B691" i="5"/>
  <c r="C691" i="5" s="1"/>
  <c r="L690" i="5"/>
  <c r="B690" i="5"/>
  <c r="C690" i="5" s="1"/>
  <c r="L689" i="5"/>
  <c r="B689" i="5"/>
  <c r="C689" i="5" s="1"/>
  <c r="L688" i="5"/>
  <c r="B688" i="5"/>
  <c r="C688" i="5" s="1"/>
  <c r="L687" i="5"/>
  <c r="B687" i="5"/>
  <c r="C687" i="5" s="1"/>
  <c r="L686" i="5"/>
  <c r="B686" i="5"/>
  <c r="C686" i="5" s="1"/>
  <c r="L685" i="5"/>
  <c r="B685" i="5"/>
  <c r="C685" i="5" s="1"/>
  <c r="L684" i="5"/>
  <c r="B684" i="5"/>
  <c r="C684" i="5" s="1"/>
  <c r="L683" i="5"/>
  <c r="B683" i="5"/>
  <c r="C683" i="5" s="1"/>
  <c r="L682" i="5"/>
  <c r="B682" i="5"/>
  <c r="C682" i="5" s="1"/>
  <c r="L681" i="5"/>
  <c r="B681" i="5"/>
  <c r="C681" i="5" s="1"/>
  <c r="L680" i="5"/>
  <c r="B680" i="5"/>
  <c r="C680" i="5" s="1"/>
  <c r="L679" i="5"/>
  <c r="B679" i="5"/>
  <c r="C679" i="5" s="1"/>
  <c r="L678" i="5"/>
  <c r="B678" i="5"/>
  <c r="C678" i="5" s="1"/>
  <c r="L677" i="5"/>
  <c r="B677" i="5"/>
  <c r="C677" i="5" s="1"/>
  <c r="L676" i="5"/>
  <c r="B676" i="5"/>
  <c r="C676" i="5" s="1"/>
  <c r="L675" i="5"/>
  <c r="B675" i="5"/>
  <c r="C675" i="5" s="1"/>
  <c r="L674" i="5"/>
  <c r="B674" i="5"/>
  <c r="C674" i="5" s="1"/>
  <c r="L673" i="5"/>
  <c r="B673" i="5"/>
  <c r="C673" i="5" s="1"/>
  <c r="L672" i="5"/>
  <c r="B672" i="5"/>
  <c r="C672" i="5" s="1"/>
  <c r="L671" i="5"/>
  <c r="B671" i="5"/>
  <c r="C671" i="5" s="1"/>
  <c r="L670" i="5"/>
  <c r="B670" i="5"/>
  <c r="C670" i="5" s="1"/>
  <c r="L669" i="5"/>
  <c r="B669" i="5"/>
  <c r="C669" i="5" s="1"/>
  <c r="L668" i="5"/>
  <c r="B668" i="5"/>
  <c r="C668" i="5" s="1"/>
  <c r="L667" i="5"/>
  <c r="B667" i="5"/>
  <c r="C667" i="5" s="1"/>
  <c r="L666" i="5"/>
  <c r="B666" i="5"/>
  <c r="C666" i="5" s="1"/>
  <c r="L665" i="5"/>
  <c r="B665" i="5"/>
  <c r="C665" i="5" s="1"/>
  <c r="L664" i="5"/>
  <c r="B664" i="5"/>
  <c r="C664" i="5" s="1"/>
  <c r="L663" i="5"/>
  <c r="B663" i="5"/>
  <c r="C663" i="5" s="1"/>
  <c r="L662" i="5"/>
  <c r="B662" i="5"/>
  <c r="C662" i="5" s="1"/>
  <c r="L661" i="5"/>
  <c r="B661" i="5"/>
  <c r="C661" i="5" s="1"/>
  <c r="L660" i="5"/>
  <c r="B660" i="5"/>
  <c r="C660" i="5" s="1"/>
  <c r="L659" i="5"/>
  <c r="B659" i="5"/>
  <c r="C659" i="5" s="1"/>
  <c r="L658" i="5"/>
  <c r="B658" i="5"/>
  <c r="C658" i="5" s="1"/>
  <c r="L657" i="5"/>
  <c r="B657" i="5"/>
  <c r="C657" i="5" s="1"/>
  <c r="L656" i="5"/>
  <c r="B656" i="5"/>
  <c r="C656" i="5" s="1"/>
  <c r="L655" i="5"/>
  <c r="B655" i="5"/>
  <c r="C655" i="5" s="1"/>
  <c r="L654" i="5"/>
  <c r="B654" i="5"/>
  <c r="C654" i="5" s="1"/>
  <c r="L653" i="5"/>
  <c r="B653" i="5"/>
  <c r="C653" i="5" s="1"/>
  <c r="L652" i="5"/>
  <c r="B652" i="5"/>
  <c r="C652" i="5" s="1"/>
  <c r="L651" i="5"/>
  <c r="B651" i="5"/>
  <c r="C651" i="5" s="1"/>
  <c r="L650" i="5"/>
  <c r="B650" i="5"/>
  <c r="C650" i="5" s="1"/>
  <c r="L649" i="5"/>
  <c r="B649" i="5"/>
  <c r="C649" i="5" s="1"/>
  <c r="L648" i="5"/>
  <c r="B648" i="5"/>
  <c r="C648" i="5" s="1"/>
  <c r="L647" i="5"/>
  <c r="B647" i="5"/>
  <c r="C647" i="5" s="1"/>
  <c r="L646" i="5"/>
  <c r="B646" i="5"/>
  <c r="C646" i="5" s="1"/>
  <c r="L645" i="5"/>
  <c r="B645" i="5"/>
  <c r="C645" i="5" s="1"/>
  <c r="L644" i="5"/>
  <c r="B644" i="5"/>
  <c r="C644" i="5" s="1"/>
  <c r="L643" i="5"/>
  <c r="B643" i="5"/>
  <c r="C643" i="5" s="1"/>
  <c r="L642" i="5"/>
  <c r="B642" i="5"/>
  <c r="C642" i="5" s="1"/>
  <c r="L641" i="5"/>
  <c r="B641" i="5"/>
  <c r="C641" i="5" s="1"/>
  <c r="L640" i="5"/>
  <c r="B640" i="5"/>
  <c r="C640" i="5" s="1"/>
  <c r="L639" i="5"/>
  <c r="B639" i="5"/>
  <c r="C639" i="5" s="1"/>
  <c r="L638" i="5"/>
  <c r="B638" i="5"/>
  <c r="C638" i="5" s="1"/>
  <c r="L637" i="5"/>
  <c r="B637" i="5"/>
  <c r="C637" i="5" s="1"/>
  <c r="L636" i="5"/>
  <c r="B636" i="5"/>
  <c r="C636" i="5" s="1"/>
  <c r="L635" i="5"/>
  <c r="B635" i="5"/>
  <c r="C635" i="5" s="1"/>
  <c r="L634" i="5"/>
  <c r="B634" i="5"/>
  <c r="C634" i="5" s="1"/>
  <c r="L633" i="5"/>
  <c r="B633" i="5"/>
  <c r="C633" i="5" s="1"/>
  <c r="L632" i="5"/>
  <c r="B632" i="5"/>
  <c r="C632" i="5" s="1"/>
  <c r="L631" i="5"/>
  <c r="B631" i="5"/>
  <c r="C631" i="5" s="1"/>
  <c r="L630" i="5"/>
  <c r="B630" i="5"/>
  <c r="C630" i="5" s="1"/>
  <c r="L629" i="5"/>
  <c r="B629" i="5"/>
  <c r="C629" i="5" s="1"/>
  <c r="L628" i="5"/>
  <c r="B628" i="5"/>
  <c r="C628" i="5" s="1"/>
  <c r="L627" i="5"/>
  <c r="B627" i="5"/>
  <c r="C627" i="5" s="1"/>
  <c r="L626" i="5"/>
  <c r="B626" i="5"/>
  <c r="C626" i="5" s="1"/>
  <c r="L625" i="5"/>
  <c r="B625" i="5"/>
  <c r="C625" i="5" s="1"/>
  <c r="L624" i="5"/>
  <c r="B624" i="5"/>
  <c r="C624" i="5" s="1"/>
  <c r="L623" i="5"/>
  <c r="B623" i="5"/>
  <c r="C623" i="5" s="1"/>
  <c r="L622" i="5"/>
  <c r="B622" i="5"/>
  <c r="C622" i="5" s="1"/>
  <c r="L621" i="5"/>
  <c r="B621" i="5"/>
  <c r="C621" i="5" s="1"/>
  <c r="L620" i="5"/>
  <c r="B620" i="5"/>
  <c r="C620" i="5" s="1"/>
  <c r="L619" i="5"/>
  <c r="B619" i="5"/>
  <c r="C619" i="5" s="1"/>
  <c r="L618" i="5"/>
  <c r="B618" i="5"/>
  <c r="C618" i="5" s="1"/>
  <c r="L617" i="5"/>
  <c r="B617" i="5"/>
  <c r="C617" i="5" s="1"/>
  <c r="L616" i="5"/>
  <c r="B616" i="5"/>
  <c r="C616" i="5" s="1"/>
  <c r="L615" i="5"/>
  <c r="B615" i="5"/>
  <c r="C615" i="5" s="1"/>
  <c r="L614" i="5"/>
  <c r="B614" i="5"/>
  <c r="C614" i="5" s="1"/>
  <c r="L613" i="5"/>
  <c r="B613" i="5"/>
  <c r="C613" i="5" s="1"/>
  <c r="L612" i="5"/>
  <c r="B612" i="5"/>
  <c r="C612" i="5" s="1"/>
  <c r="L611" i="5"/>
  <c r="B611" i="5"/>
  <c r="C611" i="5" s="1"/>
  <c r="L610" i="5"/>
  <c r="B610" i="5"/>
  <c r="C610" i="5" s="1"/>
  <c r="L609" i="5"/>
  <c r="B609" i="5"/>
  <c r="C609" i="5" s="1"/>
  <c r="L608" i="5"/>
  <c r="B608" i="5"/>
  <c r="C608" i="5" s="1"/>
  <c r="L607" i="5"/>
  <c r="B607" i="5"/>
  <c r="C607" i="5" s="1"/>
  <c r="L606" i="5"/>
  <c r="B606" i="5"/>
  <c r="C606" i="5" s="1"/>
  <c r="L605" i="5"/>
  <c r="B605" i="5"/>
  <c r="C605" i="5" s="1"/>
  <c r="L604" i="5"/>
  <c r="B604" i="5"/>
  <c r="C604" i="5" s="1"/>
  <c r="L603" i="5"/>
  <c r="B603" i="5"/>
  <c r="C603" i="5" s="1"/>
  <c r="L602" i="5"/>
  <c r="B602" i="5"/>
  <c r="C602" i="5" s="1"/>
  <c r="L601" i="5"/>
  <c r="B601" i="5"/>
  <c r="C601" i="5" s="1"/>
  <c r="L600" i="5"/>
  <c r="B600" i="5"/>
  <c r="C600" i="5" s="1"/>
  <c r="L599" i="5"/>
  <c r="B599" i="5"/>
  <c r="C599" i="5" s="1"/>
  <c r="L598" i="5"/>
  <c r="B598" i="5"/>
  <c r="C598" i="5" s="1"/>
  <c r="L597" i="5"/>
  <c r="B597" i="5"/>
  <c r="C597" i="5" s="1"/>
  <c r="L596" i="5"/>
  <c r="B596" i="5"/>
  <c r="C596" i="5" s="1"/>
  <c r="L595" i="5"/>
  <c r="B595" i="5"/>
  <c r="C595" i="5" s="1"/>
  <c r="L594" i="5"/>
  <c r="B594" i="5"/>
  <c r="C594" i="5" s="1"/>
  <c r="L593" i="5"/>
  <c r="B593" i="5"/>
  <c r="C593" i="5" s="1"/>
  <c r="L592" i="5"/>
  <c r="B592" i="5"/>
  <c r="C592" i="5" s="1"/>
  <c r="L591" i="5"/>
  <c r="B591" i="5"/>
  <c r="C591" i="5" s="1"/>
  <c r="L590" i="5"/>
  <c r="B590" i="5"/>
  <c r="C590" i="5" s="1"/>
  <c r="L589" i="5"/>
  <c r="B589" i="5"/>
  <c r="C589" i="5" s="1"/>
  <c r="L588" i="5"/>
  <c r="B588" i="5"/>
  <c r="C588" i="5" s="1"/>
  <c r="L587" i="5"/>
  <c r="B587" i="5"/>
  <c r="C587" i="5" s="1"/>
  <c r="L586" i="5"/>
  <c r="B586" i="5"/>
  <c r="C586" i="5" s="1"/>
  <c r="L585" i="5"/>
  <c r="B585" i="5"/>
  <c r="C585" i="5" s="1"/>
  <c r="L584" i="5"/>
  <c r="B584" i="5"/>
  <c r="C584" i="5" s="1"/>
  <c r="L583" i="5"/>
  <c r="B583" i="5"/>
  <c r="C583" i="5" s="1"/>
  <c r="L582" i="5"/>
  <c r="B582" i="5"/>
  <c r="C582" i="5" s="1"/>
  <c r="L581" i="5"/>
  <c r="B581" i="5"/>
  <c r="C581" i="5" s="1"/>
  <c r="L580" i="5"/>
  <c r="B580" i="5"/>
  <c r="C580" i="5" s="1"/>
  <c r="L579" i="5"/>
  <c r="B579" i="5"/>
  <c r="C579" i="5" s="1"/>
  <c r="L578" i="5"/>
  <c r="B578" i="5"/>
  <c r="C578" i="5" s="1"/>
  <c r="L577" i="5"/>
  <c r="B577" i="5"/>
  <c r="C577" i="5" s="1"/>
  <c r="L576" i="5"/>
  <c r="B576" i="5"/>
  <c r="C576" i="5" s="1"/>
  <c r="L575" i="5"/>
  <c r="B575" i="5"/>
  <c r="C575" i="5" s="1"/>
  <c r="L574" i="5"/>
  <c r="B574" i="5"/>
  <c r="C574" i="5" s="1"/>
  <c r="L573" i="5"/>
  <c r="B573" i="5"/>
  <c r="C573" i="5" s="1"/>
  <c r="L572" i="5"/>
  <c r="B572" i="5"/>
  <c r="C572" i="5" s="1"/>
  <c r="L571" i="5"/>
  <c r="B571" i="5"/>
  <c r="C571" i="5" s="1"/>
  <c r="L570" i="5"/>
  <c r="B570" i="5"/>
  <c r="C570" i="5" s="1"/>
  <c r="L569" i="5"/>
  <c r="B569" i="5"/>
  <c r="C569" i="5" s="1"/>
  <c r="L568" i="5"/>
  <c r="B568" i="5"/>
  <c r="C568" i="5" s="1"/>
  <c r="L567" i="5"/>
  <c r="B567" i="5"/>
  <c r="C567" i="5" s="1"/>
  <c r="L566" i="5"/>
  <c r="B566" i="5"/>
  <c r="C566" i="5" s="1"/>
  <c r="L565" i="5"/>
  <c r="B565" i="5"/>
  <c r="C565" i="5" s="1"/>
  <c r="L564" i="5"/>
  <c r="B564" i="5"/>
  <c r="C564" i="5" s="1"/>
  <c r="L563" i="5"/>
  <c r="B563" i="5"/>
  <c r="C563" i="5" s="1"/>
  <c r="L562" i="5"/>
  <c r="B562" i="5"/>
  <c r="C562" i="5" s="1"/>
  <c r="L561" i="5"/>
  <c r="B561" i="5"/>
  <c r="C561" i="5" s="1"/>
  <c r="L560" i="5"/>
  <c r="B560" i="5"/>
  <c r="C560" i="5" s="1"/>
  <c r="L559" i="5"/>
  <c r="B559" i="5"/>
  <c r="C559" i="5" s="1"/>
  <c r="L558" i="5"/>
  <c r="B558" i="5"/>
  <c r="C558" i="5" s="1"/>
  <c r="L557" i="5"/>
  <c r="B557" i="5"/>
  <c r="C557" i="5" s="1"/>
  <c r="L556" i="5"/>
  <c r="B556" i="5"/>
  <c r="C556" i="5" s="1"/>
  <c r="L555" i="5"/>
  <c r="B555" i="5"/>
  <c r="C555" i="5" s="1"/>
  <c r="L554" i="5"/>
  <c r="B554" i="5"/>
  <c r="C554" i="5" s="1"/>
  <c r="L553" i="5"/>
  <c r="B553" i="5"/>
  <c r="C553" i="5" s="1"/>
  <c r="L552" i="5"/>
  <c r="B552" i="5"/>
  <c r="C552" i="5" s="1"/>
  <c r="L551" i="5"/>
  <c r="B551" i="5"/>
  <c r="C551" i="5" s="1"/>
  <c r="L550" i="5"/>
  <c r="B550" i="5"/>
  <c r="C550" i="5" s="1"/>
  <c r="L549" i="5"/>
  <c r="B549" i="5"/>
  <c r="C549" i="5" s="1"/>
  <c r="L548" i="5"/>
  <c r="B548" i="5"/>
  <c r="C548" i="5" s="1"/>
  <c r="L547" i="5"/>
  <c r="B547" i="5"/>
  <c r="C547" i="5" s="1"/>
  <c r="L546" i="5"/>
  <c r="B546" i="5"/>
  <c r="C546" i="5" s="1"/>
  <c r="L545" i="5"/>
  <c r="B545" i="5"/>
  <c r="C545" i="5" s="1"/>
  <c r="L544" i="5"/>
  <c r="B544" i="5"/>
  <c r="C544" i="5" s="1"/>
  <c r="L543" i="5"/>
  <c r="B543" i="5"/>
  <c r="C543" i="5" s="1"/>
  <c r="L542" i="5"/>
  <c r="B542" i="5"/>
  <c r="C542" i="5" s="1"/>
  <c r="L541" i="5"/>
  <c r="B541" i="5"/>
  <c r="C541" i="5" s="1"/>
  <c r="L540" i="5"/>
  <c r="B540" i="5"/>
  <c r="C540" i="5" s="1"/>
  <c r="L539" i="5"/>
  <c r="B539" i="5"/>
  <c r="C539" i="5" s="1"/>
  <c r="L538" i="5"/>
  <c r="B538" i="5"/>
  <c r="C538" i="5" s="1"/>
  <c r="L537" i="5"/>
  <c r="B537" i="5"/>
  <c r="C537" i="5" s="1"/>
  <c r="L536" i="5"/>
  <c r="B536" i="5"/>
  <c r="C536" i="5" s="1"/>
  <c r="L535" i="5"/>
  <c r="B535" i="5"/>
  <c r="C535" i="5" s="1"/>
  <c r="L534" i="5"/>
  <c r="B534" i="5"/>
  <c r="C534" i="5" s="1"/>
  <c r="L533" i="5"/>
  <c r="B533" i="5"/>
  <c r="C533" i="5" s="1"/>
  <c r="L532" i="5"/>
  <c r="B532" i="5"/>
  <c r="C532" i="5" s="1"/>
  <c r="L531" i="5"/>
  <c r="B531" i="5"/>
  <c r="C531" i="5" s="1"/>
  <c r="L530" i="5"/>
  <c r="B530" i="5"/>
  <c r="C530" i="5" s="1"/>
  <c r="L529" i="5"/>
  <c r="B529" i="5"/>
  <c r="C529" i="5" s="1"/>
  <c r="L528" i="5"/>
  <c r="B528" i="5"/>
  <c r="C528" i="5" s="1"/>
  <c r="L527" i="5"/>
  <c r="B527" i="5"/>
  <c r="C527" i="5" s="1"/>
  <c r="L526" i="5"/>
  <c r="B526" i="5"/>
  <c r="C526" i="5" s="1"/>
  <c r="L525" i="5"/>
  <c r="B525" i="5"/>
  <c r="C525" i="5" s="1"/>
  <c r="L524" i="5"/>
  <c r="B524" i="5"/>
  <c r="C524" i="5" s="1"/>
  <c r="L523" i="5"/>
  <c r="B523" i="5"/>
  <c r="C523" i="5" s="1"/>
  <c r="L522" i="5"/>
  <c r="B522" i="5"/>
  <c r="C522" i="5" s="1"/>
  <c r="L521" i="5"/>
  <c r="B521" i="5"/>
  <c r="C521" i="5" s="1"/>
  <c r="L520" i="5"/>
  <c r="B520" i="5"/>
  <c r="C520" i="5" s="1"/>
  <c r="L519" i="5"/>
  <c r="B519" i="5"/>
  <c r="C519" i="5" s="1"/>
  <c r="L518" i="5"/>
  <c r="B518" i="5"/>
  <c r="C518" i="5" s="1"/>
  <c r="L517" i="5"/>
  <c r="B517" i="5"/>
  <c r="C517" i="5" s="1"/>
  <c r="L516" i="5"/>
  <c r="B516" i="5"/>
  <c r="C516" i="5" s="1"/>
  <c r="L515" i="5"/>
  <c r="B515" i="5"/>
  <c r="C515" i="5" s="1"/>
  <c r="L514" i="5"/>
  <c r="B514" i="5"/>
  <c r="C514" i="5" s="1"/>
  <c r="L513" i="5"/>
  <c r="B513" i="5"/>
  <c r="C513" i="5" s="1"/>
  <c r="L512" i="5"/>
  <c r="B512" i="5"/>
  <c r="C512" i="5" s="1"/>
  <c r="L511" i="5"/>
  <c r="B511" i="5"/>
  <c r="C511" i="5" s="1"/>
  <c r="L510" i="5"/>
  <c r="B510" i="5"/>
  <c r="C510" i="5" s="1"/>
  <c r="L509" i="5"/>
  <c r="B509" i="5"/>
  <c r="C509" i="5" s="1"/>
  <c r="L508" i="5"/>
  <c r="B508" i="5"/>
  <c r="C508" i="5" s="1"/>
  <c r="L507" i="5"/>
  <c r="B507" i="5"/>
  <c r="C507" i="5" s="1"/>
  <c r="L506" i="5"/>
  <c r="B506" i="5"/>
  <c r="C506" i="5" s="1"/>
  <c r="L505" i="5"/>
  <c r="B505" i="5"/>
  <c r="C505" i="5" s="1"/>
  <c r="L504" i="5"/>
  <c r="B504" i="5"/>
  <c r="C504" i="5" s="1"/>
  <c r="L503" i="5"/>
  <c r="B503" i="5"/>
  <c r="C503" i="5" s="1"/>
  <c r="L502" i="5"/>
  <c r="B502" i="5"/>
  <c r="C502" i="5" s="1"/>
  <c r="L501" i="5"/>
  <c r="B501" i="5"/>
  <c r="C501" i="5" s="1"/>
  <c r="L500" i="5"/>
  <c r="B500" i="5"/>
  <c r="C500" i="5" s="1"/>
  <c r="L499" i="5"/>
  <c r="B499" i="5"/>
  <c r="C499" i="5" s="1"/>
  <c r="L498" i="5"/>
  <c r="B498" i="5"/>
  <c r="C498" i="5" s="1"/>
  <c r="L497" i="5"/>
  <c r="B497" i="5"/>
  <c r="C497" i="5" s="1"/>
  <c r="L496" i="5"/>
  <c r="B496" i="5"/>
  <c r="C496" i="5" s="1"/>
  <c r="L495" i="5"/>
  <c r="B495" i="5"/>
  <c r="C495" i="5" s="1"/>
  <c r="L494" i="5"/>
  <c r="B494" i="5"/>
  <c r="C494" i="5" s="1"/>
  <c r="L493" i="5"/>
  <c r="B493" i="5"/>
  <c r="C493" i="5" s="1"/>
  <c r="L492" i="5"/>
  <c r="B492" i="5"/>
  <c r="C492" i="5" s="1"/>
  <c r="L491" i="5"/>
  <c r="B491" i="5"/>
  <c r="C491" i="5" s="1"/>
  <c r="L490" i="5"/>
  <c r="B490" i="5"/>
  <c r="C490" i="5" s="1"/>
  <c r="L489" i="5"/>
  <c r="B489" i="5"/>
  <c r="C489" i="5" s="1"/>
  <c r="L488" i="5"/>
  <c r="B488" i="5"/>
  <c r="C488" i="5" s="1"/>
  <c r="L487" i="5"/>
  <c r="B487" i="5"/>
  <c r="C487" i="5" s="1"/>
  <c r="L486" i="5"/>
  <c r="B486" i="5"/>
  <c r="C486" i="5" s="1"/>
  <c r="L485" i="5"/>
  <c r="B485" i="5"/>
  <c r="C485" i="5" s="1"/>
  <c r="L484" i="5"/>
  <c r="B484" i="5"/>
  <c r="C484" i="5" s="1"/>
  <c r="L483" i="5"/>
  <c r="B483" i="5"/>
  <c r="C483" i="5" s="1"/>
  <c r="L482" i="5"/>
  <c r="B482" i="5"/>
  <c r="C482" i="5" s="1"/>
  <c r="L481" i="5"/>
  <c r="B481" i="5"/>
  <c r="C481" i="5" s="1"/>
  <c r="L480" i="5"/>
  <c r="B480" i="5"/>
  <c r="C480" i="5" s="1"/>
  <c r="L479" i="5"/>
  <c r="B479" i="5"/>
  <c r="C479" i="5" s="1"/>
  <c r="L478" i="5"/>
  <c r="B478" i="5"/>
  <c r="C478" i="5" s="1"/>
  <c r="L477" i="5"/>
  <c r="B477" i="5"/>
  <c r="C477" i="5" s="1"/>
  <c r="L476" i="5"/>
  <c r="B476" i="5"/>
  <c r="C476" i="5" s="1"/>
  <c r="L475" i="5"/>
  <c r="B475" i="5"/>
  <c r="C475" i="5" s="1"/>
  <c r="L474" i="5"/>
  <c r="B474" i="5"/>
  <c r="C474" i="5" s="1"/>
  <c r="L473" i="5"/>
  <c r="B473" i="5"/>
  <c r="C473" i="5" s="1"/>
  <c r="L472" i="5"/>
  <c r="B472" i="5"/>
  <c r="C472" i="5" s="1"/>
  <c r="L471" i="5"/>
  <c r="B471" i="5"/>
  <c r="C471" i="5" s="1"/>
  <c r="L470" i="5"/>
  <c r="B470" i="5"/>
  <c r="C470" i="5" s="1"/>
  <c r="L469" i="5"/>
  <c r="B469" i="5"/>
  <c r="C469" i="5" s="1"/>
  <c r="L468" i="5"/>
  <c r="B468" i="5"/>
  <c r="C468" i="5" s="1"/>
  <c r="L467" i="5"/>
  <c r="B467" i="5"/>
  <c r="C467" i="5" s="1"/>
  <c r="L466" i="5"/>
  <c r="B466" i="5"/>
  <c r="C466" i="5" s="1"/>
  <c r="L465" i="5"/>
  <c r="B465" i="5"/>
  <c r="C465" i="5" s="1"/>
  <c r="L464" i="5"/>
  <c r="B464" i="5"/>
  <c r="C464" i="5" s="1"/>
  <c r="L463" i="5"/>
  <c r="B463" i="5"/>
  <c r="C463" i="5" s="1"/>
  <c r="L462" i="5"/>
  <c r="B462" i="5"/>
  <c r="C462" i="5" s="1"/>
  <c r="L461" i="5"/>
  <c r="B461" i="5"/>
  <c r="C461" i="5" s="1"/>
  <c r="L460" i="5"/>
  <c r="B460" i="5"/>
  <c r="C460" i="5" s="1"/>
  <c r="L459" i="5"/>
  <c r="B459" i="5"/>
  <c r="C459" i="5" s="1"/>
  <c r="L458" i="5"/>
  <c r="B458" i="5"/>
  <c r="C458" i="5" s="1"/>
  <c r="L457" i="5"/>
  <c r="B457" i="5"/>
  <c r="C457" i="5" s="1"/>
  <c r="L456" i="5"/>
  <c r="B456" i="5"/>
  <c r="C456" i="5" s="1"/>
  <c r="L455" i="5"/>
  <c r="B455" i="5"/>
  <c r="C455" i="5" s="1"/>
  <c r="L454" i="5"/>
  <c r="B454" i="5"/>
  <c r="C454" i="5" s="1"/>
  <c r="L453" i="5"/>
  <c r="B453" i="5"/>
  <c r="C453" i="5" s="1"/>
  <c r="L452" i="5"/>
  <c r="B452" i="5"/>
  <c r="C452" i="5" s="1"/>
  <c r="L451" i="5"/>
  <c r="B451" i="5"/>
  <c r="C451" i="5" s="1"/>
  <c r="L450" i="5"/>
  <c r="B450" i="5"/>
  <c r="C450" i="5" s="1"/>
  <c r="L449" i="5"/>
  <c r="B449" i="5"/>
  <c r="C449" i="5" s="1"/>
  <c r="L448" i="5"/>
  <c r="B448" i="5"/>
  <c r="C448" i="5" s="1"/>
  <c r="L447" i="5"/>
  <c r="B447" i="5"/>
  <c r="C447" i="5" s="1"/>
  <c r="L446" i="5"/>
  <c r="B446" i="5"/>
  <c r="C446" i="5" s="1"/>
  <c r="L445" i="5"/>
  <c r="B445" i="5"/>
  <c r="C445" i="5" s="1"/>
  <c r="L444" i="5"/>
  <c r="B444" i="5"/>
  <c r="C444" i="5" s="1"/>
  <c r="L443" i="5"/>
  <c r="B443" i="5"/>
  <c r="C443" i="5" s="1"/>
  <c r="L442" i="5"/>
  <c r="B442" i="5"/>
  <c r="C442" i="5" s="1"/>
  <c r="L441" i="5"/>
  <c r="B441" i="5"/>
  <c r="C441" i="5" s="1"/>
  <c r="L440" i="5"/>
  <c r="B440" i="5"/>
  <c r="C440" i="5" s="1"/>
  <c r="L439" i="5"/>
  <c r="B439" i="5"/>
  <c r="C439" i="5" s="1"/>
  <c r="L438" i="5"/>
  <c r="B438" i="5"/>
  <c r="C438" i="5" s="1"/>
  <c r="L437" i="5"/>
  <c r="B437" i="5"/>
  <c r="C437" i="5" s="1"/>
  <c r="L436" i="5"/>
  <c r="B436" i="5"/>
  <c r="C436" i="5" s="1"/>
  <c r="L435" i="5"/>
  <c r="B435" i="5"/>
  <c r="C435" i="5" s="1"/>
  <c r="L434" i="5"/>
  <c r="B434" i="5"/>
  <c r="C434" i="5" s="1"/>
  <c r="L433" i="5"/>
  <c r="B433" i="5"/>
  <c r="C433" i="5" s="1"/>
  <c r="L432" i="5"/>
  <c r="B432" i="5"/>
  <c r="C432" i="5" s="1"/>
  <c r="L431" i="5"/>
  <c r="B431" i="5"/>
  <c r="C431" i="5" s="1"/>
  <c r="L430" i="5"/>
  <c r="B430" i="5"/>
  <c r="C430" i="5" s="1"/>
  <c r="L429" i="5"/>
  <c r="B429" i="5"/>
  <c r="C429" i="5" s="1"/>
  <c r="L428" i="5"/>
  <c r="B428" i="5"/>
  <c r="C428" i="5" s="1"/>
  <c r="L427" i="5"/>
  <c r="B427" i="5"/>
  <c r="C427" i="5" s="1"/>
  <c r="L426" i="5"/>
  <c r="B426" i="5"/>
  <c r="C426" i="5" s="1"/>
  <c r="L425" i="5"/>
  <c r="B425" i="5"/>
  <c r="C425" i="5" s="1"/>
  <c r="L424" i="5"/>
  <c r="B424" i="5"/>
  <c r="C424" i="5" s="1"/>
  <c r="L423" i="5"/>
  <c r="B423" i="5"/>
  <c r="C423" i="5" s="1"/>
  <c r="L422" i="5"/>
  <c r="B422" i="5"/>
  <c r="C422" i="5" s="1"/>
  <c r="L421" i="5"/>
  <c r="B421" i="5"/>
  <c r="C421" i="5" s="1"/>
  <c r="L420" i="5"/>
  <c r="B420" i="5"/>
  <c r="C420" i="5" s="1"/>
  <c r="L419" i="5"/>
  <c r="B419" i="5"/>
  <c r="C419" i="5" s="1"/>
  <c r="L418" i="5"/>
  <c r="B418" i="5"/>
  <c r="C418" i="5" s="1"/>
  <c r="L417" i="5"/>
  <c r="B417" i="5"/>
  <c r="C417" i="5" s="1"/>
  <c r="L416" i="5"/>
  <c r="B416" i="5"/>
  <c r="C416" i="5" s="1"/>
  <c r="L415" i="5"/>
  <c r="B415" i="5"/>
  <c r="C415" i="5" s="1"/>
  <c r="L414" i="5"/>
  <c r="B414" i="5"/>
  <c r="C414" i="5" s="1"/>
  <c r="L413" i="5"/>
  <c r="B413" i="5"/>
  <c r="C413" i="5" s="1"/>
  <c r="L412" i="5"/>
  <c r="B412" i="5"/>
  <c r="C412" i="5" s="1"/>
  <c r="L411" i="5"/>
  <c r="B411" i="5"/>
  <c r="C411" i="5" s="1"/>
  <c r="L410" i="5"/>
  <c r="B410" i="5"/>
  <c r="C410" i="5" s="1"/>
  <c r="L409" i="5"/>
  <c r="B409" i="5"/>
  <c r="C409" i="5" s="1"/>
  <c r="L408" i="5"/>
  <c r="B408" i="5"/>
  <c r="C408" i="5" s="1"/>
  <c r="L407" i="5"/>
  <c r="B407" i="5"/>
  <c r="C407" i="5" s="1"/>
  <c r="L406" i="5"/>
  <c r="B406" i="5"/>
  <c r="C406" i="5" s="1"/>
  <c r="L405" i="5"/>
  <c r="B405" i="5"/>
  <c r="C405" i="5" s="1"/>
  <c r="L404" i="5"/>
  <c r="B404" i="5"/>
  <c r="C404" i="5" s="1"/>
  <c r="L403" i="5"/>
  <c r="B403" i="5"/>
  <c r="C403" i="5" s="1"/>
  <c r="L402" i="5"/>
  <c r="B402" i="5"/>
  <c r="C402" i="5" s="1"/>
  <c r="L401" i="5"/>
  <c r="B401" i="5"/>
  <c r="C401" i="5" s="1"/>
  <c r="L400" i="5"/>
  <c r="B400" i="5"/>
  <c r="C400" i="5" s="1"/>
  <c r="L399" i="5"/>
  <c r="B399" i="5"/>
  <c r="C399" i="5" s="1"/>
  <c r="L398" i="5"/>
  <c r="B398" i="5"/>
  <c r="C398" i="5" s="1"/>
  <c r="L397" i="5"/>
  <c r="B397" i="5"/>
  <c r="C397" i="5" s="1"/>
  <c r="L396" i="5"/>
  <c r="B396" i="5"/>
  <c r="C396" i="5" s="1"/>
  <c r="L395" i="5"/>
  <c r="B395" i="5"/>
  <c r="C395" i="5" s="1"/>
  <c r="L394" i="5"/>
  <c r="B394" i="5"/>
  <c r="C394" i="5" s="1"/>
  <c r="L393" i="5"/>
  <c r="B393" i="5"/>
  <c r="C393" i="5" s="1"/>
  <c r="L392" i="5"/>
  <c r="B392" i="5"/>
  <c r="C392" i="5" s="1"/>
  <c r="L391" i="5"/>
  <c r="B391" i="5"/>
  <c r="C391" i="5" s="1"/>
  <c r="L390" i="5"/>
  <c r="B390" i="5"/>
  <c r="C390" i="5" s="1"/>
  <c r="L389" i="5"/>
  <c r="B389" i="5"/>
  <c r="C389" i="5" s="1"/>
  <c r="L388" i="5"/>
  <c r="B388" i="5"/>
  <c r="C388" i="5" s="1"/>
  <c r="L387" i="5"/>
  <c r="B387" i="5"/>
  <c r="C387" i="5" s="1"/>
  <c r="L386" i="5"/>
  <c r="B386" i="5"/>
  <c r="C386" i="5" s="1"/>
  <c r="L385" i="5"/>
  <c r="B385" i="5"/>
  <c r="C385" i="5" s="1"/>
  <c r="L384" i="5"/>
  <c r="B384" i="5"/>
  <c r="C384" i="5" s="1"/>
  <c r="L383" i="5"/>
  <c r="B383" i="5"/>
  <c r="C383" i="5" s="1"/>
  <c r="L382" i="5"/>
  <c r="B382" i="5"/>
  <c r="C382" i="5" s="1"/>
  <c r="L381" i="5"/>
  <c r="B381" i="5"/>
  <c r="C381" i="5" s="1"/>
  <c r="L380" i="5"/>
  <c r="B380" i="5"/>
  <c r="C380" i="5" s="1"/>
  <c r="L379" i="5"/>
  <c r="B379" i="5"/>
  <c r="C379" i="5" s="1"/>
  <c r="L378" i="5"/>
  <c r="B378" i="5"/>
  <c r="C378" i="5" s="1"/>
  <c r="L377" i="5"/>
  <c r="B377" i="5"/>
  <c r="C377" i="5" s="1"/>
  <c r="L376" i="5"/>
  <c r="B376" i="5"/>
  <c r="C376" i="5" s="1"/>
  <c r="L375" i="5"/>
  <c r="B375" i="5"/>
  <c r="C375" i="5" s="1"/>
  <c r="L374" i="5"/>
  <c r="B374" i="5"/>
  <c r="C374" i="5" s="1"/>
  <c r="L373" i="5"/>
  <c r="B373" i="5"/>
  <c r="C373" i="5" s="1"/>
  <c r="L372" i="5"/>
  <c r="B372" i="5"/>
  <c r="C372" i="5" s="1"/>
  <c r="L371" i="5"/>
  <c r="B371" i="5"/>
  <c r="C371" i="5" s="1"/>
  <c r="L370" i="5"/>
  <c r="B370" i="5"/>
  <c r="C370" i="5" s="1"/>
  <c r="L369" i="5"/>
  <c r="B369" i="5"/>
  <c r="C369" i="5" s="1"/>
  <c r="L368" i="5"/>
  <c r="B368" i="5"/>
  <c r="C368" i="5" s="1"/>
  <c r="L367" i="5"/>
  <c r="B367" i="5"/>
  <c r="C367" i="5" s="1"/>
  <c r="L366" i="5"/>
  <c r="B366" i="5"/>
  <c r="C366" i="5" s="1"/>
  <c r="L365" i="5"/>
  <c r="B365" i="5"/>
  <c r="C365" i="5" s="1"/>
  <c r="L364" i="5"/>
  <c r="B364" i="5"/>
  <c r="C364" i="5" s="1"/>
  <c r="L363" i="5"/>
  <c r="B363" i="5"/>
  <c r="C363" i="5" s="1"/>
  <c r="L362" i="5"/>
  <c r="B362" i="5"/>
  <c r="C362" i="5" s="1"/>
  <c r="L361" i="5"/>
  <c r="B361" i="5"/>
  <c r="C361" i="5" s="1"/>
  <c r="L360" i="5"/>
  <c r="B360" i="5"/>
  <c r="C360" i="5" s="1"/>
  <c r="L359" i="5"/>
  <c r="B359" i="5"/>
  <c r="C359" i="5" s="1"/>
  <c r="L358" i="5"/>
  <c r="B358" i="5"/>
  <c r="C358" i="5" s="1"/>
  <c r="L357" i="5"/>
  <c r="B357" i="5"/>
  <c r="C357" i="5" s="1"/>
  <c r="L356" i="5"/>
  <c r="B356" i="5"/>
  <c r="C356" i="5" s="1"/>
  <c r="L355" i="5"/>
  <c r="B355" i="5"/>
  <c r="C355" i="5" s="1"/>
  <c r="L354" i="5"/>
  <c r="B354" i="5"/>
  <c r="C354" i="5" s="1"/>
  <c r="L353" i="5"/>
  <c r="B353" i="5"/>
  <c r="C353" i="5" s="1"/>
  <c r="L352" i="5"/>
  <c r="B352" i="5"/>
  <c r="C352" i="5" s="1"/>
  <c r="L351" i="5"/>
  <c r="B351" i="5"/>
  <c r="C351" i="5" s="1"/>
  <c r="L350" i="5"/>
  <c r="B350" i="5"/>
  <c r="C350" i="5" s="1"/>
  <c r="L349" i="5"/>
  <c r="B349" i="5"/>
  <c r="C349" i="5" s="1"/>
  <c r="L348" i="5"/>
  <c r="B348" i="5"/>
  <c r="C348" i="5" s="1"/>
  <c r="L347" i="5"/>
  <c r="B347" i="5"/>
  <c r="C347" i="5" s="1"/>
  <c r="L346" i="5"/>
  <c r="B346" i="5"/>
  <c r="C346" i="5" s="1"/>
  <c r="L345" i="5"/>
  <c r="B345" i="5"/>
  <c r="C345" i="5" s="1"/>
  <c r="L344" i="5"/>
  <c r="B344" i="5"/>
  <c r="C344" i="5" s="1"/>
  <c r="L343" i="5"/>
  <c r="B343" i="5"/>
  <c r="C343" i="5" s="1"/>
  <c r="L342" i="5"/>
  <c r="B342" i="5"/>
  <c r="C342" i="5" s="1"/>
  <c r="L341" i="5"/>
  <c r="B341" i="5"/>
  <c r="C341" i="5" s="1"/>
  <c r="L340" i="5"/>
  <c r="B340" i="5"/>
  <c r="C340" i="5" s="1"/>
  <c r="L339" i="5"/>
  <c r="B339" i="5"/>
  <c r="C339" i="5" s="1"/>
  <c r="L338" i="5"/>
  <c r="B338" i="5"/>
  <c r="C338" i="5" s="1"/>
  <c r="L337" i="5"/>
  <c r="B337" i="5"/>
  <c r="C337" i="5" s="1"/>
  <c r="L336" i="5"/>
  <c r="B336" i="5"/>
  <c r="C336" i="5" s="1"/>
  <c r="L335" i="5"/>
  <c r="B335" i="5"/>
  <c r="C335" i="5" s="1"/>
  <c r="L334" i="5"/>
  <c r="B334" i="5"/>
  <c r="C334" i="5" s="1"/>
  <c r="L333" i="5"/>
  <c r="B333" i="5"/>
  <c r="C333" i="5" s="1"/>
  <c r="L332" i="5"/>
  <c r="B332" i="5"/>
  <c r="C332" i="5" s="1"/>
  <c r="L331" i="5"/>
  <c r="B331" i="5"/>
  <c r="C331" i="5" s="1"/>
  <c r="L330" i="5"/>
  <c r="B330" i="5"/>
  <c r="C330" i="5" s="1"/>
  <c r="L329" i="5"/>
  <c r="B329" i="5"/>
  <c r="C329" i="5" s="1"/>
  <c r="L328" i="5"/>
  <c r="B328" i="5"/>
  <c r="C328" i="5" s="1"/>
  <c r="L327" i="5"/>
  <c r="B327" i="5"/>
  <c r="C327" i="5" s="1"/>
  <c r="L326" i="5"/>
  <c r="B326" i="5"/>
  <c r="C326" i="5" s="1"/>
  <c r="L325" i="5"/>
  <c r="B325" i="5"/>
  <c r="C325" i="5" s="1"/>
  <c r="L324" i="5"/>
  <c r="B324" i="5"/>
  <c r="C324" i="5" s="1"/>
  <c r="L323" i="5"/>
  <c r="B323" i="5"/>
  <c r="C323" i="5" s="1"/>
  <c r="L322" i="5"/>
  <c r="B322" i="5"/>
  <c r="C322" i="5" s="1"/>
  <c r="L321" i="5"/>
  <c r="B321" i="5"/>
  <c r="C321" i="5" s="1"/>
  <c r="L320" i="5"/>
  <c r="B320" i="5"/>
  <c r="C320" i="5" s="1"/>
  <c r="L319" i="5"/>
  <c r="B319" i="5"/>
  <c r="C319" i="5" s="1"/>
  <c r="L318" i="5"/>
  <c r="B318" i="5"/>
  <c r="C318" i="5" s="1"/>
  <c r="L317" i="5"/>
  <c r="B317" i="5"/>
  <c r="C317" i="5" s="1"/>
  <c r="L316" i="5"/>
  <c r="B316" i="5"/>
  <c r="C316" i="5" s="1"/>
  <c r="L315" i="5"/>
  <c r="B315" i="5"/>
  <c r="C315" i="5" s="1"/>
  <c r="L314" i="5"/>
  <c r="B314" i="5"/>
  <c r="C314" i="5" s="1"/>
  <c r="L313" i="5"/>
  <c r="B313" i="5"/>
  <c r="C313" i="5" s="1"/>
  <c r="L312" i="5"/>
  <c r="B312" i="5"/>
  <c r="C312" i="5" s="1"/>
  <c r="L311" i="5"/>
  <c r="B311" i="5"/>
  <c r="C311" i="5" s="1"/>
  <c r="L310" i="5"/>
  <c r="B310" i="5"/>
  <c r="C310" i="5" s="1"/>
  <c r="L309" i="5"/>
  <c r="B309" i="5"/>
  <c r="C309" i="5" s="1"/>
  <c r="L308" i="5"/>
  <c r="B308" i="5"/>
  <c r="C308" i="5" s="1"/>
  <c r="L307" i="5"/>
  <c r="B307" i="5"/>
  <c r="C307" i="5" s="1"/>
  <c r="L306" i="5"/>
  <c r="B306" i="5"/>
  <c r="C306" i="5" s="1"/>
  <c r="L305" i="5"/>
  <c r="B305" i="5"/>
  <c r="C305" i="5" s="1"/>
  <c r="L304" i="5"/>
  <c r="B304" i="5"/>
  <c r="C304" i="5" s="1"/>
  <c r="L303" i="5"/>
  <c r="B303" i="5"/>
  <c r="C303" i="5" s="1"/>
  <c r="L302" i="5"/>
  <c r="B302" i="5"/>
  <c r="C302" i="5" s="1"/>
  <c r="L301" i="5"/>
  <c r="B301" i="5"/>
  <c r="C301" i="5" s="1"/>
  <c r="L300" i="5"/>
  <c r="B300" i="5"/>
  <c r="C300" i="5" s="1"/>
  <c r="L299" i="5"/>
  <c r="B299" i="5"/>
  <c r="C299" i="5" s="1"/>
  <c r="L298" i="5"/>
  <c r="B298" i="5"/>
  <c r="C298" i="5" s="1"/>
  <c r="L297" i="5"/>
  <c r="B297" i="5"/>
  <c r="C297" i="5" s="1"/>
  <c r="L296" i="5"/>
  <c r="B296" i="5"/>
  <c r="C296" i="5" s="1"/>
  <c r="L295" i="5"/>
  <c r="B295" i="5"/>
  <c r="C295" i="5" s="1"/>
  <c r="L294" i="5"/>
  <c r="B294" i="5"/>
  <c r="C294" i="5" s="1"/>
  <c r="L293" i="5"/>
  <c r="B293" i="5"/>
  <c r="C293" i="5" s="1"/>
  <c r="L292" i="5"/>
  <c r="B292" i="5"/>
  <c r="C292" i="5" s="1"/>
  <c r="L291" i="5"/>
  <c r="B291" i="5"/>
  <c r="C291" i="5" s="1"/>
  <c r="L290" i="5"/>
  <c r="B290" i="5"/>
  <c r="C290" i="5" s="1"/>
  <c r="L289" i="5"/>
  <c r="B289" i="5"/>
  <c r="C289" i="5" s="1"/>
  <c r="L288" i="5"/>
  <c r="B288" i="5"/>
  <c r="C288" i="5" s="1"/>
  <c r="L287" i="5"/>
  <c r="B287" i="5"/>
  <c r="C287" i="5" s="1"/>
  <c r="L286" i="5"/>
  <c r="B286" i="5"/>
  <c r="C286" i="5" s="1"/>
  <c r="L285" i="5"/>
  <c r="B285" i="5"/>
  <c r="C285" i="5" s="1"/>
  <c r="L284" i="5"/>
  <c r="B284" i="5"/>
  <c r="C284" i="5" s="1"/>
  <c r="L283" i="5"/>
  <c r="B283" i="5"/>
  <c r="C283" i="5" s="1"/>
  <c r="L282" i="5"/>
  <c r="B282" i="5"/>
  <c r="C282" i="5" s="1"/>
  <c r="L281" i="5"/>
  <c r="B281" i="5"/>
  <c r="C281" i="5" s="1"/>
  <c r="L280" i="5"/>
  <c r="B280" i="5"/>
  <c r="C280" i="5" s="1"/>
  <c r="L279" i="5"/>
  <c r="B279" i="5"/>
  <c r="C279" i="5" s="1"/>
  <c r="L278" i="5"/>
  <c r="B278" i="5"/>
  <c r="C278" i="5" s="1"/>
  <c r="L277" i="5"/>
  <c r="B277" i="5"/>
  <c r="C277" i="5" s="1"/>
  <c r="L276" i="5"/>
  <c r="B276" i="5"/>
  <c r="C276" i="5" s="1"/>
  <c r="L275" i="5"/>
  <c r="B275" i="5"/>
  <c r="C275" i="5" s="1"/>
  <c r="L274" i="5"/>
  <c r="B274" i="5"/>
  <c r="C274" i="5" s="1"/>
  <c r="L273" i="5"/>
  <c r="B273" i="5"/>
  <c r="C273" i="5" s="1"/>
  <c r="L272" i="5"/>
  <c r="B272" i="5"/>
  <c r="C272" i="5" s="1"/>
  <c r="L271" i="5"/>
  <c r="B271" i="5"/>
  <c r="C271" i="5" s="1"/>
  <c r="L270" i="5"/>
  <c r="B270" i="5"/>
  <c r="C270" i="5" s="1"/>
  <c r="L269" i="5"/>
  <c r="B269" i="5"/>
  <c r="C269" i="5" s="1"/>
  <c r="L268" i="5"/>
  <c r="B268" i="5"/>
  <c r="C268" i="5" s="1"/>
  <c r="L267" i="5"/>
  <c r="B267" i="5"/>
  <c r="C267" i="5" s="1"/>
  <c r="L266" i="5"/>
  <c r="B266" i="5"/>
  <c r="C266" i="5" s="1"/>
  <c r="L265" i="5"/>
  <c r="B265" i="5"/>
  <c r="C265" i="5" s="1"/>
  <c r="L264" i="5"/>
  <c r="B264" i="5"/>
  <c r="C264" i="5" s="1"/>
  <c r="L263" i="5"/>
  <c r="B263" i="5"/>
  <c r="C263" i="5" s="1"/>
  <c r="L262" i="5"/>
  <c r="B262" i="5"/>
  <c r="C262" i="5" s="1"/>
  <c r="L261" i="5"/>
  <c r="B261" i="5"/>
  <c r="C261" i="5" s="1"/>
  <c r="L260" i="5"/>
  <c r="B260" i="5"/>
  <c r="C260" i="5" s="1"/>
  <c r="L259" i="5"/>
  <c r="B259" i="5"/>
  <c r="C259" i="5" s="1"/>
  <c r="L258" i="5"/>
  <c r="B258" i="5"/>
  <c r="C258" i="5" s="1"/>
  <c r="L257" i="5"/>
  <c r="B257" i="5"/>
  <c r="C257" i="5" s="1"/>
  <c r="L256" i="5"/>
  <c r="B256" i="5"/>
  <c r="C256" i="5" s="1"/>
  <c r="L255" i="5"/>
  <c r="B255" i="5"/>
  <c r="C255" i="5" s="1"/>
  <c r="L254" i="5"/>
  <c r="B254" i="5"/>
  <c r="C254" i="5" s="1"/>
  <c r="L253" i="5"/>
  <c r="B253" i="5"/>
  <c r="C253" i="5" s="1"/>
  <c r="L252" i="5"/>
  <c r="B252" i="5"/>
  <c r="C252" i="5" s="1"/>
  <c r="L251" i="5"/>
  <c r="B251" i="5"/>
  <c r="C251" i="5" s="1"/>
  <c r="L250" i="5"/>
  <c r="B250" i="5"/>
  <c r="C250" i="5" s="1"/>
  <c r="L249" i="5"/>
  <c r="B249" i="5"/>
  <c r="C249" i="5" s="1"/>
  <c r="L248" i="5"/>
  <c r="B248" i="5"/>
  <c r="C248" i="5" s="1"/>
  <c r="L247" i="5"/>
  <c r="B247" i="5"/>
  <c r="C247" i="5" s="1"/>
  <c r="L246" i="5"/>
  <c r="B246" i="5"/>
  <c r="C246" i="5" s="1"/>
  <c r="L245" i="5"/>
  <c r="B245" i="5"/>
  <c r="C245" i="5" s="1"/>
  <c r="L244" i="5"/>
  <c r="B244" i="5"/>
  <c r="C244" i="5" s="1"/>
  <c r="L243" i="5"/>
  <c r="B243" i="5"/>
  <c r="C243" i="5" s="1"/>
  <c r="L242" i="5"/>
  <c r="B242" i="5"/>
  <c r="C242" i="5" s="1"/>
  <c r="L241" i="5"/>
  <c r="B241" i="5"/>
  <c r="C241" i="5" s="1"/>
  <c r="L240" i="5"/>
  <c r="B240" i="5"/>
  <c r="C240" i="5" s="1"/>
  <c r="L239" i="5"/>
  <c r="B239" i="5"/>
  <c r="C239" i="5" s="1"/>
  <c r="L238" i="5"/>
  <c r="B238" i="5"/>
  <c r="C238" i="5" s="1"/>
  <c r="L237" i="5"/>
  <c r="B237" i="5"/>
  <c r="C237" i="5" s="1"/>
  <c r="L236" i="5"/>
  <c r="B236" i="5"/>
  <c r="C236" i="5" s="1"/>
  <c r="L235" i="5"/>
  <c r="B235" i="5"/>
  <c r="C235" i="5" s="1"/>
  <c r="L234" i="5"/>
  <c r="B234" i="5"/>
  <c r="C234" i="5" s="1"/>
  <c r="L233" i="5"/>
  <c r="B233" i="5"/>
  <c r="C233" i="5" s="1"/>
  <c r="L232" i="5"/>
  <c r="B232" i="5"/>
  <c r="C232" i="5" s="1"/>
  <c r="L231" i="5"/>
  <c r="B231" i="5"/>
  <c r="C231" i="5" s="1"/>
  <c r="L230" i="5"/>
  <c r="B230" i="5"/>
  <c r="C230" i="5" s="1"/>
  <c r="L229" i="5"/>
  <c r="B229" i="5"/>
  <c r="C229" i="5" s="1"/>
  <c r="L228" i="5"/>
  <c r="B228" i="5"/>
  <c r="C228" i="5" s="1"/>
  <c r="L227" i="5"/>
  <c r="B227" i="5"/>
  <c r="C227" i="5" s="1"/>
  <c r="L226" i="5"/>
  <c r="B226" i="5"/>
  <c r="C226" i="5" s="1"/>
  <c r="L225" i="5"/>
  <c r="B225" i="5"/>
  <c r="C225" i="5" s="1"/>
  <c r="L224" i="5"/>
  <c r="B224" i="5"/>
  <c r="C224" i="5" s="1"/>
  <c r="L223" i="5"/>
  <c r="B223" i="5"/>
  <c r="C223" i="5" s="1"/>
  <c r="L222" i="5"/>
  <c r="B222" i="5"/>
  <c r="C222" i="5" s="1"/>
  <c r="L221" i="5"/>
  <c r="B221" i="5"/>
  <c r="C221" i="5" s="1"/>
  <c r="L220" i="5"/>
  <c r="B220" i="5"/>
  <c r="C220" i="5" s="1"/>
  <c r="L219" i="5"/>
  <c r="B219" i="5"/>
  <c r="C219" i="5" s="1"/>
  <c r="L218" i="5"/>
  <c r="B218" i="5"/>
  <c r="C218" i="5" s="1"/>
  <c r="L217" i="5"/>
  <c r="B217" i="5"/>
  <c r="C217" i="5" s="1"/>
  <c r="L216" i="5"/>
  <c r="B216" i="5"/>
  <c r="C216" i="5" s="1"/>
  <c r="L215" i="5"/>
  <c r="B215" i="5"/>
  <c r="C215" i="5" s="1"/>
  <c r="L214" i="5"/>
  <c r="B214" i="5"/>
  <c r="C214" i="5" s="1"/>
  <c r="L213" i="5"/>
  <c r="B213" i="5"/>
  <c r="C213" i="5" s="1"/>
  <c r="L212" i="5"/>
  <c r="B212" i="5"/>
  <c r="C212" i="5" s="1"/>
  <c r="L211" i="5"/>
  <c r="B211" i="5"/>
  <c r="C211" i="5" s="1"/>
  <c r="L210" i="5"/>
  <c r="B210" i="5"/>
  <c r="C210" i="5" s="1"/>
  <c r="L209" i="5"/>
  <c r="B209" i="5"/>
  <c r="C209" i="5" s="1"/>
  <c r="L208" i="5"/>
  <c r="B208" i="5"/>
  <c r="C208" i="5" s="1"/>
  <c r="L207" i="5"/>
  <c r="B207" i="5"/>
  <c r="C207" i="5" s="1"/>
  <c r="L206" i="5"/>
  <c r="B206" i="5"/>
  <c r="C206" i="5" s="1"/>
  <c r="L205" i="5"/>
  <c r="B205" i="5"/>
  <c r="C205" i="5" s="1"/>
  <c r="L204" i="5"/>
  <c r="B204" i="5"/>
  <c r="C204" i="5" s="1"/>
  <c r="L203" i="5"/>
  <c r="B203" i="5"/>
  <c r="C203" i="5" s="1"/>
  <c r="L202" i="5"/>
  <c r="B202" i="5"/>
  <c r="C202" i="5" s="1"/>
  <c r="L201" i="5"/>
  <c r="B201" i="5"/>
  <c r="C201" i="5" s="1"/>
  <c r="L200" i="5"/>
  <c r="B200" i="5"/>
  <c r="C200" i="5" s="1"/>
  <c r="L199" i="5"/>
  <c r="B199" i="5"/>
  <c r="C199" i="5" s="1"/>
  <c r="L198" i="5"/>
  <c r="B198" i="5"/>
  <c r="C198" i="5" s="1"/>
  <c r="L197" i="5"/>
  <c r="B197" i="5"/>
  <c r="C197" i="5" s="1"/>
  <c r="L196" i="5"/>
  <c r="B196" i="5"/>
  <c r="C196" i="5" s="1"/>
  <c r="L195" i="5"/>
  <c r="B195" i="5"/>
  <c r="C195" i="5" s="1"/>
  <c r="L194" i="5"/>
  <c r="B194" i="5"/>
  <c r="C194" i="5" s="1"/>
  <c r="L193" i="5"/>
  <c r="B193" i="5"/>
  <c r="C193" i="5" s="1"/>
  <c r="L192" i="5"/>
  <c r="B192" i="5"/>
  <c r="C192" i="5" s="1"/>
  <c r="L191" i="5"/>
  <c r="B191" i="5"/>
  <c r="C191" i="5" s="1"/>
  <c r="L190" i="5"/>
  <c r="B190" i="5"/>
  <c r="C190" i="5" s="1"/>
  <c r="L189" i="5"/>
  <c r="B189" i="5"/>
  <c r="C189" i="5" s="1"/>
  <c r="L188" i="5"/>
  <c r="B188" i="5"/>
  <c r="C188" i="5" s="1"/>
  <c r="L187" i="5"/>
  <c r="B187" i="5"/>
  <c r="C187" i="5" s="1"/>
  <c r="L186" i="5"/>
  <c r="B186" i="5"/>
  <c r="C186" i="5" s="1"/>
  <c r="L185" i="5"/>
  <c r="B185" i="5"/>
  <c r="C185" i="5" s="1"/>
  <c r="L184" i="5"/>
  <c r="B184" i="5"/>
  <c r="C184" i="5" s="1"/>
  <c r="L183" i="5"/>
  <c r="B183" i="5"/>
  <c r="C183" i="5" s="1"/>
  <c r="L182" i="5"/>
  <c r="B182" i="5"/>
  <c r="C182" i="5" s="1"/>
  <c r="L181" i="5"/>
  <c r="B181" i="5"/>
  <c r="C181" i="5" s="1"/>
  <c r="L180" i="5"/>
  <c r="B180" i="5"/>
  <c r="C180" i="5" s="1"/>
  <c r="L179" i="5"/>
  <c r="B179" i="5"/>
  <c r="C179" i="5" s="1"/>
  <c r="L178" i="5"/>
  <c r="B178" i="5"/>
  <c r="C178" i="5" s="1"/>
  <c r="L177" i="5"/>
  <c r="B177" i="5"/>
  <c r="C177" i="5" s="1"/>
  <c r="L176" i="5"/>
  <c r="B176" i="5"/>
  <c r="C176" i="5" s="1"/>
  <c r="L175" i="5"/>
  <c r="B175" i="5"/>
  <c r="C175" i="5" s="1"/>
  <c r="L174" i="5"/>
  <c r="B174" i="5"/>
  <c r="C174" i="5" s="1"/>
  <c r="L173" i="5"/>
  <c r="B173" i="5"/>
  <c r="C173" i="5" s="1"/>
  <c r="L172" i="5"/>
  <c r="B172" i="5"/>
  <c r="C172" i="5" s="1"/>
  <c r="L171" i="5"/>
  <c r="B171" i="5"/>
  <c r="C171" i="5" s="1"/>
  <c r="L170" i="5"/>
  <c r="B170" i="5"/>
  <c r="C170" i="5" s="1"/>
  <c r="L169" i="5"/>
  <c r="B169" i="5"/>
  <c r="C169" i="5" s="1"/>
  <c r="L168" i="5"/>
  <c r="B168" i="5"/>
  <c r="C168" i="5" s="1"/>
  <c r="L167" i="5"/>
  <c r="B167" i="5"/>
  <c r="C167" i="5" s="1"/>
  <c r="L166" i="5"/>
  <c r="B166" i="5"/>
  <c r="C166" i="5" s="1"/>
  <c r="L165" i="5"/>
  <c r="B165" i="5"/>
  <c r="C165" i="5" s="1"/>
  <c r="L164" i="5"/>
  <c r="B164" i="5"/>
  <c r="C164" i="5" s="1"/>
  <c r="L163" i="5"/>
  <c r="B163" i="5"/>
  <c r="C163" i="5" s="1"/>
  <c r="L162" i="5"/>
  <c r="B162" i="5"/>
  <c r="C162" i="5" s="1"/>
  <c r="L161" i="5"/>
  <c r="B161" i="5"/>
  <c r="C161" i="5" s="1"/>
  <c r="L160" i="5"/>
  <c r="B160" i="5"/>
  <c r="C160" i="5" s="1"/>
  <c r="L159" i="5"/>
  <c r="B159" i="5"/>
  <c r="C159" i="5" s="1"/>
  <c r="L158" i="5"/>
  <c r="B158" i="5"/>
  <c r="C158" i="5" s="1"/>
  <c r="L157" i="5"/>
  <c r="B157" i="5"/>
  <c r="C157" i="5" s="1"/>
  <c r="L156" i="5"/>
  <c r="B156" i="5"/>
  <c r="C156" i="5" s="1"/>
  <c r="L155" i="5"/>
  <c r="B155" i="5"/>
  <c r="C155" i="5" s="1"/>
  <c r="L154" i="5"/>
  <c r="B154" i="5"/>
  <c r="C154" i="5" s="1"/>
  <c r="L153" i="5"/>
  <c r="B153" i="5"/>
  <c r="C153" i="5" s="1"/>
  <c r="L152" i="5"/>
  <c r="B152" i="5"/>
  <c r="C152" i="5" s="1"/>
  <c r="L151" i="5"/>
  <c r="B151" i="5"/>
  <c r="C151" i="5" s="1"/>
  <c r="L150" i="5"/>
  <c r="B150" i="5"/>
  <c r="C150" i="5" s="1"/>
  <c r="L149" i="5"/>
  <c r="B149" i="5"/>
  <c r="C149" i="5" s="1"/>
  <c r="L148" i="5"/>
  <c r="B148" i="5"/>
  <c r="C148" i="5" s="1"/>
  <c r="L147" i="5"/>
  <c r="B147" i="5"/>
  <c r="C147" i="5" s="1"/>
  <c r="L146" i="5"/>
  <c r="B146" i="5"/>
  <c r="C146" i="5" s="1"/>
  <c r="L145" i="5"/>
  <c r="B145" i="5"/>
  <c r="C145" i="5" s="1"/>
  <c r="L144" i="5"/>
  <c r="B144" i="5"/>
  <c r="C144" i="5" s="1"/>
  <c r="L143" i="5"/>
  <c r="B143" i="5"/>
  <c r="C143" i="5" s="1"/>
  <c r="L142" i="5"/>
  <c r="B142" i="5"/>
  <c r="C142" i="5" s="1"/>
  <c r="L141" i="5"/>
  <c r="B141" i="5"/>
  <c r="C141" i="5" s="1"/>
  <c r="L140" i="5"/>
  <c r="B140" i="5"/>
  <c r="C140" i="5" s="1"/>
  <c r="L139" i="5"/>
  <c r="B139" i="5"/>
  <c r="C139" i="5" s="1"/>
  <c r="L138" i="5"/>
  <c r="B138" i="5"/>
  <c r="C138" i="5" s="1"/>
  <c r="L137" i="5"/>
  <c r="B137" i="5"/>
  <c r="C137" i="5" s="1"/>
  <c r="L136" i="5"/>
  <c r="B136" i="5"/>
  <c r="C136" i="5" s="1"/>
  <c r="L135" i="5"/>
  <c r="B135" i="5"/>
  <c r="C135" i="5" s="1"/>
  <c r="L134" i="5"/>
  <c r="B134" i="5"/>
  <c r="C134" i="5" s="1"/>
  <c r="L133" i="5"/>
  <c r="B133" i="5"/>
  <c r="C133" i="5" s="1"/>
  <c r="L132" i="5"/>
  <c r="B132" i="5"/>
  <c r="C132" i="5" s="1"/>
  <c r="L131" i="5"/>
  <c r="B131" i="5"/>
  <c r="C131" i="5" s="1"/>
  <c r="L130" i="5"/>
  <c r="B130" i="5"/>
  <c r="C130" i="5" s="1"/>
  <c r="L129" i="5"/>
  <c r="B129" i="5"/>
  <c r="C129" i="5" s="1"/>
  <c r="L128" i="5"/>
  <c r="B128" i="5"/>
  <c r="C128" i="5" s="1"/>
  <c r="L127" i="5"/>
  <c r="B127" i="5"/>
  <c r="C127" i="5" s="1"/>
  <c r="L126" i="5"/>
  <c r="B126" i="5"/>
  <c r="C126" i="5" s="1"/>
  <c r="L125" i="5"/>
  <c r="B125" i="5"/>
  <c r="C125" i="5" s="1"/>
  <c r="L124" i="5"/>
  <c r="B124" i="5"/>
  <c r="C124" i="5" s="1"/>
  <c r="L123" i="5"/>
  <c r="B123" i="5"/>
  <c r="C123" i="5" s="1"/>
  <c r="L122" i="5"/>
  <c r="B122" i="5"/>
  <c r="C122" i="5" s="1"/>
  <c r="L121" i="5"/>
  <c r="B121" i="5"/>
  <c r="C121" i="5" s="1"/>
  <c r="L120" i="5"/>
  <c r="B120" i="5"/>
  <c r="C120" i="5" s="1"/>
  <c r="L119" i="5"/>
  <c r="B119" i="5"/>
  <c r="C119" i="5" s="1"/>
  <c r="L118" i="5"/>
  <c r="B118" i="5"/>
  <c r="C118" i="5" s="1"/>
  <c r="L117" i="5"/>
  <c r="B117" i="5"/>
  <c r="C117" i="5" s="1"/>
  <c r="L116" i="5"/>
  <c r="B116" i="5"/>
  <c r="C116" i="5" s="1"/>
  <c r="L115" i="5"/>
  <c r="B115" i="5"/>
  <c r="C115" i="5" s="1"/>
  <c r="L114" i="5"/>
  <c r="B114" i="5"/>
  <c r="C114" i="5" s="1"/>
  <c r="L113" i="5"/>
  <c r="B113" i="5"/>
  <c r="C113" i="5" s="1"/>
  <c r="L112" i="5"/>
  <c r="B112" i="5"/>
  <c r="C112" i="5" s="1"/>
  <c r="L111" i="5"/>
  <c r="B111" i="5"/>
  <c r="C111" i="5" s="1"/>
  <c r="L110" i="5"/>
  <c r="B110" i="5"/>
  <c r="C110" i="5" s="1"/>
  <c r="L109" i="5"/>
  <c r="B109" i="5"/>
  <c r="C109" i="5" s="1"/>
  <c r="L108" i="5"/>
  <c r="B108" i="5"/>
  <c r="C108" i="5" s="1"/>
  <c r="L107" i="5"/>
  <c r="B107" i="5"/>
  <c r="C107" i="5" s="1"/>
  <c r="L106" i="5"/>
  <c r="B106" i="5"/>
  <c r="C106" i="5" s="1"/>
  <c r="L105" i="5"/>
  <c r="B105" i="5"/>
  <c r="C105" i="5" s="1"/>
  <c r="L104" i="5"/>
  <c r="B104" i="5"/>
  <c r="C104" i="5" s="1"/>
  <c r="L103" i="5"/>
  <c r="B103" i="5"/>
  <c r="C103" i="5" s="1"/>
  <c r="L102" i="5"/>
  <c r="B102" i="5"/>
  <c r="C102" i="5" s="1"/>
  <c r="L101" i="5"/>
  <c r="B101" i="5"/>
  <c r="C101" i="5" s="1"/>
  <c r="L100" i="5"/>
  <c r="B100" i="5"/>
  <c r="C100" i="5" s="1"/>
  <c r="L99" i="5"/>
  <c r="B99" i="5"/>
  <c r="C99" i="5" s="1"/>
  <c r="L98" i="5"/>
  <c r="B98" i="5"/>
  <c r="C98" i="5" s="1"/>
  <c r="L97" i="5"/>
  <c r="B97" i="5"/>
  <c r="C97" i="5" s="1"/>
  <c r="L96" i="5"/>
  <c r="B96" i="5"/>
  <c r="C96" i="5" s="1"/>
  <c r="L95" i="5"/>
  <c r="B95" i="5"/>
  <c r="C95" i="5" s="1"/>
  <c r="L94" i="5"/>
  <c r="B94" i="5"/>
  <c r="C94" i="5" s="1"/>
  <c r="L93" i="5"/>
  <c r="B93" i="5"/>
  <c r="C93" i="5" s="1"/>
  <c r="L92" i="5"/>
  <c r="B92" i="5"/>
  <c r="C92" i="5" s="1"/>
  <c r="L91" i="5"/>
  <c r="B91" i="5"/>
  <c r="C91" i="5" s="1"/>
  <c r="L90" i="5"/>
  <c r="B90" i="5"/>
  <c r="C90" i="5" s="1"/>
  <c r="L89" i="5"/>
  <c r="B89" i="5"/>
  <c r="C89" i="5" s="1"/>
  <c r="L88" i="5"/>
  <c r="B88" i="5"/>
  <c r="C88" i="5" s="1"/>
  <c r="B87" i="5"/>
  <c r="C87" i="5" s="1"/>
  <c r="L86" i="5"/>
  <c r="B86" i="5"/>
  <c r="C86" i="5" s="1"/>
  <c r="L85" i="5"/>
  <c r="B85" i="5"/>
  <c r="C85" i="5" s="1"/>
  <c r="L84" i="5"/>
  <c r="B84" i="5"/>
  <c r="C84" i="5" s="1"/>
  <c r="L82" i="5"/>
  <c r="B82" i="5"/>
  <c r="C82" i="5" s="1"/>
  <c r="L81" i="5"/>
  <c r="B81" i="5"/>
  <c r="C81" i="5" s="1"/>
  <c r="L80" i="5"/>
  <c r="B80" i="5"/>
  <c r="C80" i="5" s="1"/>
  <c r="L79" i="5"/>
  <c r="B79" i="5"/>
  <c r="C79" i="5" s="1"/>
  <c r="L77" i="5"/>
  <c r="B77" i="5"/>
  <c r="C77" i="5" s="1"/>
  <c r="L76" i="5"/>
  <c r="B76" i="5"/>
  <c r="C76" i="5" s="1"/>
  <c r="L75" i="5"/>
  <c r="B75" i="5"/>
  <c r="C75" i="5" s="1"/>
  <c r="L74" i="5"/>
  <c r="B74" i="5"/>
  <c r="C74" i="5" s="1"/>
  <c r="L73" i="5"/>
  <c r="B73" i="5"/>
  <c r="C73" i="5" s="1"/>
  <c r="L72" i="5"/>
  <c r="B72" i="5"/>
  <c r="C72" i="5" s="1"/>
  <c r="L71" i="5"/>
  <c r="B71" i="5"/>
  <c r="C71" i="5" s="1"/>
  <c r="L70" i="5"/>
  <c r="B70" i="5"/>
  <c r="C70" i="5" s="1"/>
  <c r="L69" i="5"/>
  <c r="B69" i="5"/>
  <c r="C69" i="5" s="1"/>
  <c r="L68" i="5"/>
  <c r="B68" i="5"/>
  <c r="C68" i="5" s="1"/>
  <c r="L67" i="5"/>
  <c r="B67" i="5"/>
  <c r="C67" i="5" s="1"/>
  <c r="L66" i="5"/>
  <c r="B66" i="5"/>
  <c r="C66" i="5" s="1"/>
  <c r="L65" i="5"/>
  <c r="B65" i="5"/>
  <c r="C65" i="5" s="1"/>
  <c r="L64" i="5"/>
  <c r="B64" i="5"/>
  <c r="C64" i="5" s="1"/>
  <c r="L63" i="5"/>
  <c r="B63" i="5"/>
  <c r="C63" i="5" s="1"/>
  <c r="L62" i="5"/>
  <c r="B62" i="5"/>
  <c r="C62" i="5" s="1"/>
  <c r="L61" i="5"/>
  <c r="B61" i="5"/>
  <c r="C61" i="5" s="1"/>
  <c r="L60" i="5"/>
  <c r="B60" i="5"/>
  <c r="C60" i="5" s="1"/>
  <c r="L59" i="5"/>
  <c r="B59" i="5"/>
  <c r="C59" i="5" s="1"/>
  <c r="L58" i="5"/>
  <c r="B58" i="5"/>
  <c r="C58" i="5" s="1"/>
  <c r="L57" i="5"/>
  <c r="B57" i="5"/>
  <c r="C57" i="5" s="1"/>
  <c r="L56" i="5"/>
  <c r="B56" i="5"/>
  <c r="C56" i="5" s="1"/>
  <c r="L55" i="5"/>
  <c r="B55" i="5"/>
  <c r="C55" i="5" s="1"/>
  <c r="L54" i="5"/>
  <c r="B54" i="5"/>
  <c r="C54" i="5" s="1"/>
  <c r="L53" i="5"/>
  <c r="B53" i="5"/>
  <c r="C53" i="5" s="1"/>
  <c r="L52" i="5"/>
  <c r="B52" i="5"/>
  <c r="C52" i="5" s="1"/>
  <c r="L51" i="5"/>
  <c r="B51" i="5"/>
  <c r="C51" i="5" s="1"/>
  <c r="L50" i="5"/>
  <c r="B50" i="5"/>
  <c r="C50" i="5" s="1"/>
  <c r="L49" i="5"/>
  <c r="B49" i="5"/>
  <c r="C49" i="5" s="1"/>
  <c r="L48" i="5"/>
  <c r="B48" i="5"/>
  <c r="C48" i="5" s="1"/>
  <c r="L47" i="5"/>
  <c r="B47" i="5"/>
  <c r="C47" i="5" s="1"/>
  <c r="L46" i="5"/>
  <c r="B46" i="5"/>
  <c r="C46" i="5" s="1"/>
  <c r="L45" i="5"/>
  <c r="B45" i="5"/>
  <c r="C45" i="5" s="1"/>
  <c r="L44" i="5"/>
  <c r="B44" i="5"/>
  <c r="C44" i="5" s="1"/>
  <c r="L43" i="5"/>
  <c r="B43" i="5"/>
  <c r="C43" i="5" s="1"/>
  <c r="L42" i="5"/>
  <c r="B42" i="5"/>
  <c r="C42" i="5" s="1"/>
  <c r="L41" i="5"/>
  <c r="B41" i="5"/>
  <c r="C41" i="5" s="1"/>
  <c r="L40" i="5"/>
  <c r="B40" i="5"/>
  <c r="C40" i="5" s="1"/>
  <c r="L39" i="5"/>
  <c r="B39" i="5"/>
  <c r="C39" i="5" s="1"/>
  <c r="L38" i="5"/>
  <c r="B38" i="5"/>
  <c r="C38" i="5" s="1"/>
  <c r="L37" i="5"/>
  <c r="B37" i="5"/>
  <c r="C37" i="5" s="1"/>
  <c r="L36" i="5"/>
  <c r="B36" i="5"/>
  <c r="C36" i="5" s="1"/>
  <c r="L35" i="5"/>
  <c r="B35" i="5"/>
  <c r="C35" i="5" s="1"/>
  <c r="L34" i="5"/>
  <c r="B34" i="5"/>
  <c r="C34" i="5" s="1"/>
  <c r="L33" i="5"/>
  <c r="B33" i="5"/>
  <c r="C33" i="5" s="1"/>
  <c r="L32" i="5"/>
  <c r="B32" i="5"/>
  <c r="C32" i="5" s="1"/>
  <c r="L31" i="5"/>
  <c r="B31" i="5"/>
  <c r="C31" i="5" s="1"/>
  <c r="L29" i="5"/>
  <c r="B29" i="5"/>
  <c r="C29" i="5" s="1"/>
  <c r="L28" i="5"/>
  <c r="B28" i="5"/>
  <c r="C28" i="5" s="1"/>
  <c r="L27" i="5"/>
  <c r="B27" i="5"/>
  <c r="C27" i="5" s="1"/>
  <c r="L26" i="5"/>
  <c r="B26" i="5"/>
  <c r="C26" i="5" s="1"/>
  <c r="L25" i="5"/>
  <c r="B25" i="5"/>
  <c r="C25" i="5" s="1"/>
  <c r="L24" i="5"/>
  <c r="B24" i="5"/>
  <c r="C24" i="5" s="1"/>
  <c r="L23" i="5"/>
  <c r="B23" i="5"/>
  <c r="C23" i="5" s="1"/>
  <c r="L22" i="5"/>
  <c r="B22" i="5"/>
  <c r="C22" i="5" s="1"/>
  <c r="L21" i="5"/>
  <c r="B21" i="5"/>
  <c r="C21" i="5" s="1"/>
  <c r="L20" i="5"/>
  <c r="B20" i="5"/>
  <c r="C20" i="5" s="1"/>
  <c r="L19" i="5"/>
  <c r="B19" i="5"/>
  <c r="C19" i="5" s="1"/>
  <c r="L18" i="5"/>
  <c r="B18" i="5"/>
  <c r="C18" i="5" s="1"/>
  <c r="L17" i="5"/>
  <c r="B17" i="5"/>
  <c r="C17" i="5" s="1"/>
  <c r="L16" i="5"/>
  <c r="B16" i="5"/>
  <c r="C16" i="5" s="1"/>
  <c r="L15" i="5"/>
  <c r="B15" i="5"/>
  <c r="C15" i="5" s="1"/>
  <c r="L14" i="5"/>
  <c r="B14" i="5"/>
  <c r="C14" i="5" s="1"/>
  <c r="L13" i="5"/>
  <c r="B13" i="5"/>
  <c r="C13" i="5" s="1"/>
  <c r="L12" i="5"/>
  <c r="B12" i="5"/>
  <c r="C12" i="5" s="1"/>
  <c r="L11" i="5"/>
  <c r="B11" i="5"/>
  <c r="C11" i="5" s="1"/>
  <c r="L10" i="5"/>
  <c r="B10" i="5"/>
  <c r="C10" i="5" s="1"/>
  <c r="L9" i="5"/>
  <c r="B9" i="5"/>
  <c r="D6" i="5"/>
  <c r="D5" i="5"/>
  <c r="D4" i="5"/>
  <c r="D3" i="5"/>
  <c r="L987" i="4"/>
  <c r="B987" i="4"/>
  <c r="C987" i="4" s="1"/>
  <c r="L986" i="4"/>
  <c r="B986" i="4"/>
  <c r="C986" i="4" s="1"/>
  <c r="L985" i="4"/>
  <c r="B985" i="4"/>
  <c r="C985" i="4" s="1"/>
  <c r="L984" i="4"/>
  <c r="B984" i="4"/>
  <c r="C984" i="4" s="1"/>
  <c r="L983" i="4"/>
  <c r="B983" i="4"/>
  <c r="C983" i="4" s="1"/>
  <c r="L982" i="4"/>
  <c r="B982" i="4"/>
  <c r="C982" i="4" s="1"/>
  <c r="L981" i="4"/>
  <c r="B981" i="4"/>
  <c r="C981" i="4" s="1"/>
  <c r="L980" i="4"/>
  <c r="B980" i="4"/>
  <c r="C980" i="4" s="1"/>
  <c r="L979" i="4"/>
  <c r="B979" i="4"/>
  <c r="C979" i="4" s="1"/>
  <c r="L978" i="4"/>
  <c r="B978" i="4"/>
  <c r="C978" i="4" s="1"/>
  <c r="L977" i="4"/>
  <c r="B977" i="4"/>
  <c r="C977" i="4" s="1"/>
  <c r="L976" i="4"/>
  <c r="B976" i="4"/>
  <c r="C976" i="4" s="1"/>
  <c r="L975" i="4"/>
  <c r="B975" i="4"/>
  <c r="C975" i="4" s="1"/>
  <c r="L974" i="4"/>
  <c r="B974" i="4"/>
  <c r="C974" i="4" s="1"/>
  <c r="L973" i="4"/>
  <c r="B973" i="4"/>
  <c r="C973" i="4" s="1"/>
  <c r="L972" i="4"/>
  <c r="B972" i="4"/>
  <c r="C972" i="4" s="1"/>
  <c r="L971" i="4"/>
  <c r="B971" i="4"/>
  <c r="C971" i="4" s="1"/>
  <c r="L970" i="4"/>
  <c r="B970" i="4"/>
  <c r="C970" i="4" s="1"/>
  <c r="L969" i="4"/>
  <c r="B969" i="4"/>
  <c r="C969" i="4" s="1"/>
  <c r="L968" i="4"/>
  <c r="B968" i="4"/>
  <c r="C968" i="4" s="1"/>
  <c r="L967" i="4"/>
  <c r="B967" i="4"/>
  <c r="C967" i="4" s="1"/>
  <c r="L966" i="4"/>
  <c r="B966" i="4"/>
  <c r="C966" i="4" s="1"/>
  <c r="L965" i="4"/>
  <c r="B965" i="4"/>
  <c r="C965" i="4" s="1"/>
  <c r="L964" i="4"/>
  <c r="B964" i="4"/>
  <c r="C964" i="4" s="1"/>
  <c r="L963" i="4"/>
  <c r="B963" i="4"/>
  <c r="C963" i="4" s="1"/>
  <c r="L962" i="4"/>
  <c r="B962" i="4"/>
  <c r="C962" i="4" s="1"/>
  <c r="L961" i="4"/>
  <c r="B961" i="4"/>
  <c r="C961" i="4" s="1"/>
  <c r="L960" i="4"/>
  <c r="B960" i="4"/>
  <c r="C960" i="4" s="1"/>
  <c r="L959" i="4"/>
  <c r="B959" i="4"/>
  <c r="C959" i="4" s="1"/>
  <c r="L958" i="4"/>
  <c r="B958" i="4"/>
  <c r="C958" i="4" s="1"/>
  <c r="L957" i="4"/>
  <c r="B957" i="4"/>
  <c r="C957" i="4" s="1"/>
  <c r="L956" i="4"/>
  <c r="B956" i="4"/>
  <c r="C956" i="4" s="1"/>
  <c r="L955" i="4"/>
  <c r="B955" i="4"/>
  <c r="C955" i="4" s="1"/>
  <c r="L954" i="4"/>
  <c r="B954" i="4"/>
  <c r="C954" i="4" s="1"/>
  <c r="L953" i="4"/>
  <c r="B953" i="4"/>
  <c r="C953" i="4" s="1"/>
  <c r="L952" i="4"/>
  <c r="B952" i="4"/>
  <c r="C952" i="4" s="1"/>
  <c r="L951" i="4"/>
  <c r="B951" i="4"/>
  <c r="C951" i="4" s="1"/>
  <c r="L950" i="4"/>
  <c r="B950" i="4"/>
  <c r="C950" i="4" s="1"/>
  <c r="L949" i="4"/>
  <c r="B949" i="4"/>
  <c r="C949" i="4" s="1"/>
  <c r="L948" i="4"/>
  <c r="B948" i="4"/>
  <c r="C948" i="4" s="1"/>
  <c r="L947" i="4"/>
  <c r="B947" i="4"/>
  <c r="C947" i="4" s="1"/>
  <c r="L946" i="4"/>
  <c r="B946" i="4"/>
  <c r="C946" i="4" s="1"/>
  <c r="L945" i="4"/>
  <c r="B945" i="4"/>
  <c r="C945" i="4" s="1"/>
  <c r="L944" i="4"/>
  <c r="B944" i="4"/>
  <c r="C944" i="4" s="1"/>
  <c r="L943" i="4"/>
  <c r="B943" i="4"/>
  <c r="C943" i="4" s="1"/>
  <c r="L942" i="4"/>
  <c r="B942" i="4"/>
  <c r="C942" i="4" s="1"/>
  <c r="L941" i="4"/>
  <c r="B941" i="4"/>
  <c r="C941" i="4" s="1"/>
  <c r="L940" i="4"/>
  <c r="B940" i="4"/>
  <c r="C940" i="4" s="1"/>
  <c r="L939" i="4"/>
  <c r="B939" i="4"/>
  <c r="C939" i="4" s="1"/>
  <c r="L938" i="4"/>
  <c r="B938" i="4"/>
  <c r="C938" i="4" s="1"/>
  <c r="L937" i="4"/>
  <c r="B937" i="4"/>
  <c r="C937" i="4" s="1"/>
  <c r="L936" i="4"/>
  <c r="B936" i="4"/>
  <c r="C936" i="4" s="1"/>
  <c r="L935" i="4"/>
  <c r="B935" i="4"/>
  <c r="C935" i="4" s="1"/>
  <c r="L934" i="4"/>
  <c r="B934" i="4"/>
  <c r="C934" i="4" s="1"/>
  <c r="L933" i="4"/>
  <c r="B933" i="4"/>
  <c r="C933" i="4" s="1"/>
  <c r="L932" i="4"/>
  <c r="B932" i="4"/>
  <c r="C932" i="4" s="1"/>
  <c r="L931" i="4"/>
  <c r="B931" i="4"/>
  <c r="C931" i="4" s="1"/>
  <c r="L930" i="4"/>
  <c r="B930" i="4"/>
  <c r="C930" i="4" s="1"/>
  <c r="L929" i="4"/>
  <c r="B929" i="4"/>
  <c r="C929" i="4" s="1"/>
  <c r="L928" i="4"/>
  <c r="B928" i="4"/>
  <c r="C928" i="4" s="1"/>
  <c r="L927" i="4"/>
  <c r="B927" i="4"/>
  <c r="C927" i="4" s="1"/>
  <c r="L926" i="4"/>
  <c r="B926" i="4"/>
  <c r="C926" i="4" s="1"/>
  <c r="L925" i="4"/>
  <c r="B925" i="4"/>
  <c r="C925" i="4" s="1"/>
  <c r="L924" i="4"/>
  <c r="B924" i="4"/>
  <c r="C924" i="4" s="1"/>
  <c r="L923" i="4"/>
  <c r="B923" i="4"/>
  <c r="C923" i="4" s="1"/>
  <c r="L922" i="4"/>
  <c r="B922" i="4"/>
  <c r="C922" i="4" s="1"/>
  <c r="L921" i="4"/>
  <c r="B921" i="4"/>
  <c r="C921" i="4" s="1"/>
  <c r="L920" i="4"/>
  <c r="B920" i="4"/>
  <c r="C920" i="4" s="1"/>
  <c r="L919" i="4"/>
  <c r="B919" i="4"/>
  <c r="C919" i="4" s="1"/>
  <c r="L918" i="4"/>
  <c r="B918" i="4"/>
  <c r="C918" i="4" s="1"/>
  <c r="L917" i="4"/>
  <c r="B917" i="4"/>
  <c r="C917" i="4" s="1"/>
  <c r="L916" i="4"/>
  <c r="B916" i="4"/>
  <c r="C916" i="4" s="1"/>
  <c r="L915" i="4"/>
  <c r="B915" i="4"/>
  <c r="C915" i="4" s="1"/>
  <c r="L914" i="4"/>
  <c r="B914" i="4"/>
  <c r="C914" i="4" s="1"/>
  <c r="L913" i="4"/>
  <c r="B913" i="4"/>
  <c r="C913" i="4" s="1"/>
  <c r="L912" i="4"/>
  <c r="B912" i="4"/>
  <c r="C912" i="4" s="1"/>
  <c r="L911" i="4"/>
  <c r="B911" i="4"/>
  <c r="C911" i="4" s="1"/>
  <c r="L910" i="4"/>
  <c r="B910" i="4"/>
  <c r="C910" i="4" s="1"/>
  <c r="L909" i="4"/>
  <c r="B909" i="4"/>
  <c r="C909" i="4" s="1"/>
  <c r="L908" i="4"/>
  <c r="B908" i="4"/>
  <c r="C908" i="4" s="1"/>
  <c r="L907" i="4"/>
  <c r="B907" i="4"/>
  <c r="C907" i="4" s="1"/>
  <c r="L906" i="4"/>
  <c r="B906" i="4"/>
  <c r="C906" i="4" s="1"/>
  <c r="L905" i="4"/>
  <c r="B905" i="4"/>
  <c r="C905" i="4" s="1"/>
  <c r="L904" i="4"/>
  <c r="B904" i="4"/>
  <c r="C904" i="4" s="1"/>
  <c r="L903" i="4"/>
  <c r="B903" i="4"/>
  <c r="C903" i="4" s="1"/>
  <c r="L902" i="4"/>
  <c r="B902" i="4"/>
  <c r="C902" i="4" s="1"/>
  <c r="L901" i="4"/>
  <c r="B901" i="4"/>
  <c r="C901" i="4" s="1"/>
  <c r="L900" i="4"/>
  <c r="B900" i="4"/>
  <c r="C900" i="4" s="1"/>
  <c r="L899" i="4"/>
  <c r="B899" i="4"/>
  <c r="C899" i="4" s="1"/>
  <c r="L898" i="4"/>
  <c r="B898" i="4"/>
  <c r="C898" i="4" s="1"/>
  <c r="L897" i="4"/>
  <c r="B897" i="4"/>
  <c r="C897" i="4" s="1"/>
  <c r="L896" i="4"/>
  <c r="B896" i="4"/>
  <c r="C896" i="4" s="1"/>
  <c r="L895" i="4"/>
  <c r="B895" i="4"/>
  <c r="C895" i="4" s="1"/>
  <c r="L894" i="4"/>
  <c r="B894" i="4"/>
  <c r="C894" i="4" s="1"/>
  <c r="L893" i="4"/>
  <c r="B893" i="4"/>
  <c r="C893" i="4" s="1"/>
  <c r="L892" i="4"/>
  <c r="B892" i="4"/>
  <c r="C892" i="4" s="1"/>
  <c r="L891" i="4"/>
  <c r="B891" i="4"/>
  <c r="C891" i="4" s="1"/>
  <c r="L890" i="4"/>
  <c r="B890" i="4"/>
  <c r="C890" i="4" s="1"/>
  <c r="L889" i="4"/>
  <c r="B889" i="4"/>
  <c r="C889" i="4" s="1"/>
  <c r="L888" i="4"/>
  <c r="B888" i="4"/>
  <c r="C888" i="4" s="1"/>
  <c r="L887" i="4"/>
  <c r="B887" i="4"/>
  <c r="C887" i="4" s="1"/>
  <c r="L886" i="4"/>
  <c r="B886" i="4"/>
  <c r="C886" i="4" s="1"/>
  <c r="L885" i="4"/>
  <c r="B885" i="4"/>
  <c r="C885" i="4" s="1"/>
  <c r="L884" i="4"/>
  <c r="B884" i="4"/>
  <c r="C884" i="4" s="1"/>
  <c r="L883" i="4"/>
  <c r="B883" i="4"/>
  <c r="C883" i="4" s="1"/>
  <c r="L882" i="4"/>
  <c r="B882" i="4"/>
  <c r="C882" i="4" s="1"/>
  <c r="L881" i="4"/>
  <c r="B881" i="4"/>
  <c r="C881" i="4" s="1"/>
  <c r="L880" i="4"/>
  <c r="B880" i="4"/>
  <c r="C880" i="4" s="1"/>
  <c r="L879" i="4"/>
  <c r="B879" i="4"/>
  <c r="C879" i="4" s="1"/>
  <c r="L878" i="4"/>
  <c r="B878" i="4"/>
  <c r="C878" i="4" s="1"/>
  <c r="L877" i="4"/>
  <c r="B877" i="4"/>
  <c r="C877" i="4" s="1"/>
  <c r="L876" i="4"/>
  <c r="B876" i="4"/>
  <c r="C876" i="4" s="1"/>
  <c r="L875" i="4"/>
  <c r="B875" i="4"/>
  <c r="C875" i="4" s="1"/>
  <c r="L874" i="4"/>
  <c r="B874" i="4"/>
  <c r="C874" i="4" s="1"/>
  <c r="L873" i="4"/>
  <c r="B873" i="4"/>
  <c r="C873" i="4" s="1"/>
  <c r="L872" i="4"/>
  <c r="B872" i="4"/>
  <c r="C872" i="4" s="1"/>
  <c r="L871" i="4"/>
  <c r="B871" i="4"/>
  <c r="C871" i="4" s="1"/>
  <c r="L870" i="4"/>
  <c r="B870" i="4"/>
  <c r="C870" i="4" s="1"/>
  <c r="L869" i="4"/>
  <c r="B869" i="4"/>
  <c r="C869" i="4" s="1"/>
  <c r="L868" i="4"/>
  <c r="B868" i="4"/>
  <c r="C868" i="4" s="1"/>
  <c r="L867" i="4"/>
  <c r="B867" i="4"/>
  <c r="C867" i="4" s="1"/>
  <c r="L866" i="4"/>
  <c r="B866" i="4"/>
  <c r="C866" i="4" s="1"/>
  <c r="L865" i="4"/>
  <c r="B865" i="4"/>
  <c r="C865" i="4" s="1"/>
  <c r="L864" i="4"/>
  <c r="B864" i="4"/>
  <c r="C864" i="4" s="1"/>
  <c r="L863" i="4"/>
  <c r="B863" i="4"/>
  <c r="C863" i="4" s="1"/>
  <c r="L862" i="4"/>
  <c r="B862" i="4"/>
  <c r="C862" i="4" s="1"/>
  <c r="L861" i="4"/>
  <c r="B861" i="4"/>
  <c r="C861" i="4" s="1"/>
  <c r="L860" i="4"/>
  <c r="B860" i="4"/>
  <c r="C860" i="4" s="1"/>
  <c r="L859" i="4"/>
  <c r="B859" i="4"/>
  <c r="C859" i="4" s="1"/>
  <c r="L858" i="4"/>
  <c r="B858" i="4"/>
  <c r="C858" i="4" s="1"/>
  <c r="L857" i="4"/>
  <c r="B857" i="4"/>
  <c r="C857" i="4" s="1"/>
  <c r="L856" i="4"/>
  <c r="B856" i="4"/>
  <c r="C856" i="4" s="1"/>
  <c r="L855" i="4"/>
  <c r="B855" i="4"/>
  <c r="C855" i="4" s="1"/>
  <c r="L854" i="4"/>
  <c r="B854" i="4"/>
  <c r="C854" i="4" s="1"/>
  <c r="L853" i="4"/>
  <c r="B853" i="4"/>
  <c r="C853" i="4" s="1"/>
  <c r="L852" i="4"/>
  <c r="B852" i="4"/>
  <c r="C852" i="4" s="1"/>
  <c r="L851" i="4"/>
  <c r="B851" i="4"/>
  <c r="C851" i="4" s="1"/>
  <c r="L850" i="4"/>
  <c r="B850" i="4"/>
  <c r="C850" i="4" s="1"/>
  <c r="L849" i="4"/>
  <c r="B849" i="4"/>
  <c r="C849" i="4" s="1"/>
  <c r="L848" i="4"/>
  <c r="B848" i="4"/>
  <c r="C848" i="4" s="1"/>
  <c r="L847" i="4"/>
  <c r="B847" i="4"/>
  <c r="C847" i="4" s="1"/>
  <c r="L846" i="4"/>
  <c r="B846" i="4"/>
  <c r="C846" i="4" s="1"/>
  <c r="L845" i="4"/>
  <c r="B845" i="4"/>
  <c r="C845" i="4" s="1"/>
  <c r="L844" i="4"/>
  <c r="B844" i="4"/>
  <c r="C844" i="4" s="1"/>
  <c r="L843" i="4"/>
  <c r="B843" i="4"/>
  <c r="C843" i="4" s="1"/>
  <c r="L842" i="4"/>
  <c r="B842" i="4"/>
  <c r="C842" i="4" s="1"/>
  <c r="L841" i="4"/>
  <c r="B841" i="4"/>
  <c r="C841" i="4" s="1"/>
  <c r="L840" i="4"/>
  <c r="B840" i="4"/>
  <c r="C840" i="4" s="1"/>
  <c r="L839" i="4"/>
  <c r="B839" i="4"/>
  <c r="C839" i="4" s="1"/>
  <c r="L838" i="4"/>
  <c r="B838" i="4"/>
  <c r="C838" i="4" s="1"/>
  <c r="L837" i="4"/>
  <c r="B837" i="4"/>
  <c r="C837" i="4" s="1"/>
  <c r="L836" i="4"/>
  <c r="B836" i="4"/>
  <c r="C836" i="4" s="1"/>
  <c r="L835" i="4"/>
  <c r="B835" i="4"/>
  <c r="C835" i="4" s="1"/>
  <c r="L834" i="4"/>
  <c r="B834" i="4"/>
  <c r="C834" i="4" s="1"/>
  <c r="L833" i="4"/>
  <c r="B833" i="4"/>
  <c r="C833" i="4" s="1"/>
  <c r="L832" i="4"/>
  <c r="B832" i="4"/>
  <c r="C832" i="4" s="1"/>
  <c r="L831" i="4"/>
  <c r="B831" i="4"/>
  <c r="C831" i="4" s="1"/>
  <c r="L830" i="4"/>
  <c r="B830" i="4"/>
  <c r="C830" i="4" s="1"/>
  <c r="L829" i="4"/>
  <c r="B829" i="4"/>
  <c r="C829" i="4" s="1"/>
  <c r="L828" i="4"/>
  <c r="B828" i="4"/>
  <c r="C828" i="4" s="1"/>
  <c r="L827" i="4"/>
  <c r="B827" i="4"/>
  <c r="C827" i="4" s="1"/>
  <c r="L826" i="4"/>
  <c r="B826" i="4"/>
  <c r="C826" i="4" s="1"/>
  <c r="L825" i="4"/>
  <c r="B825" i="4"/>
  <c r="C825" i="4" s="1"/>
  <c r="L824" i="4"/>
  <c r="B824" i="4"/>
  <c r="C824" i="4" s="1"/>
  <c r="L823" i="4"/>
  <c r="B823" i="4"/>
  <c r="C823" i="4" s="1"/>
  <c r="L822" i="4"/>
  <c r="B822" i="4"/>
  <c r="C822" i="4" s="1"/>
  <c r="L821" i="4"/>
  <c r="B821" i="4"/>
  <c r="C821" i="4" s="1"/>
  <c r="L820" i="4"/>
  <c r="B820" i="4"/>
  <c r="C820" i="4" s="1"/>
  <c r="L819" i="4"/>
  <c r="B819" i="4"/>
  <c r="C819" i="4" s="1"/>
  <c r="L818" i="4"/>
  <c r="B818" i="4"/>
  <c r="C818" i="4" s="1"/>
  <c r="L817" i="4"/>
  <c r="B817" i="4"/>
  <c r="C817" i="4" s="1"/>
  <c r="L816" i="4"/>
  <c r="B816" i="4"/>
  <c r="C816" i="4" s="1"/>
  <c r="L815" i="4"/>
  <c r="B815" i="4"/>
  <c r="C815" i="4" s="1"/>
  <c r="L814" i="4"/>
  <c r="B814" i="4"/>
  <c r="C814" i="4" s="1"/>
  <c r="L813" i="4"/>
  <c r="B813" i="4"/>
  <c r="C813" i="4" s="1"/>
  <c r="L812" i="4"/>
  <c r="B812" i="4"/>
  <c r="C812" i="4" s="1"/>
  <c r="L811" i="4"/>
  <c r="B811" i="4"/>
  <c r="C811" i="4" s="1"/>
  <c r="L810" i="4"/>
  <c r="B810" i="4"/>
  <c r="C810" i="4" s="1"/>
  <c r="L809" i="4"/>
  <c r="B809" i="4"/>
  <c r="C809" i="4" s="1"/>
  <c r="L808" i="4"/>
  <c r="B808" i="4"/>
  <c r="C808" i="4" s="1"/>
  <c r="L807" i="4"/>
  <c r="B807" i="4"/>
  <c r="C807" i="4" s="1"/>
  <c r="L806" i="4"/>
  <c r="B806" i="4"/>
  <c r="C806" i="4" s="1"/>
  <c r="L805" i="4"/>
  <c r="B805" i="4"/>
  <c r="C805" i="4" s="1"/>
  <c r="L804" i="4"/>
  <c r="B804" i="4"/>
  <c r="C804" i="4" s="1"/>
  <c r="L803" i="4"/>
  <c r="B803" i="4"/>
  <c r="C803" i="4" s="1"/>
  <c r="L802" i="4"/>
  <c r="B802" i="4"/>
  <c r="C802" i="4" s="1"/>
  <c r="L801" i="4"/>
  <c r="B801" i="4"/>
  <c r="C801" i="4" s="1"/>
  <c r="L800" i="4"/>
  <c r="B800" i="4"/>
  <c r="C800" i="4" s="1"/>
  <c r="L799" i="4"/>
  <c r="B799" i="4"/>
  <c r="C799" i="4" s="1"/>
  <c r="L798" i="4"/>
  <c r="B798" i="4"/>
  <c r="C798" i="4" s="1"/>
  <c r="L797" i="4"/>
  <c r="B797" i="4"/>
  <c r="C797" i="4" s="1"/>
  <c r="L796" i="4"/>
  <c r="B796" i="4"/>
  <c r="C796" i="4" s="1"/>
  <c r="L795" i="4"/>
  <c r="B795" i="4"/>
  <c r="C795" i="4" s="1"/>
  <c r="L794" i="4"/>
  <c r="B794" i="4"/>
  <c r="C794" i="4" s="1"/>
  <c r="L793" i="4"/>
  <c r="B793" i="4"/>
  <c r="C793" i="4" s="1"/>
  <c r="L792" i="4"/>
  <c r="B792" i="4"/>
  <c r="C792" i="4" s="1"/>
  <c r="L791" i="4"/>
  <c r="B791" i="4"/>
  <c r="C791" i="4" s="1"/>
  <c r="L790" i="4"/>
  <c r="B790" i="4"/>
  <c r="C790" i="4" s="1"/>
  <c r="L789" i="4"/>
  <c r="B789" i="4"/>
  <c r="C789" i="4" s="1"/>
  <c r="L788" i="4"/>
  <c r="B788" i="4"/>
  <c r="C788" i="4" s="1"/>
  <c r="L787" i="4"/>
  <c r="B787" i="4"/>
  <c r="C787" i="4" s="1"/>
  <c r="L786" i="4"/>
  <c r="B786" i="4"/>
  <c r="C786" i="4" s="1"/>
  <c r="L785" i="4"/>
  <c r="B785" i="4"/>
  <c r="C785" i="4" s="1"/>
  <c r="L784" i="4"/>
  <c r="B784" i="4"/>
  <c r="C784" i="4" s="1"/>
  <c r="L783" i="4"/>
  <c r="B783" i="4"/>
  <c r="C783" i="4" s="1"/>
  <c r="L782" i="4"/>
  <c r="B782" i="4"/>
  <c r="C782" i="4" s="1"/>
  <c r="L781" i="4"/>
  <c r="B781" i="4"/>
  <c r="C781" i="4" s="1"/>
  <c r="L780" i="4"/>
  <c r="B780" i="4"/>
  <c r="C780" i="4" s="1"/>
  <c r="L779" i="4"/>
  <c r="B779" i="4"/>
  <c r="C779" i="4" s="1"/>
  <c r="L778" i="4"/>
  <c r="B778" i="4"/>
  <c r="C778" i="4" s="1"/>
  <c r="L777" i="4"/>
  <c r="B777" i="4"/>
  <c r="C777" i="4" s="1"/>
  <c r="L776" i="4"/>
  <c r="B776" i="4"/>
  <c r="C776" i="4" s="1"/>
  <c r="L775" i="4"/>
  <c r="B775" i="4"/>
  <c r="C775" i="4" s="1"/>
  <c r="L774" i="4"/>
  <c r="B774" i="4"/>
  <c r="C774" i="4" s="1"/>
  <c r="L773" i="4"/>
  <c r="B773" i="4"/>
  <c r="C773" i="4" s="1"/>
  <c r="L772" i="4"/>
  <c r="B772" i="4"/>
  <c r="C772" i="4" s="1"/>
  <c r="L771" i="4"/>
  <c r="B771" i="4"/>
  <c r="C771" i="4" s="1"/>
  <c r="L770" i="4"/>
  <c r="B770" i="4"/>
  <c r="C770" i="4" s="1"/>
  <c r="L769" i="4"/>
  <c r="B769" i="4"/>
  <c r="C769" i="4" s="1"/>
  <c r="L768" i="4"/>
  <c r="B768" i="4"/>
  <c r="C768" i="4" s="1"/>
  <c r="L767" i="4"/>
  <c r="B767" i="4"/>
  <c r="C767" i="4" s="1"/>
  <c r="L766" i="4"/>
  <c r="B766" i="4"/>
  <c r="C766" i="4" s="1"/>
  <c r="L765" i="4"/>
  <c r="B765" i="4"/>
  <c r="C765" i="4" s="1"/>
  <c r="L764" i="4"/>
  <c r="B764" i="4"/>
  <c r="C764" i="4" s="1"/>
  <c r="L763" i="4"/>
  <c r="B763" i="4"/>
  <c r="C763" i="4" s="1"/>
  <c r="L762" i="4"/>
  <c r="B762" i="4"/>
  <c r="C762" i="4" s="1"/>
  <c r="L761" i="4"/>
  <c r="B761" i="4"/>
  <c r="C761" i="4" s="1"/>
  <c r="L760" i="4"/>
  <c r="B760" i="4"/>
  <c r="C760" i="4" s="1"/>
  <c r="L759" i="4"/>
  <c r="B759" i="4"/>
  <c r="C759" i="4" s="1"/>
  <c r="L758" i="4"/>
  <c r="B758" i="4"/>
  <c r="C758" i="4" s="1"/>
  <c r="L757" i="4"/>
  <c r="B757" i="4"/>
  <c r="C757" i="4" s="1"/>
  <c r="L756" i="4"/>
  <c r="B756" i="4"/>
  <c r="C756" i="4" s="1"/>
  <c r="L755" i="4"/>
  <c r="B755" i="4"/>
  <c r="C755" i="4" s="1"/>
  <c r="L754" i="4"/>
  <c r="B754" i="4"/>
  <c r="C754" i="4" s="1"/>
  <c r="L753" i="4"/>
  <c r="B753" i="4"/>
  <c r="C753" i="4" s="1"/>
  <c r="L752" i="4"/>
  <c r="B752" i="4"/>
  <c r="C752" i="4" s="1"/>
  <c r="L751" i="4"/>
  <c r="B751" i="4"/>
  <c r="C751" i="4" s="1"/>
  <c r="L750" i="4"/>
  <c r="B750" i="4"/>
  <c r="C750" i="4" s="1"/>
  <c r="L749" i="4"/>
  <c r="B749" i="4"/>
  <c r="C749" i="4" s="1"/>
  <c r="L748" i="4"/>
  <c r="B748" i="4"/>
  <c r="C748" i="4" s="1"/>
  <c r="L747" i="4"/>
  <c r="B747" i="4"/>
  <c r="C747" i="4" s="1"/>
  <c r="L746" i="4"/>
  <c r="B746" i="4"/>
  <c r="C746" i="4" s="1"/>
  <c r="L745" i="4"/>
  <c r="B745" i="4"/>
  <c r="C745" i="4" s="1"/>
  <c r="L744" i="4"/>
  <c r="B744" i="4"/>
  <c r="C744" i="4" s="1"/>
  <c r="L743" i="4"/>
  <c r="B743" i="4"/>
  <c r="C743" i="4" s="1"/>
  <c r="L742" i="4"/>
  <c r="B742" i="4"/>
  <c r="C742" i="4" s="1"/>
  <c r="L741" i="4"/>
  <c r="B741" i="4"/>
  <c r="C741" i="4" s="1"/>
  <c r="L740" i="4"/>
  <c r="B740" i="4"/>
  <c r="C740" i="4" s="1"/>
  <c r="L739" i="4"/>
  <c r="B739" i="4"/>
  <c r="C739" i="4" s="1"/>
  <c r="L738" i="4"/>
  <c r="B738" i="4"/>
  <c r="C738" i="4" s="1"/>
  <c r="L737" i="4"/>
  <c r="B737" i="4"/>
  <c r="C737" i="4" s="1"/>
  <c r="L736" i="4"/>
  <c r="B736" i="4"/>
  <c r="C736" i="4" s="1"/>
  <c r="L735" i="4"/>
  <c r="B735" i="4"/>
  <c r="C735" i="4" s="1"/>
  <c r="L734" i="4"/>
  <c r="B734" i="4"/>
  <c r="C734" i="4" s="1"/>
  <c r="L733" i="4"/>
  <c r="B733" i="4"/>
  <c r="C733" i="4" s="1"/>
  <c r="L732" i="4"/>
  <c r="B732" i="4"/>
  <c r="C732" i="4" s="1"/>
  <c r="L731" i="4"/>
  <c r="B731" i="4"/>
  <c r="C731" i="4" s="1"/>
  <c r="L730" i="4"/>
  <c r="B730" i="4"/>
  <c r="C730" i="4" s="1"/>
  <c r="L729" i="4"/>
  <c r="B729" i="4"/>
  <c r="C729" i="4" s="1"/>
  <c r="L728" i="4"/>
  <c r="B728" i="4"/>
  <c r="C728" i="4" s="1"/>
  <c r="L727" i="4"/>
  <c r="B727" i="4"/>
  <c r="C727" i="4" s="1"/>
  <c r="L726" i="4"/>
  <c r="B726" i="4"/>
  <c r="C726" i="4" s="1"/>
  <c r="L725" i="4"/>
  <c r="B725" i="4"/>
  <c r="C725" i="4" s="1"/>
  <c r="L724" i="4"/>
  <c r="B724" i="4"/>
  <c r="C724" i="4" s="1"/>
  <c r="L723" i="4"/>
  <c r="B723" i="4"/>
  <c r="C723" i="4" s="1"/>
  <c r="L722" i="4"/>
  <c r="B722" i="4"/>
  <c r="C722" i="4" s="1"/>
  <c r="L721" i="4"/>
  <c r="B721" i="4"/>
  <c r="C721" i="4" s="1"/>
  <c r="L720" i="4"/>
  <c r="B720" i="4"/>
  <c r="C720" i="4" s="1"/>
  <c r="L719" i="4"/>
  <c r="B719" i="4"/>
  <c r="C719" i="4" s="1"/>
  <c r="L718" i="4"/>
  <c r="B718" i="4"/>
  <c r="C718" i="4" s="1"/>
  <c r="L717" i="4"/>
  <c r="B717" i="4"/>
  <c r="C717" i="4" s="1"/>
  <c r="L716" i="4"/>
  <c r="B716" i="4"/>
  <c r="C716" i="4" s="1"/>
  <c r="L715" i="4"/>
  <c r="B715" i="4"/>
  <c r="C715" i="4" s="1"/>
  <c r="L714" i="4"/>
  <c r="B714" i="4"/>
  <c r="C714" i="4" s="1"/>
  <c r="L713" i="4"/>
  <c r="B713" i="4"/>
  <c r="C713" i="4" s="1"/>
  <c r="L712" i="4"/>
  <c r="B712" i="4"/>
  <c r="C712" i="4" s="1"/>
  <c r="L711" i="4"/>
  <c r="B711" i="4"/>
  <c r="C711" i="4" s="1"/>
  <c r="L710" i="4"/>
  <c r="B710" i="4"/>
  <c r="C710" i="4" s="1"/>
  <c r="L709" i="4"/>
  <c r="B709" i="4"/>
  <c r="C709" i="4" s="1"/>
  <c r="L708" i="4"/>
  <c r="B708" i="4"/>
  <c r="C708" i="4" s="1"/>
  <c r="L707" i="4"/>
  <c r="B707" i="4"/>
  <c r="C707" i="4" s="1"/>
  <c r="L706" i="4"/>
  <c r="B706" i="4"/>
  <c r="C706" i="4" s="1"/>
  <c r="L705" i="4"/>
  <c r="B705" i="4"/>
  <c r="C705" i="4" s="1"/>
  <c r="L704" i="4"/>
  <c r="B704" i="4"/>
  <c r="C704" i="4" s="1"/>
  <c r="L703" i="4"/>
  <c r="B703" i="4"/>
  <c r="C703" i="4" s="1"/>
  <c r="L702" i="4"/>
  <c r="B702" i="4"/>
  <c r="C702" i="4" s="1"/>
  <c r="L701" i="4"/>
  <c r="B701" i="4"/>
  <c r="C701" i="4" s="1"/>
  <c r="L700" i="4"/>
  <c r="B700" i="4"/>
  <c r="C700" i="4" s="1"/>
  <c r="L699" i="4"/>
  <c r="B699" i="4"/>
  <c r="C699" i="4" s="1"/>
  <c r="L698" i="4"/>
  <c r="B698" i="4"/>
  <c r="C698" i="4" s="1"/>
  <c r="L697" i="4"/>
  <c r="B697" i="4"/>
  <c r="C697" i="4" s="1"/>
  <c r="L696" i="4"/>
  <c r="B696" i="4"/>
  <c r="C696" i="4" s="1"/>
  <c r="L695" i="4"/>
  <c r="B695" i="4"/>
  <c r="C695" i="4" s="1"/>
  <c r="L694" i="4"/>
  <c r="B694" i="4"/>
  <c r="C694" i="4" s="1"/>
  <c r="L693" i="4"/>
  <c r="B693" i="4"/>
  <c r="C693" i="4" s="1"/>
  <c r="L692" i="4"/>
  <c r="B692" i="4"/>
  <c r="C692" i="4" s="1"/>
  <c r="L691" i="4"/>
  <c r="B691" i="4"/>
  <c r="C691" i="4" s="1"/>
  <c r="L690" i="4"/>
  <c r="B690" i="4"/>
  <c r="C690" i="4" s="1"/>
  <c r="L689" i="4"/>
  <c r="B689" i="4"/>
  <c r="C689" i="4" s="1"/>
  <c r="L688" i="4"/>
  <c r="B688" i="4"/>
  <c r="C688" i="4" s="1"/>
  <c r="L687" i="4"/>
  <c r="B687" i="4"/>
  <c r="C687" i="4" s="1"/>
  <c r="L686" i="4"/>
  <c r="B686" i="4"/>
  <c r="C686" i="4" s="1"/>
  <c r="L685" i="4"/>
  <c r="B685" i="4"/>
  <c r="C685" i="4" s="1"/>
  <c r="L684" i="4"/>
  <c r="B684" i="4"/>
  <c r="C684" i="4" s="1"/>
  <c r="L683" i="4"/>
  <c r="B683" i="4"/>
  <c r="C683" i="4" s="1"/>
  <c r="L682" i="4"/>
  <c r="B682" i="4"/>
  <c r="C682" i="4" s="1"/>
  <c r="L681" i="4"/>
  <c r="B681" i="4"/>
  <c r="C681" i="4" s="1"/>
  <c r="L680" i="4"/>
  <c r="B680" i="4"/>
  <c r="C680" i="4" s="1"/>
  <c r="L679" i="4"/>
  <c r="B679" i="4"/>
  <c r="C679" i="4" s="1"/>
  <c r="L678" i="4"/>
  <c r="B678" i="4"/>
  <c r="C678" i="4" s="1"/>
  <c r="L677" i="4"/>
  <c r="B677" i="4"/>
  <c r="C677" i="4" s="1"/>
  <c r="L676" i="4"/>
  <c r="B676" i="4"/>
  <c r="C676" i="4" s="1"/>
  <c r="L675" i="4"/>
  <c r="B675" i="4"/>
  <c r="C675" i="4" s="1"/>
  <c r="L674" i="4"/>
  <c r="B674" i="4"/>
  <c r="C674" i="4" s="1"/>
  <c r="L673" i="4"/>
  <c r="B673" i="4"/>
  <c r="C673" i="4" s="1"/>
  <c r="L672" i="4"/>
  <c r="B672" i="4"/>
  <c r="C672" i="4" s="1"/>
  <c r="L671" i="4"/>
  <c r="B671" i="4"/>
  <c r="C671" i="4" s="1"/>
  <c r="L670" i="4"/>
  <c r="B670" i="4"/>
  <c r="C670" i="4" s="1"/>
  <c r="L669" i="4"/>
  <c r="B669" i="4"/>
  <c r="C669" i="4" s="1"/>
  <c r="L668" i="4"/>
  <c r="B668" i="4"/>
  <c r="C668" i="4" s="1"/>
  <c r="L667" i="4"/>
  <c r="B667" i="4"/>
  <c r="C667" i="4" s="1"/>
  <c r="L666" i="4"/>
  <c r="B666" i="4"/>
  <c r="C666" i="4" s="1"/>
  <c r="L665" i="4"/>
  <c r="B665" i="4"/>
  <c r="C665" i="4" s="1"/>
  <c r="L664" i="4"/>
  <c r="B664" i="4"/>
  <c r="C664" i="4" s="1"/>
  <c r="L663" i="4"/>
  <c r="B663" i="4"/>
  <c r="C663" i="4" s="1"/>
  <c r="L662" i="4"/>
  <c r="B662" i="4"/>
  <c r="C662" i="4" s="1"/>
  <c r="L661" i="4"/>
  <c r="B661" i="4"/>
  <c r="C661" i="4" s="1"/>
  <c r="L660" i="4"/>
  <c r="B660" i="4"/>
  <c r="C660" i="4" s="1"/>
  <c r="L659" i="4"/>
  <c r="B659" i="4"/>
  <c r="C659" i="4" s="1"/>
  <c r="L658" i="4"/>
  <c r="B658" i="4"/>
  <c r="C658" i="4" s="1"/>
  <c r="L657" i="4"/>
  <c r="B657" i="4"/>
  <c r="C657" i="4" s="1"/>
  <c r="L656" i="4"/>
  <c r="B656" i="4"/>
  <c r="C656" i="4" s="1"/>
  <c r="L655" i="4"/>
  <c r="B655" i="4"/>
  <c r="C655" i="4" s="1"/>
  <c r="L654" i="4"/>
  <c r="B654" i="4"/>
  <c r="C654" i="4" s="1"/>
  <c r="L653" i="4"/>
  <c r="B653" i="4"/>
  <c r="C653" i="4" s="1"/>
  <c r="L652" i="4"/>
  <c r="B652" i="4"/>
  <c r="C652" i="4" s="1"/>
  <c r="L651" i="4"/>
  <c r="B651" i="4"/>
  <c r="C651" i="4" s="1"/>
  <c r="L650" i="4"/>
  <c r="B650" i="4"/>
  <c r="C650" i="4" s="1"/>
  <c r="L649" i="4"/>
  <c r="B649" i="4"/>
  <c r="C649" i="4" s="1"/>
  <c r="L648" i="4"/>
  <c r="B648" i="4"/>
  <c r="C648" i="4" s="1"/>
  <c r="L647" i="4"/>
  <c r="B647" i="4"/>
  <c r="C647" i="4" s="1"/>
  <c r="L646" i="4"/>
  <c r="B646" i="4"/>
  <c r="C646" i="4" s="1"/>
  <c r="L645" i="4"/>
  <c r="B645" i="4"/>
  <c r="C645" i="4" s="1"/>
  <c r="L644" i="4"/>
  <c r="B644" i="4"/>
  <c r="C644" i="4" s="1"/>
  <c r="L643" i="4"/>
  <c r="B643" i="4"/>
  <c r="C643" i="4" s="1"/>
  <c r="L642" i="4"/>
  <c r="B642" i="4"/>
  <c r="C642" i="4" s="1"/>
  <c r="L641" i="4"/>
  <c r="B641" i="4"/>
  <c r="C641" i="4" s="1"/>
  <c r="L640" i="4"/>
  <c r="B640" i="4"/>
  <c r="C640" i="4" s="1"/>
  <c r="L639" i="4"/>
  <c r="B639" i="4"/>
  <c r="C639" i="4" s="1"/>
  <c r="L638" i="4"/>
  <c r="B638" i="4"/>
  <c r="C638" i="4" s="1"/>
  <c r="L637" i="4"/>
  <c r="B637" i="4"/>
  <c r="C637" i="4" s="1"/>
  <c r="L636" i="4"/>
  <c r="B636" i="4"/>
  <c r="C636" i="4" s="1"/>
  <c r="L635" i="4"/>
  <c r="B635" i="4"/>
  <c r="C635" i="4" s="1"/>
  <c r="L634" i="4"/>
  <c r="B634" i="4"/>
  <c r="C634" i="4" s="1"/>
  <c r="L633" i="4"/>
  <c r="B633" i="4"/>
  <c r="C633" i="4" s="1"/>
  <c r="L632" i="4"/>
  <c r="B632" i="4"/>
  <c r="C632" i="4" s="1"/>
  <c r="L631" i="4"/>
  <c r="B631" i="4"/>
  <c r="C631" i="4" s="1"/>
  <c r="L630" i="4"/>
  <c r="B630" i="4"/>
  <c r="C630" i="4" s="1"/>
  <c r="L629" i="4"/>
  <c r="B629" i="4"/>
  <c r="C629" i="4" s="1"/>
  <c r="L628" i="4"/>
  <c r="B628" i="4"/>
  <c r="C628" i="4" s="1"/>
  <c r="L627" i="4"/>
  <c r="B627" i="4"/>
  <c r="C627" i="4" s="1"/>
  <c r="L626" i="4"/>
  <c r="B626" i="4"/>
  <c r="C626" i="4" s="1"/>
  <c r="L625" i="4"/>
  <c r="B625" i="4"/>
  <c r="C625" i="4" s="1"/>
  <c r="L624" i="4"/>
  <c r="B624" i="4"/>
  <c r="C624" i="4" s="1"/>
  <c r="L623" i="4"/>
  <c r="B623" i="4"/>
  <c r="C623" i="4" s="1"/>
  <c r="L622" i="4"/>
  <c r="B622" i="4"/>
  <c r="C622" i="4" s="1"/>
  <c r="L621" i="4"/>
  <c r="B621" i="4"/>
  <c r="C621" i="4" s="1"/>
  <c r="L620" i="4"/>
  <c r="B620" i="4"/>
  <c r="C620" i="4" s="1"/>
  <c r="L619" i="4"/>
  <c r="B619" i="4"/>
  <c r="C619" i="4" s="1"/>
  <c r="L618" i="4"/>
  <c r="B618" i="4"/>
  <c r="C618" i="4" s="1"/>
  <c r="L617" i="4"/>
  <c r="B617" i="4"/>
  <c r="C617" i="4" s="1"/>
  <c r="L616" i="4"/>
  <c r="B616" i="4"/>
  <c r="C616" i="4" s="1"/>
  <c r="L615" i="4"/>
  <c r="B615" i="4"/>
  <c r="C615" i="4" s="1"/>
  <c r="L614" i="4"/>
  <c r="B614" i="4"/>
  <c r="C614" i="4" s="1"/>
  <c r="L613" i="4"/>
  <c r="B613" i="4"/>
  <c r="C613" i="4" s="1"/>
  <c r="L612" i="4"/>
  <c r="B612" i="4"/>
  <c r="C612" i="4" s="1"/>
  <c r="L611" i="4"/>
  <c r="B611" i="4"/>
  <c r="C611" i="4" s="1"/>
  <c r="L610" i="4"/>
  <c r="B610" i="4"/>
  <c r="C610" i="4" s="1"/>
  <c r="L609" i="4"/>
  <c r="B609" i="4"/>
  <c r="C609" i="4" s="1"/>
  <c r="L608" i="4"/>
  <c r="B608" i="4"/>
  <c r="C608" i="4" s="1"/>
  <c r="L607" i="4"/>
  <c r="B607" i="4"/>
  <c r="C607" i="4" s="1"/>
  <c r="L606" i="4"/>
  <c r="B606" i="4"/>
  <c r="C606" i="4" s="1"/>
  <c r="L605" i="4"/>
  <c r="B605" i="4"/>
  <c r="C605" i="4" s="1"/>
  <c r="L604" i="4"/>
  <c r="B604" i="4"/>
  <c r="C604" i="4" s="1"/>
  <c r="L603" i="4"/>
  <c r="B603" i="4"/>
  <c r="C603" i="4" s="1"/>
  <c r="L602" i="4"/>
  <c r="B602" i="4"/>
  <c r="C602" i="4" s="1"/>
  <c r="L601" i="4"/>
  <c r="B601" i="4"/>
  <c r="C601" i="4" s="1"/>
  <c r="L600" i="4"/>
  <c r="B600" i="4"/>
  <c r="C600" i="4" s="1"/>
  <c r="L599" i="4"/>
  <c r="B599" i="4"/>
  <c r="C599" i="4" s="1"/>
  <c r="L598" i="4"/>
  <c r="B598" i="4"/>
  <c r="C598" i="4" s="1"/>
  <c r="L597" i="4"/>
  <c r="B597" i="4"/>
  <c r="C597" i="4" s="1"/>
  <c r="L596" i="4"/>
  <c r="B596" i="4"/>
  <c r="C596" i="4" s="1"/>
  <c r="L595" i="4"/>
  <c r="B595" i="4"/>
  <c r="C595" i="4" s="1"/>
  <c r="L594" i="4"/>
  <c r="B594" i="4"/>
  <c r="C594" i="4" s="1"/>
  <c r="L593" i="4"/>
  <c r="B593" i="4"/>
  <c r="C593" i="4" s="1"/>
  <c r="L592" i="4"/>
  <c r="B592" i="4"/>
  <c r="C592" i="4" s="1"/>
  <c r="L591" i="4"/>
  <c r="B591" i="4"/>
  <c r="C591" i="4" s="1"/>
  <c r="L590" i="4"/>
  <c r="B590" i="4"/>
  <c r="C590" i="4" s="1"/>
  <c r="L589" i="4"/>
  <c r="B589" i="4"/>
  <c r="C589" i="4" s="1"/>
  <c r="L588" i="4"/>
  <c r="B588" i="4"/>
  <c r="C588" i="4" s="1"/>
  <c r="L587" i="4"/>
  <c r="B587" i="4"/>
  <c r="C587" i="4" s="1"/>
  <c r="L586" i="4"/>
  <c r="B586" i="4"/>
  <c r="C586" i="4" s="1"/>
  <c r="L585" i="4"/>
  <c r="B585" i="4"/>
  <c r="C585" i="4" s="1"/>
  <c r="L584" i="4"/>
  <c r="B584" i="4"/>
  <c r="C584" i="4" s="1"/>
  <c r="L583" i="4"/>
  <c r="B583" i="4"/>
  <c r="C583" i="4" s="1"/>
  <c r="L582" i="4"/>
  <c r="B582" i="4"/>
  <c r="C582" i="4" s="1"/>
  <c r="L581" i="4"/>
  <c r="B581" i="4"/>
  <c r="C581" i="4" s="1"/>
  <c r="L580" i="4"/>
  <c r="B580" i="4"/>
  <c r="C580" i="4" s="1"/>
  <c r="L579" i="4"/>
  <c r="B579" i="4"/>
  <c r="C579" i="4" s="1"/>
  <c r="L578" i="4"/>
  <c r="B578" i="4"/>
  <c r="C578" i="4" s="1"/>
  <c r="L577" i="4"/>
  <c r="B577" i="4"/>
  <c r="C577" i="4" s="1"/>
  <c r="L576" i="4"/>
  <c r="B576" i="4"/>
  <c r="C576" i="4" s="1"/>
  <c r="L575" i="4"/>
  <c r="B575" i="4"/>
  <c r="C575" i="4" s="1"/>
  <c r="L574" i="4"/>
  <c r="B574" i="4"/>
  <c r="C574" i="4" s="1"/>
  <c r="L573" i="4"/>
  <c r="B573" i="4"/>
  <c r="C573" i="4" s="1"/>
  <c r="L572" i="4"/>
  <c r="B572" i="4"/>
  <c r="C572" i="4" s="1"/>
  <c r="L571" i="4"/>
  <c r="B571" i="4"/>
  <c r="C571" i="4" s="1"/>
  <c r="L570" i="4"/>
  <c r="B570" i="4"/>
  <c r="C570" i="4" s="1"/>
  <c r="L569" i="4"/>
  <c r="B569" i="4"/>
  <c r="C569" i="4" s="1"/>
  <c r="L568" i="4"/>
  <c r="B568" i="4"/>
  <c r="C568" i="4" s="1"/>
  <c r="L567" i="4"/>
  <c r="B567" i="4"/>
  <c r="C567" i="4" s="1"/>
  <c r="L566" i="4"/>
  <c r="B566" i="4"/>
  <c r="C566" i="4" s="1"/>
  <c r="L565" i="4"/>
  <c r="B565" i="4"/>
  <c r="C565" i="4" s="1"/>
  <c r="L564" i="4"/>
  <c r="B564" i="4"/>
  <c r="C564" i="4" s="1"/>
  <c r="L563" i="4"/>
  <c r="B563" i="4"/>
  <c r="C563" i="4" s="1"/>
  <c r="L562" i="4"/>
  <c r="B562" i="4"/>
  <c r="C562" i="4" s="1"/>
  <c r="L561" i="4"/>
  <c r="B561" i="4"/>
  <c r="C561" i="4" s="1"/>
  <c r="L560" i="4"/>
  <c r="B560" i="4"/>
  <c r="C560" i="4" s="1"/>
  <c r="L559" i="4"/>
  <c r="B559" i="4"/>
  <c r="C559" i="4" s="1"/>
  <c r="L558" i="4"/>
  <c r="B558" i="4"/>
  <c r="C558" i="4" s="1"/>
  <c r="L557" i="4"/>
  <c r="B557" i="4"/>
  <c r="C557" i="4" s="1"/>
  <c r="L556" i="4"/>
  <c r="B556" i="4"/>
  <c r="C556" i="4" s="1"/>
  <c r="L555" i="4"/>
  <c r="B555" i="4"/>
  <c r="C555" i="4" s="1"/>
  <c r="L554" i="4"/>
  <c r="B554" i="4"/>
  <c r="C554" i="4" s="1"/>
  <c r="L553" i="4"/>
  <c r="B553" i="4"/>
  <c r="C553" i="4" s="1"/>
  <c r="L552" i="4"/>
  <c r="B552" i="4"/>
  <c r="C552" i="4" s="1"/>
  <c r="L551" i="4"/>
  <c r="B551" i="4"/>
  <c r="C551" i="4" s="1"/>
  <c r="L550" i="4"/>
  <c r="B550" i="4"/>
  <c r="C550" i="4" s="1"/>
  <c r="L549" i="4"/>
  <c r="B549" i="4"/>
  <c r="C549" i="4" s="1"/>
  <c r="L548" i="4"/>
  <c r="B548" i="4"/>
  <c r="C548" i="4" s="1"/>
  <c r="L547" i="4"/>
  <c r="B547" i="4"/>
  <c r="C547" i="4" s="1"/>
  <c r="L546" i="4"/>
  <c r="B546" i="4"/>
  <c r="C546" i="4" s="1"/>
  <c r="L545" i="4"/>
  <c r="B545" i="4"/>
  <c r="C545" i="4" s="1"/>
  <c r="L544" i="4"/>
  <c r="B544" i="4"/>
  <c r="C544" i="4" s="1"/>
  <c r="L543" i="4"/>
  <c r="B543" i="4"/>
  <c r="C543" i="4" s="1"/>
  <c r="L542" i="4"/>
  <c r="B542" i="4"/>
  <c r="C542" i="4" s="1"/>
  <c r="L541" i="4"/>
  <c r="B541" i="4"/>
  <c r="C541" i="4" s="1"/>
  <c r="L540" i="4"/>
  <c r="B540" i="4"/>
  <c r="C540" i="4" s="1"/>
  <c r="L539" i="4"/>
  <c r="B539" i="4"/>
  <c r="C539" i="4" s="1"/>
  <c r="L538" i="4"/>
  <c r="B538" i="4"/>
  <c r="C538" i="4" s="1"/>
  <c r="L537" i="4"/>
  <c r="B537" i="4"/>
  <c r="C537" i="4" s="1"/>
  <c r="L536" i="4"/>
  <c r="B536" i="4"/>
  <c r="C536" i="4" s="1"/>
  <c r="L535" i="4"/>
  <c r="B535" i="4"/>
  <c r="C535" i="4" s="1"/>
  <c r="L534" i="4"/>
  <c r="B534" i="4"/>
  <c r="C534" i="4" s="1"/>
  <c r="L533" i="4"/>
  <c r="B533" i="4"/>
  <c r="C533" i="4" s="1"/>
  <c r="L532" i="4"/>
  <c r="B532" i="4"/>
  <c r="C532" i="4" s="1"/>
  <c r="L531" i="4"/>
  <c r="B531" i="4"/>
  <c r="C531" i="4" s="1"/>
  <c r="L530" i="4"/>
  <c r="B530" i="4"/>
  <c r="C530" i="4" s="1"/>
  <c r="L529" i="4"/>
  <c r="B529" i="4"/>
  <c r="C529" i="4" s="1"/>
  <c r="L528" i="4"/>
  <c r="B528" i="4"/>
  <c r="C528" i="4" s="1"/>
  <c r="L527" i="4"/>
  <c r="B527" i="4"/>
  <c r="C527" i="4" s="1"/>
  <c r="L526" i="4"/>
  <c r="B526" i="4"/>
  <c r="C526" i="4" s="1"/>
  <c r="L525" i="4"/>
  <c r="B525" i="4"/>
  <c r="C525" i="4" s="1"/>
  <c r="L524" i="4"/>
  <c r="B524" i="4"/>
  <c r="C524" i="4" s="1"/>
  <c r="L523" i="4"/>
  <c r="B523" i="4"/>
  <c r="C523" i="4" s="1"/>
  <c r="L522" i="4"/>
  <c r="B522" i="4"/>
  <c r="C522" i="4" s="1"/>
  <c r="L521" i="4"/>
  <c r="B521" i="4"/>
  <c r="C521" i="4" s="1"/>
  <c r="L520" i="4"/>
  <c r="B520" i="4"/>
  <c r="C520" i="4" s="1"/>
  <c r="L519" i="4"/>
  <c r="B519" i="4"/>
  <c r="C519" i="4" s="1"/>
  <c r="L518" i="4"/>
  <c r="B518" i="4"/>
  <c r="C518" i="4" s="1"/>
  <c r="L517" i="4"/>
  <c r="B517" i="4"/>
  <c r="C517" i="4" s="1"/>
  <c r="L516" i="4"/>
  <c r="B516" i="4"/>
  <c r="C516" i="4" s="1"/>
  <c r="L515" i="4"/>
  <c r="B515" i="4"/>
  <c r="C515" i="4" s="1"/>
  <c r="L514" i="4"/>
  <c r="B514" i="4"/>
  <c r="C514" i="4" s="1"/>
  <c r="L513" i="4"/>
  <c r="B513" i="4"/>
  <c r="C513" i="4" s="1"/>
  <c r="L512" i="4"/>
  <c r="B512" i="4"/>
  <c r="C512" i="4" s="1"/>
  <c r="L511" i="4"/>
  <c r="B511" i="4"/>
  <c r="C511" i="4" s="1"/>
  <c r="L510" i="4"/>
  <c r="B510" i="4"/>
  <c r="C510" i="4" s="1"/>
  <c r="L509" i="4"/>
  <c r="B509" i="4"/>
  <c r="C509" i="4" s="1"/>
  <c r="L508" i="4"/>
  <c r="B508" i="4"/>
  <c r="C508" i="4" s="1"/>
  <c r="L507" i="4"/>
  <c r="B507" i="4"/>
  <c r="C507" i="4" s="1"/>
  <c r="L506" i="4"/>
  <c r="B506" i="4"/>
  <c r="C506" i="4" s="1"/>
  <c r="L505" i="4"/>
  <c r="B505" i="4"/>
  <c r="C505" i="4" s="1"/>
  <c r="L504" i="4"/>
  <c r="B504" i="4"/>
  <c r="C504" i="4" s="1"/>
  <c r="L503" i="4"/>
  <c r="B503" i="4"/>
  <c r="C503" i="4" s="1"/>
  <c r="L502" i="4"/>
  <c r="B502" i="4"/>
  <c r="C502" i="4" s="1"/>
  <c r="L501" i="4"/>
  <c r="B501" i="4"/>
  <c r="C501" i="4" s="1"/>
  <c r="L500" i="4"/>
  <c r="B500" i="4"/>
  <c r="C500" i="4" s="1"/>
  <c r="L499" i="4"/>
  <c r="B499" i="4"/>
  <c r="C499" i="4" s="1"/>
  <c r="L498" i="4"/>
  <c r="B498" i="4"/>
  <c r="C498" i="4" s="1"/>
  <c r="L497" i="4"/>
  <c r="B497" i="4"/>
  <c r="C497" i="4" s="1"/>
  <c r="L496" i="4"/>
  <c r="B496" i="4"/>
  <c r="C496" i="4" s="1"/>
  <c r="L495" i="4"/>
  <c r="B495" i="4"/>
  <c r="C495" i="4" s="1"/>
  <c r="L494" i="4"/>
  <c r="B494" i="4"/>
  <c r="C494" i="4" s="1"/>
  <c r="L493" i="4"/>
  <c r="B493" i="4"/>
  <c r="C493" i="4" s="1"/>
  <c r="L492" i="4"/>
  <c r="B492" i="4"/>
  <c r="C492" i="4" s="1"/>
  <c r="L491" i="4"/>
  <c r="B491" i="4"/>
  <c r="C491" i="4" s="1"/>
  <c r="L490" i="4"/>
  <c r="B490" i="4"/>
  <c r="C490" i="4" s="1"/>
  <c r="L489" i="4"/>
  <c r="B489" i="4"/>
  <c r="C489" i="4" s="1"/>
  <c r="L488" i="4"/>
  <c r="B488" i="4"/>
  <c r="C488" i="4" s="1"/>
  <c r="L487" i="4"/>
  <c r="B487" i="4"/>
  <c r="C487" i="4" s="1"/>
  <c r="L486" i="4"/>
  <c r="B486" i="4"/>
  <c r="C486" i="4" s="1"/>
  <c r="L485" i="4"/>
  <c r="B485" i="4"/>
  <c r="C485" i="4" s="1"/>
  <c r="L484" i="4"/>
  <c r="B484" i="4"/>
  <c r="C484" i="4" s="1"/>
  <c r="L483" i="4"/>
  <c r="B483" i="4"/>
  <c r="C483" i="4" s="1"/>
  <c r="L482" i="4"/>
  <c r="B482" i="4"/>
  <c r="C482" i="4" s="1"/>
  <c r="L481" i="4"/>
  <c r="B481" i="4"/>
  <c r="C481" i="4" s="1"/>
  <c r="L480" i="4"/>
  <c r="B480" i="4"/>
  <c r="C480" i="4" s="1"/>
  <c r="L479" i="4"/>
  <c r="B479" i="4"/>
  <c r="C479" i="4" s="1"/>
  <c r="L478" i="4"/>
  <c r="B478" i="4"/>
  <c r="C478" i="4" s="1"/>
  <c r="L477" i="4"/>
  <c r="B477" i="4"/>
  <c r="C477" i="4" s="1"/>
  <c r="L476" i="4"/>
  <c r="B476" i="4"/>
  <c r="C476" i="4" s="1"/>
  <c r="L475" i="4"/>
  <c r="B475" i="4"/>
  <c r="C475" i="4" s="1"/>
  <c r="L474" i="4"/>
  <c r="B474" i="4"/>
  <c r="C474" i="4" s="1"/>
  <c r="L473" i="4"/>
  <c r="B473" i="4"/>
  <c r="C473" i="4" s="1"/>
  <c r="L472" i="4"/>
  <c r="B472" i="4"/>
  <c r="C472" i="4" s="1"/>
  <c r="L471" i="4"/>
  <c r="B471" i="4"/>
  <c r="C471" i="4" s="1"/>
  <c r="L470" i="4"/>
  <c r="B470" i="4"/>
  <c r="C470" i="4" s="1"/>
  <c r="L469" i="4"/>
  <c r="B469" i="4"/>
  <c r="C469" i="4" s="1"/>
  <c r="L468" i="4"/>
  <c r="B468" i="4"/>
  <c r="C468" i="4" s="1"/>
  <c r="L467" i="4"/>
  <c r="B467" i="4"/>
  <c r="C467" i="4" s="1"/>
  <c r="L466" i="4"/>
  <c r="B466" i="4"/>
  <c r="C466" i="4" s="1"/>
  <c r="L465" i="4"/>
  <c r="B465" i="4"/>
  <c r="C465" i="4" s="1"/>
  <c r="L464" i="4"/>
  <c r="B464" i="4"/>
  <c r="C464" i="4" s="1"/>
  <c r="L463" i="4"/>
  <c r="B463" i="4"/>
  <c r="C463" i="4" s="1"/>
  <c r="L462" i="4"/>
  <c r="B462" i="4"/>
  <c r="C462" i="4" s="1"/>
  <c r="L461" i="4"/>
  <c r="B461" i="4"/>
  <c r="C461" i="4" s="1"/>
  <c r="L460" i="4"/>
  <c r="B460" i="4"/>
  <c r="C460" i="4" s="1"/>
  <c r="L459" i="4"/>
  <c r="B459" i="4"/>
  <c r="C459" i="4" s="1"/>
  <c r="L458" i="4"/>
  <c r="B458" i="4"/>
  <c r="C458" i="4" s="1"/>
  <c r="L457" i="4"/>
  <c r="B457" i="4"/>
  <c r="C457" i="4" s="1"/>
  <c r="L456" i="4"/>
  <c r="B456" i="4"/>
  <c r="C456" i="4" s="1"/>
  <c r="L455" i="4"/>
  <c r="B455" i="4"/>
  <c r="C455" i="4" s="1"/>
  <c r="L454" i="4"/>
  <c r="B454" i="4"/>
  <c r="C454" i="4" s="1"/>
  <c r="L453" i="4"/>
  <c r="B453" i="4"/>
  <c r="C453" i="4" s="1"/>
  <c r="L452" i="4"/>
  <c r="B452" i="4"/>
  <c r="C452" i="4" s="1"/>
  <c r="L451" i="4"/>
  <c r="B451" i="4"/>
  <c r="C451" i="4" s="1"/>
  <c r="L450" i="4"/>
  <c r="B450" i="4"/>
  <c r="C450" i="4" s="1"/>
  <c r="L449" i="4"/>
  <c r="B449" i="4"/>
  <c r="C449" i="4" s="1"/>
  <c r="L448" i="4"/>
  <c r="B448" i="4"/>
  <c r="C448" i="4" s="1"/>
  <c r="L447" i="4"/>
  <c r="B447" i="4"/>
  <c r="C447" i="4" s="1"/>
  <c r="L446" i="4"/>
  <c r="B446" i="4"/>
  <c r="C446" i="4" s="1"/>
  <c r="L445" i="4"/>
  <c r="B445" i="4"/>
  <c r="C445" i="4" s="1"/>
  <c r="L444" i="4"/>
  <c r="B444" i="4"/>
  <c r="C444" i="4" s="1"/>
  <c r="L443" i="4"/>
  <c r="B443" i="4"/>
  <c r="C443" i="4" s="1"/>
  <c r="L442" i="4"/>
  <c r="B442" i="4"/>
  <c r="C442" i="4" s="1"/>
  <c r="L441" i="4"/>
  <c r="B441" i="4"/>
  <c r="C441" i="4" s="1"/>
  <c r="L440" i="4"/>
  <c r="B440" i="4"/>
  <c r="C440" i="4" s="1"/>
  <c r="L439" i="4"/>
  <c r="B439" i="4"/>
  <c r="C439" i="4" s="1"/>
  <c r="L438" i="4"/>
  <c r="B438" i="4"/>
  <c r="C438" i="4" s="1"/>
  <c r="L437" i="4"/>
  <c r="B437" i="4"/>
  <c r="C437" i="4" s="1"/>
  <c r="L436" i="4"/>
  <c r="B436" i="4"/>
  <c r="C436" i="4" s="1"/>
  <c r="L435" i="4"/>
  <c r="B435" i="4"/>
  <c r="C435" i="4" s="1"/>
  <c r="L434" i="4"/>
  <c r="B434" i="4"/>
  <c r="C434" i="4" s="1"/>
  <c r="L433" i="4"/>
  <c r="B433" i="4"/>
  <c r="C433" i="4" s="1"/>
  <c r="L432" i="4"/>
  <c r="B432" i="4"/>
  <c r="C432" i="4" s="1"/>
  <c r="L431" i="4"/>
  <c r="B431" i="4"/>
  <c r="C431" i="4" s="1"/>
  <c r="L430" i="4"/>
  <c r="B430" i="4"/>
  <c r="C430" i="4" s="1"/>
  <c r="L429" i="4"/>
  <c r="B429" i="4"/>
  <c r="C429" i="4" s="1"/>
  <c r="L428" i="4"/>
  <c r="B428" i="4"/>
  <c r="C428" i="4" s="1"/>
  <c r="L427" i="4"/>
  <c r="B427" i="4"/>
  <c r="C427" i="4" s="1"/>
  <c r="L426" i="4"/>
  <c r="B426" i="4"/>
  <c r="C426" i="4" s="1"/>
  <c r="L425" i="4"/>
  <c r="B425" i="4"/>
  <c r="C425" i="4" s="1"/>
  <c r="L424" i="4"/>
  <c r="B424" i="4"/>
  <c r="C424" i="4" s="1"/>
  <c r="L423" i="4"/>
  <c r="B423" i="4"/>
  <c r="C423" i="4" s="1"/>
  <c r="L422" i="4"/>
  <c r="B422" i="4"/>
  <c r="C422" i="4" s="1"/>
  <c r="L421" i="4"/>
  <c r="B421" i="4"/>
  <c r="C421" i="4" s="1"/>
  <c r="L420" i="4"/>
  <c r="B420" i="4"/>
  <c r="C420" i="4" s="1"/>
  <c r="L419" i="4"/>
  <c r="B419" i="4"/>
  <c r="C419" i="4" s="1"/>
  <c r="L418" i="4"/>
  <c r="B418" i="4"/>
  <c r="C418" i="4" s="1"/>
  <c r="L417" i="4"/>
  <c r="B417" i="4"/>
  <c r="C417" i="4" s="1"/>
  <c r="L416" i="4"/>
  <c r="B416" i="4"/>
  <c r="C416" i="4" s="1"/>
  <c r="L415" i="4"/>
  <c r="B415" i="4"/>
  <c r="C415" i="4" s="1"/>
  <c r="L414" i="4"/>
  <c r="B414" i="4"/>
  <c r="C414" i="4" s="1"/>
  <c r="L413" i="4"/>
  <c r="B413" i="4"/>
  <c r="C413" i="4" s="1"/>
  <c r="L412" i="4"/>
  <c r="B412" i="4"/>
  <c r="C412" i="4" s="1"/>
  <c r="L411" i="4"/>
  <c r="B411" i="4"/>
  <c r="C411" i="4" s="1"/>
  <c r="L410" i="4"/>
  <c r="B410" i="4"/>
  <c r="C410" i="4" s="1"/>
  <c r="L409" i="4"/>
  <c r="B409" i="4"/>
  <c r="C409" i="4" s="1"/>
  <c r="L408" i="4"/>
  <c r="B408" i="4"/>
  <c r="C408" i="4" s="1"/>
  <c r="L407" i="4"/>
  <c r="B407" i="4"/>
  <c r="C407" i="4" s="1"/>
  <c r="L406" i="4"/>
  <c r="B406" i="4"/>
  <c r="C406" i="4" s="1"/>
  <c r="L405" i="4"/>
  <c r="B405" i="4"/>
  <c r="C405" i="4" s="1"/>
  <c r="L404" i="4"/>
  <c r="B404" i="4"/>
  <c r="C404" i="4" s="1"/>
  <c r="L403" i="4"/>
  <c r="B403" i="4"/>
  <c r="C403" i="4" s="1"/>
  <c r="L402" i="4"/>
  <c r="B402" i="4"/>
  <c r="C402" i="4" s="1"/>
  <c r="L401" i="4"/>
  <c r="B401" i="4"/>
  <c r="C401" i="4" s="1"/>
  <c r="L400" i="4"/>
  <c r="B400" i="4"/>
  <c r="C400" i="4" s="1"/>
  <c r="L399" i="4"/>
  <c r="B399" i="4"/>
  <c r="C399" i="4" s="1"/>
  <c r="L398" i="4"/>
  <c r="B398" i="4"/>
  <c r="C398" i="4" s="1"/>
  <c r="L397" i="4"/>
  <c r="B397" i="4"/>
  <c r="C397" i="4" s="1"/>
  <c r="L396" i="4"/>
  <c r="B396" i="4"/>
  <c r="C396" i="4" s="1"/>
  <c r="L395" i="4"/>
  <c r="B395" i="4"/>
  <c r="C395" i="4" s="1"/>
  <c r="L394" i="4"/>
  <c r="B394" i="4"/>
  <c r="C394" i="4" s="1"/>
  <c r="L393" i="4"/>
  <c r="B393" i="4"/>
  <c r="C393" i="4" s="1"/>
  <c r="L392" i="4"/>
  <c r="B392" i="4"/>
  <c r="C392" i="4" s="1"/>
  <c r="L391" i="4"/>
  <c r="B391" i="4"/>
  <c r="C391" i="4" s="1"/>
  <c r="L390" i="4"/>
  <c r="B390" i="4"/>
  <c r="C390" i="4" s="1"/>
  <c r="L389" i="4"/>
  <c r="B389" i="4"/>
  <c r="C389" i="4" s="1"/>
  <c r="L388" i="4"/>
  <c r="B388" i="4"/>
  <c r="C388" i="4" s="1"/>
  <c r="L387" i="4"/>
  <c r="B387" i="4"/>
  <c r="C387" i="4" s="1"/>
  <c r="L386" i="4"/>
  <c r="B386" i="4"/>
  <c r="C386" i="4" s="1"/>
  <c r="L385" i="4"/>
  <c r="B385" i="4"/>
  <c r="C385" i="4" s="1"/>
  <c r="L384" i="4"/>
  <c r="B384" i="4"/>
  <c r="C384" i="4" s="1"/>
  <c r="L383" i="4"/>
  <c r="B383" i="4"/>
  <c r="C383" i="4" s="1"/>
  <c r="L382" i="4"/>
  <c r="B382" i="4"/>
  <c r="C382" i="4" s="1"/>
  <c r="L381" i="4"/>
  <c r="B381" i="4"/>
  <c r="C381" i="4" s="1"/>
  <c r="L380" i="4"/>
  <c r="B380" i="4"/>
  <c r="C380" i="4" s="1"/>
  <c r="L379" i="4"/>
  <c r="B379" i="4"/>
  <c r="C379" i="4" s="1"/>
  <c r="L378" i="4"/>
  <c r="B378" i="4"/>
  <c r="C378" i="4" s="1"/>
  <c r="L377" i="4"/>
  <c r="B377" i="4"/>
  <c r="C377" i="4" s="1"/>
  <c r="L376" i="4"/>
  <c r="B376" i="4"/>
  <c r="C376" i="4" s="1"/>
  <c r="L375" i="4"/>
  <c r="B375" i="4"/>
  <c r="C375" i="4" s="1"/>
  <c r="L374" i="4"/>
  <c r="B374" i="4"/>
  <c r="C374" i="4" s="1"/>
  <c r="L373" i="4"/>
  <c r="B373" i="4"/>
  <c r="C373" i="4" s="1"/>
  <c r="L372" i="4"/>
  <c r="B372" i="4"/>
  <c r="C372" i="4" s="1"/>
  <c r="L371" i="4"/>
  <c r="B371" i="4"/>
  <c r="C371" i="4" s="1"/>
  <c r="L370" i="4"/>
  <c r="B370" i="4"/>
  <c r="C370" i="4" s="1"/>
  <c r="L369" i="4"/>
  <c r="B369" i="4"/>
  <c r="C369" i="4" s="1"/>
  <c r="L368" i="4"/>
  <c r="B368" i="4"/>
  <c r="C368" i="4" s="1"/>
  <c r="L367" i="4"/>
  <c r="B367" i="4"/>
  <c r="C367" i="4" s="1"/>
  <c r="L366" i="4"/>
  <c r="B366" i="4"/>
  <c r="C366" i="4" s="1"/>
  <c r="L365" i="4"/>
  <c r="B365" i="4"/>
  <c r="C365" i="4" s="1"/>
  <c r="L364" i="4"/>
  <c r="B364" i="4"/>
  <c r="C364" i="4" s="1"/>
  <c r="L363" i="4"/>
  <c r="B363" i="4"/>
  <c r="C363" i="4" s="1"/>
  <c r="L362" i="4"/>
  <c r="B362" i="4"/>
  <c r="C362" i="4" s="1"/>
  <c r="L361" i="4"/>
  <c r="B361" i="4"/>
  <c r="C361" i="4" s="1"/>
  <c r="L360" i="4"/>
  <c r="B360" i="4"/>
  <c r="C360" i="4" s="1"/>
  <c r="L359" i="4"/>
  <c r="B359" i="4"/>
  <c r="C359" i="4" s="1"/>
  <c r="L358" i="4"/>
  <c r="B358" i="4"/>
  <c r="C358" i="4" s="1"/>
  <c r="L357" i="4"/>
  <c r="B357" i="4"/>
  <c r="C357" i="4" s="1"/>
  <c r="L356" i="4"/>
  <c r="B356" i="4"/>
  <c r="C356" i="4" s="1"/>
  <c r="L355" i="4"/>
  <c r="B355" i="4"/>
  <c r="C355" i="4" s="1"/>
  <c r="L354" i="4"/>
  <c r="B354" i="4"/>
  <c r="C354" i="4" s="1"/>
  <c r="L353" i="4"/>
  <c r="B353" i="4"/>
  <c r="C353" i="4" s="1"/>
  <c r="L352" i="4"/>
  <c r="B352" i="4"/>
  <c r="C352" i="4" s="1"/>
  <c r="L351" i="4"/>
  <c r="B351" i="4"/>
  <c r="C351" i="4" s="1"/>
  <c r="L350" i="4"/>
  <c r="B350" i="4"/>
  <c r="C350" i="4" s="1"/>
  <c r="L349" i="4"/>
  <c r="B349" i="4"/>
  <c r="C349" i="4" s="1"/>
  <c r="L348" i="4"/>
  <c r="B348" i="4"/>
  <c r="C348" i="4" s="1"/>
  <c r="L347" i="4"/>
  <c r="B347" i="4"/>
  <c r="C347" i="4" s="1"/>
  <c r="L346" i="4"/>
  <c r="B346" i="4"/>
  <c r="C346" i="4" s="1"/>
  <c r="L345" i="4"/>
  <c r="B345" i="4"/>
  <c r="C345" i="4" s="1"/>
  <c r="L344" i="4"/>
  <c r="B344" i="4"/>
  <c r="C344" i="4" s="1"/>
  <c r="L343" i="4"/>
  <c r="B343" i="4"/>
  <c r="C343" i="4" s="1"/>
  <c r="L342" i="4"/>
  <c r="B342" i="4"/>
  <c r="C342" i="4" s="1"/>
  <c r="L341" i="4"/>
  <c r="B341" i="4"/>
  <c r="C341" i="4" s="1"/>
  <c r="L340" i="4"/>
  <c r="B340" i="4"/>
  <c r="C340" i="4" s="1"/>
  <c r="L339" i="4"/>
  <c r="B339" i="4"/>
  <c r="C339" i="4" s="1"/>
  <c r="L338" i="4"/>
  <c r="B338" i="4"/>
  <c r="C338" i="4" s="1"/>
  <c r="L337" i="4"/>
  <c r="B337" i="4"/>
  <c r="C337" i="4" s="1"/>
  <c r="L336" i="4"/>
  <c r="B336" i="4"/>
  <c r="C336" i="4" s="1"/>
  <c r="L335" i="4"/>
  <c r="B335" i="4"/>
  <c r="C335" i="4" s="1"/>
  <c r="L334" i="4"/>
  <c r="B334" i="4"/>
  <c r="C334" i="4" s="1"/>
  <c r="L333" i="4"/>
  <c r="B333" i="4"/>
  <c r="C333" i="4" s="1"/>
  <c r="L332" i="4"/>
  <c r="B332" i="4"/>
  <c r="C332" i="4" s="1"/>
  <c r="L331" i="4"/>
  <c r="B331" i="4"/>
  <c r="C331" i="4" s="1"/>
  <c r="L330" i="4"/>
  <c r="B330" i="4"/>
  <c r="C330" i="4" s="1"/>
  <c r="L329" i="4"/>
  <c r="B329" i="4"/>
  <c r="C329" i="4" s="1"/>
  <c r="L328" i="4"/>
  <c r="B328" i="4"/>
  <c r="C328" i="4" s="1"/>
  <c r="L327" i="4"/>
  <c r="B327" i="4"/>
  <c r="C327" i="4" s="1"/>
  <c r="L326" i="4"/>
  <c r="B326" i="4"/>
  <c r="C326" i="4" s="1"/>
  <c r="L325" i="4"/>
  <c r="B325" i="4"/>
  <c r="C325" i="4" s="1"/>
  <c r="L324" i="4"/>
  <c r="B324" i="4"/>
  <c r="C324" i="4" s="1"/>
  <c r="L323" i="4"/>
  <c r="B323" i="4"/>
  <c r="C323" i="4" s="1"/>
  <c r="L322" i="4"/>
  <c r="B322" i="4"/>
  <c r="C322" i="4" s="1"/>
  <c r="L321" i="4"/>
  <c r="B321" i="4"/>
  <c r="C321" i="4" s="1"/>
  <c r="L320" i="4"/>
  <c r="B320" i="4"/>
  <c r="C320" i="4" s="1"/>
  <c r="L319" i="4"/>
  <c r="B319" i="4"/>
  <c r="C319" i="4" s="1"/>
  <c r="L318" i="4"/>
  <c r="B318" i="4"/>
  <c r="C318" i="4" s="1"/>
  <c r="L317" i="4"/>
  <c r="B317" i="4"/>
  <c r="C317" i="4" s="1"/>
  <c r="L316" i="4"/>
  <c r="B316" i="4"/>
  <c r="C316" i="4" s="1"/>
  <c r="L315" i="4"/>
  <c r="B315" i="4"/>
  <c r="C315" i="4" s="1"/>
  <c r="L314" i="4"/>
  <c r="B314" i="4"/>
  <c r="C314" i="4" s="1"/>
  <c r="L313" i="4"/>
  <c r="B313" i="4"/>
  <c r="C313" i="4" s="1"/>
  <c r="L312" i="4"/>
  <c r="B312" i="4"/>
  <c r="C312" i="4" s="1"/>
  <c r="L311" i="4"/>
  <c r="B311" i="4"/>
  <c r="C311" i="4" s="1"/>
  <c r="L310" i="4"/>
  <c r="B310" i="4"/>
  <c r="C310" i="4" s="1"/>
  <c r="L309" i="4"/>
  <c r="B309" i="4"/>
  <c r="C309" i="4" s="1"/>
  <c r="L308" i="4"/>
  <c r="B308" i="4"/>
  <c r="C308" i="4" s="1"/>
  <c r="L307" i="4"/>
  <c r="B307" i="4"/>
  <c r="C307" i="4" s="1"/>
  <c r="L306" i="4"/>
  <c r="B306" i="4"/>
  <c r="C306" i="4" s="1"/>
  <c r="L305" i="4"/>
  <c r="B305" i="4"/>
  <c r="C305" i="4" s="1"/>
  <c r="L304" i="4"/>
  <c r="B304" i="4"/>
  <c r="C304" i="4" s="1"/>
  <c r="L303" i="4"/>
  <c r="B303" i="4"/>
  <c r="C303" i="4" s="1"/>
  <c r="L302" i="4"/>
  <c r="B302" i="4"/>
  <c r="C302" i="4" s="1"/>
  <c r="L301" i="4"/>
  <c r="B301" i="4"/>
  <c r="C301" i="4" s="1"/>
  <c r="L300" i="4"/>
  <c r="B300" i="4"/>
  <c r="C300" i="4" s="1"/>
  <c r="L299" i="4"/>
  <c r="B299" i="4"/>
  <c r="C299" i="4" s="1"/>
  <c r="L298" i="4"/>
  <c r="B298" i="4"/>
  <c r="C298" i="4" s="1"/>
  <c r="L297" i="4"/>
  <c r="B297" i="4"/>
  <c r="C297" i="4" s="1"/>
  <c r="L296" i="4"/>
  <c r="B296" i="4"/>
  <c r="C296" i="4" s="1"/>
  <c r="L295" i="4"/>
  <c r="B295" i="4"/>
  <c r="C295" i="4" s="1"/>
  <c r="L294" i="4"/>
  <c r="B294" i="4"/>
  <c r="C294" i="4" s="1"/>
  <c r="L293" i="4"/>
  <c r="B293" i="4"/>
  <c r="C293" i="4" s="1"/>
  <c r="L292" i="4"/>
  <c r="B292" i="4"/>
  <c r="C292" i="4" s="1"/>
  <c r="L291" i="4"/>
  <c r="B291" i="4"/>
  <c r="C291" i="4" s="1"/>
  <c r="L290" i="4"/>
  <c r="B290" i="4"/>
  <c r="C290" i="4" s="1"/>
  <c r="L289" i="4"/>
  <c r="B289" i="4"/>
  <c r="C289" i="4" s="1"/>
  <c r="L288" i="4"/>
  <c r="B288" i="4"/>
  <c r="C288" i="4" s="1"/>
  <c r="L287" i="4"/>
  <c r="B287" i="4"/>
  <c r="C287" i="4" s="1"/>
  <c r="L286" i="4"/>
  <c r="B286" i="4"/>
  <c r="C286" i="4" s="1"/>
  <c r="L285" i="4"/>
  <c r="B285" i="4"/>
  <c r="C285" i="4" s="1"/>
  <c r="L284" i="4"/>
  <c r="B284" i="4"/>
  <c r="C284" i="4" s="1"/>
  <c r="L283" i="4"/>
  <c r="B283" i="4"/>
  <c r="C283" i="4" s="1"/>
  <c r="L282" i="4"/>
  <c r="B282" i="4"/>
  <c r="C282" i="4" s="1"/>
  <c r="L281" i="4"/>
  <c r="B281" i="4"/>
  <c r="C281" i="4" s="1"/>
  <c r="L280" i="4"/>
  <c r="B280" i="4"/>
  <c r="C280" i="4" s="1"/>
  <c r="L279" i="4"/>
  <c r="B279" i="4"/>
  <c r="C279" i="4" s="1"/>
  <c r="L278" i="4"/>
  <c r="B278" i="4"/>
  <c r="C278" i="4" s="1"/>
  <c r="L277" i="4"/>
  <c r="B277" i="4"/>
  <c r="C277" i="4" s="1"/>
  <c r="L276" i="4"/>
  <c r="B276" i="4"/>
  <c r="C276" i="4" s="1"/>
  <c r="L275" i="4"/>
  <c r="B275" i="4"/>
  <c r="C275" i="4" s="1"/>
  <c r="L274" i="4"/>
  <c r="B274" i="4"/>
  <c r="C274" i="4" s="1"/>
  <c r="L273" i="4"/>
  <c r="B273" i="4"/>
  <c r="C273" i="4" s="1"/>
  <c r="L272" i="4"/>
  <c r="B272" i="4"/>
  <c r="C272" i="4" s="1"/>
  <c r="L271" i="4"/>
  <c r="B271" i="4"/>
  <c r="C271" i="4" s="1"/>
  <c r="L270" i="4"/>
  <c r="B270" i="4"/>
  <c r="C270" i="4" s="1"/>
  <c r="L269" i="4"/>
  <c r="B269" i="4"/>
  <c r="C269" i="4" s="1"/>
  <c r="L268" i="4"/>
  <c r="B268" i="4"/>
  <c r="C268" i="4" s="1"/>
  <c r="L267" i="4"/>
  <c r="B267" i="4"/>
  <c r="C267" i="4" s="1"/>
  <c r="L266" i="4"/>
  <c r="B266" i="4"/>
  <c r="C266" i="4" s="1"/>
  <c r="L265" i="4"/>
  <c r="B265" i="4"/>
  <c r="C265" i="4" s="1"/>
  <c r="L264" i="4"/>
  <c r="B264" i="4"/>
  <c r="C264" i="4" s="1"/>
  <c r="L263" i="4"/>
  <c r="B263" i="4"/>
  <c r="C263" i="4" s="1"/>
  <c r="L262" i="4"/>
  <c r="B262" i="4"/>
  <c r="C262" i="4" s="1"/>
  <c r="L261" i="4"/>
  <c r="B261" i="4"/>
  <c r="C261" i="4" s="1"/>
  <c r="L260" i="4"/>
  <c r="B260" i="4"/>
  <c r="C260" i="4" s="1"/>
  <c r="L259" i="4"/>
  <c r="B259" i="4"/>
  <c r="C259" i="4" s="1"/>
  <c r="L258" i="4"/>
  <c r="B258" i="4"/>
  <c r="C258" i="4" s="1"/>
  <c r="L257" i="4"/>
  <c r="B257" i="4"/>
  <c r="C257" i="4" s="1"/>
  <c r="L256" i="4"/>
  <c r="B256" i="4"/>
  <c r="C256" i="4" s="1"/>
  <c r="L255" i="4"/>
  <c r="B255" i="4"/>
  <c r="C255" i="4" s="1"/>
  <c r="L254" i="4"/>
  <c r="B254" i="4"/>
  <c r="C254" i="4" s="1"/>
  <c r="L253" i="4"/>
  <c r="B253" i="4"/>
  <c r="C253" i="4" s="1"/>
  <c r="L252" i="4"/>
  <c r="B252" i="4"/>
  <c r="C252" i="4" s="1"/>
  <c r="L251" i="4"/>
  <c r="B251" i="4"/>
  <c r="C251" i="4" s="1"/>
  <c r="L250" i="4"/>
  <c r="B250" i="4"/>
  <c r="C250" i="4" s="1"/>
  <c r="L249" i="4"/>
  <c r="B249" i="4"/>
  <c r="C249" i="4" s="1"/>
  <c r="L248" i="4"/>
  <c r="B248" i="4"/>
  <c r="C248" i="4" s="1"/>
  <c r="L247" i="4"/>
  <c r="B247" i="4"/>
  <c r="C247" i="4" s="1"/>
  <c r="L246" i="4"/>
  <c r="B246" i="4"/>
  <c r="C246" i="4" s="1"/>
  <c r="L245" i="4"/>
  <c r="B245" i="4"/>
  <c r="C245" i="4" s="1"/>
  <c r="L244" i="4"/>
  <c r="B244" i="4"/>
  <c r="C244" i="4" s="1"/>
  <c r="L243" i="4"/>
  <c r="B243" i="4"/>
  <c r="C243" i="4" s="1"/>
  <c r="L242" i="4"/>
  <c r="B242" i="4"/>
  <c r="C242" i="4" s="1"/>
  <c r="L241" i="4"/>
  <c r="B241" i="4"/>
  <c r="C241" i="4" s="1"/>
  <c r="L240" i="4"/>
  <c r="B240" i="4"/>
  <c r="C240" i="4" s="1"/>
  <c r="L239" i="4"/>
  <c r="B239" i="4"/>
  <c r="C239" i="4" s="1"/>
  <c r="L238" i="4"/>
  <c r="B238" i="4"/>
  <c r="C238" i="4" s="1"/>
  <c r="L237" i="4"/>
  <c r="B237" i="4"/>
  <c r="C237" i="4" s="1"/>
  <c r="L236" i="4"/>
  <c r="B236" i="4"/>
  <c r="C236" i="4" s="1"/>
  <c r="L235" i="4"/>
  <c r="B235" i="4"/>
  <c r="C235" i="4" s="1"/>
  <c r="L234" i="4"/>
  <c r="B234" i="4"/>
  <c r="C234" i="4" s="1"/>
  <c r="L233" i="4"/>
  <c r="B233" i="4"/>
  <c r="C233" i="4" s="1"/>
  <c r="L232" i="4"/>
  <c r="B232" i="4"/>
  <c r="C232" i="4" s="1"/>
  <c r="L231" i="4"/>
  <c r="B231" i="4"/>
  <c r="C231" i="4" s="1"/>
  <c r="L230" i="4"/>
  <c r="B230" i="4"/>
  <c r="C230" i="4" s="1"/>
  <c r="L229" i="4"/>
  <c r="B229" i="4"/>
  <c r="C229" i="4" s="1"/>
  <c r="L228" i="4"/>
  <c r="B228" i="4"/>
  <c r="C228" i="4" s="1"/>
  <c r="L227" i="4"/>
  <c r="B227" i="4"/>
  <c r="C227" i="4" s="1"/>
  <c r="L226" i="4"/>
  <c r="B226" i="4"/>
  <c r="C226" i="4" s="1"/>
  <c r="L225" i="4"/>
  <c r="B225" i="4"/>
  <c r="C225" i="4" s="1"/>
  <c r="L224" i="4"/>
  <c r="B224" i="4"/>
  <c r="C224" i="4" s="1"/>
  <c r="L223" i="4"/>
  <c r="B223" i="4"/>
  <c r="C223" i="4" s="1"/>
  <c r="L222" i="4"/>
  <c r="B222" i="4"/>
  <c r="C222" i="4" s="1"/>
  <c r="L221" i="4"/>
  <c r="B221" i="4"/>
  <c r="C221" i="4" s="1"/>
  <c r="L220" i="4"/>
  <c r="B220" i="4"/>
  <c r="C220" i="4" s="1"/>
  <c r="L219" i="4"/>
  <c r="B219" i="4"/>
  <c r="C219" i="4" s="1"/>
  <c r="L218" i="4"/>
  <c r="B218" i="4"/>
  <c r="C218" i="4" s="1"/>
  <c r="L217" i="4"/>
  <c r="B217" i="4"/>
  <c r="C217" i="4" s="1"/>
  <c r="L216" i="4"/>
  <c r="B216" i="4"/>
  <c r="C216" i="4" s="1"/>
  <c r="L215" i="4"/>
  <c r="B215" i="4"/>
  <c r="C215" i="4" s="1"/>
  <c r="L214" i="4"/>
  <c r="B214" i="4"/>
  <c r="C214" i="4" s="1"/>
  <c r="L213" i="4"/>
  <c r="B213" i="4"/>
  <c r="C213" i="4" s="1"/>
  <c r="L212" i="4"/>
  <c r="B212" i="4"/>
  <c r="C212" i="4" s="1"/>
  <c r="L211" i="4"/>
  <c r="B211" i="4"/>
  <c r="C211" i="4" s="1"/>
  <c r="L210" i="4"/>
  <c r="B210" i="4"/>
  <c r="C210" i="4" s="1"/>
  <c r="L209" i="4"/>
  <c r="B209" i="4"/>
  <c r="C209" i="4" s="1"/>
  <c r="L208" i="4"/>
  <c r="B208" i="4"/>
  <c r="C208" i="4" s="1"/>
  <c r="L207" i="4"/>
  <c r="B207" i="4"/>
  <c r="C207" i="4" s="1"/>
  <c r="L206" i="4"/>
  <c r="B206" i="4"/>
  <c r="C206" i="4" s="1"/>
  <c r="L205" i="4"/>
  <c r="B205" i="4"/>
  <c r="C205" i="4" s="1"/>
  <c r="L204" i="4"/>
  <c r="B204" i="4"/>
  <c r="C204" i="4" s="1"/>
  <c r="L203" i="4"/>
  <c r="B203" i="4"/>
  <c r="C203" i="4" s="1"/>
  <c r="L202" i="4"/>
  <c r="B202" i="4"/>
  <c r="C202" i="4" s="1"/>
  <c r="L201" i="4"/>
  <c r="B201" i="4"/>
  <c r="C201" i="4" s="1"/>
  <c r="L200" i="4"/>
  <c r="B200" i="4"/>
  <c r="C200" i="4" s="1"/>
  <c r="L199" i="4"/>
  <c r="B199" i="4"/>
  <c r="C199" i="4" s="1"/>
  <c r="L198" i="4"/>
  <c r="B198" i="4"/>
  <c r="C198" i="4" s="1"/>
  <c r="L197" i="4"/>
  <c r="B197" i="4"/>
  <c r="C197" i="4" s="1"/>
  <c r="L196" i="4"/>
  <c r="B196" i="4"/>
  <c r="C196" i="4" s="1"/>
  <c r="L195" i="4"/>
  <c r="B195" i="4"/>
  <c r="C195" i="4" s="1"/>
  <c r="L194" i="4"/>
  <c r="B194" i="4"/>
  <c r="C194" i="4" s="1"/>
  <c r="L193" i="4"/>
  <c r="B193" i="4"/>
  <c r="C193" i="4" s="1"/>
  <c r="L192" i="4"/>
  <c r="B192" i="4"/>
  <c r="C192" i="4" s="1"/>
  <c r="L191" i="4"/>
  <c r="B191" i="4"/>
  <c r="C191" i="4" s="1"/>
  <c r="L190" i="4"/>
  <c r="B190" i="4"/>
  <c r="C190" i="4" s="1"/>
  <c r="L189" i="4"/>
  <c r="B189" i="4"/>
  <c r="C189" i="4" s="1"/>
  <c r="L188" i="4"/>
  <c r="B188" i="4"/>
  <c r="C188" i="4" s="1"/>
  <c r="L187" i="4"/>
  <c r="B187" i="4"/>
  <c r="C187" i="4" s="1"/>
  <c r="L186" i="4"/>
  <c r="B186" i="4"/>
  <c r="C186" i="4" s="1"/>
  <c r="L185" i="4"/>
  <c r="B185" i="4"/>
  <c r="C185" i="4" s="1"/>
  <c r="L184" i="4"/>
  <c r="B184" i="4"/>
  <c r="C184" i="4" s="1"/>
  <c r="L183" i="4"/>
  <c r="B183" i="4"/>
  <c r="C183" i="4" s="1"/>
  <c r="L182" i="4"/>
  <c r="B182" i="4"/>
  <c r="C182" i="4" s="1"/>
  <c r="L181" i="4"/>
  <c r="B181" i="4"/>
  <c r="C181" i="4" s="1"/>
  <c r="L180" i="4"/>
  <c r="B180" i="4"/>
  <c r="C180" i="4" s="1"/>
  <c r="L179" i="4"/>
  <c r="B179" i="4"/>
  <c r="C179" i="4" s="1"/>
  <c r="L178" i="4"/>
  <c r="B178" i="4"/>
  <c r="C178" i="4" s="1"/>
  <c r="L177" i="4"/>
  <c r="B177" i="4"/>
  <c r="C177" i="4" s="1"/>
  <c r="L176" i="4"/>
  <c r="B176" i="4"/>
  <c r="C176" i="4" s="1"/>
  <c r="L175" i="4"/>
  <c r="B175" i="4"/>
  <c r="C175" i="4" s="1"/>
  <c r="L174" i="4"/>
  <c r="B174" i="4"/>
  <c r="C174" i="4" s="1"/>
  <c r="L173" i="4"/>
  <c r="B173" i="4"/>
  <c r="C173" i="4" s="1"/>
  <c r="L172" i="4"/>
  <c r="B172" i="4"/>
  <c r="C172" i="4" s="1"/>
  <c r="L171" i="4"/>
  <c r="B171" i="4"/>
  <c r="C171" i="4" s="1"/>
  <c r="L170" i="4"/>
  <c r="B170" i="4"/>
  <c r="C170" i="4" s="1"/>
  <c r="L169" i="4"/>
  <c r="B169" i="4"/>
  <c r="C169" i="4" s="1"/>
  <c r="L168" i="4"/>
  <c r="B168" i="4"/>
  <c r="C168" i="4" s="1"/>
  <c r="L167" i="4"/>
  <c r="B167" i="4"/>
  <c r="C167" i="4" s="1"/>
  <c r="L166" i="4"/>
  <c r="B166" i="4"/>
  <c r="C166" i="4" s="1"/>
  <c r="L165" i="4"/>
  <c r="B165" i="4"/>
  <c r="C165" i="4" s="1"/>
  <c r="L164" i="4"/>
  <c r="B164" i="4"/>
  <c r="C164" i="4" s="1"/>
  <c r="L163" i="4"/>
  <c r="B163" i="4"/>
  <c r="C163" i="4" s="1"/>
  <c r="L162" i="4"/>
  <c r="B162" i="4"/>
  <c r="C162" i="4" s="1"/>
  <c r="L161" i="4"/>
  <c r="B161" i="4"/>
  <c r="C161" i="4" s="1"/>
  <c r="L160" i="4"/>
  <c r="B160" i="4"/>
  <c r="C160" i="4" s="1"/>
  <c r="L159" i="4"/>
  <c r="B159" i="4"/>
  <c r="C159" i="4" s="1"/>
  <c r="L158" i="4"/>
  <c r="B158" i="4"/>
  <c r="C158" i="4" s="1"/>
  <c r="L157" i="4"/>
  <c r="B157" i="4"/>
  <c r="C157" i="4" s="1"/>
  <c r="L156" i="4"/>
  <c r="B156" i="4"/>
  <c r="C156" i="4" s="1"/>
  <c r="L155" i="4"/>
  <c r="B155" i="4"/>
  <c r="C155" i="4" s="1"/>
  <c r="L154" i="4"/>
  <c r="B154" i="4"/>
  <c r="C154" i="4" s="1"/>
  <c r="L153" i="4"/>
  <c r="B153" i="4"/>
  <c r="C153" i="4" s="1"/>
  <c r="L152" i="4"/>
  <c r="B152" i="4"/>
  <c r="C152" i="4" s="1"/>
  <c r="L151" i="4"/>
  <c r="B151" i="4"/>
  <c r="C151" i="4" s="1"/>
  <c r="L150" i="4"/>
  <c r="B150" i="4"/>
  <c r="C150" i="4" s="1"/>
  <c r="L149" i="4"/>
  <c r="B149" i="4"/>
  <c r="C149" i="4" s="1"/>
  <c r="L148" i="4"/>
  <c r="B148" i="4"/>
  <c r="C148" i="4" s="1"/>
  <c r="L147" i="4"/>
  <c r="B147" i="4"/>
  <c r="C147" i="4" s="1"/>
  <c r="L146" i="4"/>
  <c r="B146" i="4"/>
  <c r="C146" i="4" s="1"/>
  <c r="L145" i="4"/>
  <c r="B145" i="4"/>
  <c r="C145" i="4" s="1"/>
  <c r="L144" i="4"/>
  <c r="B144" i="4"/>
  <c r="C144" i="4" s="1"/>
  <c r="L143" i="4"/>
  <c r="B143" i="4"/>
  <c r="C143" i="4" s="1"/>
  <c r="L142" i="4"/>
  <c r="B142" i="4"/>
  <c r="C142" i="4" s="1"/>
  <c r="L141" i="4"/>
  <c r="B141" i="4"/>
  <c r="C141" i="4" s="1"/>
  <c r="L140" i="4"/>
  <c r="B140" i="4"/>
  <c r="C140" i="4" s="1"/>
  <c r="L139" i="4"/>
  <c r="B139" i="4"/>
  <c r="C139" i="4" s="1"/>
  <c r="L138" i="4"/>
  <c r="B138" i="4"/>
  <c r="C138" i="4" s="1"/>
  <c r="L137" i="4"/>
  <c r="B137" i="4"/>
  <c r="C137" i="4" s="1"/>
  <c r="L136" i="4"/>
  <c r="B136" i="4"/>
  <c r="C136" i="4" s="1"/>
  <c r="L135" i="4"/>
  <c r="B135" i="4"/>
  <c r="C135" i="4" s="1"/>
  <c r="L134" i="4"/>
  <c r="B134" i="4"/>
  <c r="C134" i="4" s="1"/>
  <c r="L133" i="4"/>
  <c r="B133" i="4"/>
  <c r="C133" i="4" s="1"/>
  <c r="L132" i="4"/>
  <c r="B132" i="4"/>
  <c r="C132" i="4" s="1"/>
  <c r="L131" i="4"/>
  <c r="B131" i="4"/>
  <c r="C131" i="4" s="1"/>
  <c r="L130" i="4"/>
  <c r="B130" i="4"/>
  <c r="C130" i="4" s="1"/>
  <c r="L129" i="4"/>
  <c r="B129" i="4"/>
  <c r="C129" i="4" s="1"/>
  <c r="L128" i="4"/>
  <c r="B128" i="4"/>
  <c r="C128" i="4" s="1"/>
  <c r="L127" i="4"/>
  <c r="B127" i="4"/>
  <c r="C127" i="4" s="1"/>
  <c r="L126" i="4"/>
  <c r="B126" i="4"/>
  <c r="C126" i="4" s="1"/>
  <c r="L125" i="4"/>
  <c r="B125" i="4"/>
  <c r="C125" i="4" s="1"/>
  <c r="L124" i="4"/>
  <c r="B124" i="4"/>
  <c r="C124" i="4" s="1"/>
  <c r="L123" i="4"/>
  <c r="B123" i="4"/>
  <c r="C123" i="4" s="1"/>
  <c r="L122" i="4"/>
  <c r="B122" i="4"/>
  <c r="C122" i="4" s="1"/>
  <c r="L121" i="4"/>
  <c r="B121" i="4"/>
  <c r="C121" i="4" s="1"/>
  <c r="L120" i="4"/>
  <c r="B120" i="4"/>
  <c r="C120" i="4" s="1"/>
  <c r="L119" i="4"/>
  <c r="B119" i="4"/>
  <c r="C119" i="4" s="1"/>
  <c r="L118" i="4"/>
  <c r="B118" i="4"/>
  <c r="C118" i="4" s="1"/>
  <c r="L117" i="4"/>
  <c r="B117" i="4"/>
  <c r="C117" i="4" s="1"/>
  <c r="L116" i="4"/>
  <c r="B116" i="4"/>
  <c r="C116" i="4" s="1"/>
  <c r="L115" i="4"/>
  <c r="B115" i="4"/>
  <c r="C115" i="4" s="1"/>
  <c r="L114" i="4"/>
  <c r="B114" i="4"/>
  <c r="C114" i="4" s="1"/>
  <c r="L113" i="4"/>
  <c r="B113" i="4"/>
  <c r="C113" i="4" s="1"/>
  <c r="L112" i="4"/>
  <c r="B112" i="4"/>
  <c r="C112" i="4" s="1"/>
  <c r="L111" i="4"/>
  <c r="B111" i="4"/>
  <c r="C111" i="4" s="1"/>
  <c r="L110" i="4"/>
  <c r="B110" i="4"/>
  <c r="C110" i="4" s="1"/>
  <c r="L109" i="4"/>
  <c r="B109" i="4"/>
  <c r="C109" i="4" s="1"/>
  <c r="L108" i="4"/>
  <c r="B108" i="4"/>
  <c r="C108" i="4" s="1"/>
  <c r="L107" i="4"/>
  <c r="B107" i="4"/>
  <c r="C107" i="4" s="1"/>
  <c r="L106" i="4"/>
  <c r="B106" i="4"/>
  <c r="C106" i="4" s="1"/>
  <c r="L105" i="4"/>
  <c r="B105" i="4"/>
  <c r="C105" i="4" s="1"/>
  <c r="L104" i="4"/>
  <c r="B104" i="4"/>
  <c r="C104" i="4" s="1"/>
  <c r="L103" i="4"/>
  <c r="B103" i="4"/>
  <c r="C103" i="4" s="1"/>
  <c r="L102" i="4"/>
  <c r="B102" i="4"/>
  <c r="C102" i="4" s="1"/>
  <c r="L101" i="4"/>
  <c r="B101" i="4"/>
  <c r="C101" i="4" s="1"/>
  <c r="L100" i="4"/>
  <c r="B100" i="4"/>
  <c r="C100" i="4" s="1"/>
  <c r="L99" i="4"/>
  <c r="B99" i="4"/>
  <c r="C99" i="4" s="1"/>
  <c r="L98" i="4"/>
  <c r="B98" i="4"/>
  <c r="C98" i="4" s="1"/>
  <c r="L97" i="4"/>
  <c r="B97" i="4"/>
  <c r="C97" i="4" s="1"/>
  <c r="L96" i="4"/>
  <c r="B96" i="4"/>
  <c r="C96" i="4" s="1"/>
  <c r="L95" i="4"/>
  <c r="B95" i="4"/>
  <c r="C95" i="4" s="1"/>
  <c r="L94" i="4"/>
  <c r="B94" i="4"/>
  <c r="C94" i="4" s="1"/>
  <c r="L93" i="4"/>
  <c r="B93" i="4"/>
  <c r="C93" i="4" s="1"/>
  <c r="L92" i="4"/>
  <c r="B92" i="4"/>
  <c r="C92" i="4" s="1"/>
  <c r="L91" i="4"/>
  <c r="B91" i="4"/>
  <c r="C91" i="4" s="1"/>
  <c r="L90" i="4"/>
  <c r="B90" i="4"/>
  <c r="C90" i="4" s="1"/>
  <c r="L89" i="4"/>
  <c r="B89" i="4"/>
  <c r="C89" i="4" s="1"/>
  <c r="L88" i="4"/>
  <c r="B88" i="4"/>
  <c r="C88" i="4" s="1"/>
  <c r="L87" i="4"/>
  <c r="B87" i="4"/>
  <c r="C87" i="4" s="1"/>
  <c r="L86" i="4"/>
  <c r="B86" i="4"/>
  <c r="C86" i="4" s="1"/>
  <c r="L85" i="4"/>
  <c r="B85" i="4"/>
  <c r="C85" i="4" s="1"/>
  <c r="L84" i="4"/>
  <c r="B84" i="4"/>
  <c r="C84" i="4" s="1"/>
  <c r="L83" i="4"/>
  <c r="B83" i="4"/>
  <c r="C83" i="4" s="1"/>
  <c r="L82" i="4"/>
  <c r="B82" i="4"/>
  <c r="C82" i="4" s="1"/>
  <c r="L81" i="4"/>
  <c r="B81" i="4"/>
  <c r="C81" i="4" s="1"/>
  <c r="L80" i="4"/>
  <c r="B80" i="4"/>
  <c r="C80" i="4" s="1"/>
  <c r="L79" i="4"/>
  <c r="B79" i="4"/>
  <c r="C79" i="4" s="1"/>
  <c r="L78" i="4"/>
  <c r="B78" i="4"/>
  <c r="C78" i="4" s="1"/>
  <c r="L77" i="4"/>
  <c r="B77" i="4"/>
  <c r="C77" i="4" s="1"/>
  <c r="L76" i="4"/>
  <c r="B76" i="4"/>
  <c r="C76" i="4" s="1"/>
  <c r="L75" i="4"/>
  <c r="B75" i="4"/>
  <c r="C75" i="4" s="1"/>
  <c r="L74" i="4"/>
  <c r="B74" i="4"/>
  <c r="C74" i="4" s="1"/>
  <c r="L73" i="4"/>
  <c r="B73" i="4"/>
  <c r="C73" i="4" s="1"/>
  <c r="L72" i="4"/>
  <c r="B72" i="4"/>
  <c r="C72" i="4" s="1"/>
  <c r="L71" i="4"/>
  <c r="B71" i="4"/>
  <c r="C71" i="4" s="1"/>
  <c r="L70" i="4"/>
  <c r="B70" i="4"/>
  <c r="C70" i="4" s="1"/>
  <c r="L69" i="4"/>
  <c r="B69" i="4"/>
  <c r="C69" i="4" s="1"/>
  <c r="L68" i="4"/>
  <c r="B68" i="4"/>
  <c r="C68" i="4" s="1"/>
  <c r="L67" i="4"/>
  <c r="B67" i="4"/>
  <c r="C67" i="4" s="1"/>
  <c r="L66" i="4"/>
  <c r="B66" i="4"/>
  <c r="C66" i="4" s="1"/>
  <c r="L65" i="4"/>
  <c r="B65" i="4"/>
  <c r="C65" i="4" s="1"/>
  <c r="L64" i="4"/>
  <c r="B64" i="4"/>
  <c r="C64" i="4" s="1"/>
  <c r="L63" i="4"/>
  <c r="B63" i="4"/>
  <c r="C63" i="4" s="1"/>
  <c r="L62" i="4"/>
  <c r="B62" i="4"/>
  <c r="C62" i="4" s="1"/>
  <c r="L61" i="4"/>
  <c r="B61" i="4"/>
  <c r="C61" i="4" s="1"/>
  <c r="L60" i="4"/>
  <c r="B60" i="4"/>
  <c r="C60" i="4" s="1"/>
  <c r="L59" i="4"/>
  <c r="B59" i="4"/>
  <c r="C59" i="4" s="1"/>
  <c r="L58" i="4"/>
  <c r="B58" i="4"/>
  <c r="C58" i="4" s="1"/>
  <c r="L57" i="4"/>
  <c r="B57" i="4"/>
  <c r="C57" i="4" s="1"/>
  <c r="L56" i="4"/>
  <c r="B56" i="4"/>
  <c r="C56" i="4" s="1"/>
  <c r="L55" i="4"/>
  <c r="B55" i="4"/>
  <c r="C55" i="4" s="1"/>
  <c r="L54" i="4"/>
  <c r="B54" i="4"/>
  <c r="C54" i="4" s="1"/>
  <c r="L53" i="4"/>
  <c r="B53" i="4"/>
  <c r="C53" i="4" s="1"/>
  <c r="L52" i="4"/>
  <c r="B52" i="4"/>
  <c r="C52" i="4" s="1"/>
  <c r="L51" i="4"/>
  <c r="B51" i="4"/>
  <c r="C51" i="4" s="1"/>
  <c r="L50" i="4"/>
  <c r="B50" i="4"/>
  <c r="C50" i="4" s="1"/>
  <c r="L49" i="4"/>
  <c r="B49" i="4"/>
  <c r="C49" i="4" s="1"/>
  <c r="L48" i="4"/>
  <c r="B48" i="4"/>
  <c r="C48" i="4" s="1"/>
  <c r="L47" i="4"/>
  <c r="B47" i="4"/>
  <c r="C47" i="4" s="1"/>
  <c r="L46" i="4"/>
  <c r="B46" i="4"/>
  <c r="C46" i="4" s="1"/>
  <c r="L45" i="4"/>
  <c r="B45" i="4"/>
  <c r="C45" i="4" s="1"/>
  <c r="L44" i="4"/>
  <c r="B44" i="4"/>
  <c r="C44" i="4" s="1"/>
  <c r="L43" i="4"/>
  <c r="B43" i="4"/>
  <c r="C43" i="4" s="1"/>
  <c r="L42" i="4"/>
  <c r="B42" i="4"/>
  <c r="C42" i="4" s="1"/>
  <c r="L41" i="4"/>
  <c r="B41" i="4"/>
  <c r="C41" i="4" s="1"/>
  <c r="L40" i="4"/>
  <c r="B40" i="4"/>
  <c r="C40" i="4" s="1"/>
  <c r="L39" i="4"/>
  <c r="B39" i="4"/>
  <c r="C39" i="4" s="1"/>
  <c r="L38" i="4"/>
  <c r="B38" i="4"/>
  <c r="C38" i="4" s="1"/>
  <c r="L37" i="4"/>
  <c r="B37" i="4"/>
  <c r="C37" i="4" s="1"/>
  <c r="L36" i="4"/>
  <c r="B36" i="4"/>
  <c r="C36" i="4" s="1"/>
  <c r="L35" i="4"/>
  <c r="B35" i="4"/>
  <c r="C35" i="4" s="1"/>
  <c r="L34" i="4"/>
  <c r="B34" i="4"/>
  <c r="C34" i="4" s="1"/>
  <c r="L33" i="4"/>
  <c r="B33" i="4"/>
  <c r="C33" i="4" s="1"/>
  <c r="L32" i="4"/>
  <c r="B32" i="4"/>
  <c r="C32" i="4" s="1"/>
  <c r="L31" i="4"/>
  <c r="B31" i="4"/>
  <c r="C31" i="4" s="1"/>
  <c r="L30" i="4"/>
  <c r="B30" i="4"/>
  <c r="C30" i="4" s="1"/>
  <c r="L29" i="4"/>
  <c r="B29" i="4"/>
  <c r="C29" i="4" s="1"/>
  <c r="L28" i="4"/>
  <c r="B28" i="4"/>
  <c r="C28" i="4" s="1"/>
  <c r="L27" i="4"/>
  <c r="B27" i="4"/>
  <c r="C27" i="4" s="1"/>
  <c r="L26" i="4"/>
  <c r="B26" i="4"/>
  <c r="C26" i="4" s="1"/>
  <c r="L25" i="4"/>
  <c r="B25" i="4"/>
  <c r="C25" i="4" s="1"/>
  <c r="L24" i="4"/>
  <c r="B24" i="4"/>
  <c r="C24" i="4" s="1"/>
  <c r="L23" i="4"/>
  <c r="B23" i="4"/>
  <c r="C23" i="4" s="1"/>
  <c r="L22" i="4"/>
  <c r="B22" i="4"/>
  <c r="C22" i="4" s="1"/>
  <c r="L21" i="4"/>
  <c r="B21" i="4"/>
  <c r="C21" i="4" s="1"/>
  <c r="L20" i="4"/>
  <c r="B20" i="4"/>
  <c r="C20" i="4" s="1"/>
  <c r="L19" i="4"/>
  <c r="B19" i="4"/>
  <c r="C19" i="4" s="1"/>
  <c r="L18" i="4"/>
  <c r="B18" i="4"/>
  <c r="C18" i="4" s="1"/>
  <c r="L17" i="4"/>
  <c r="B17" i="4"/>
  <c r="C17" i="4" s="1"/>
  <c r="L16" i="4"/>
  <c r="B16" i="4"/>
  <c r="C16" i="4" s="1"/>
  <c r="L13" i="4"/>
  <c r="B13" i="4"/>
  <c r="C13" i="4" s="1"/>
  <c r="L12" i="4"/>
  <c r="B12" i="4"/>
  <c r="C12" i="4" s="1"/>
  <c r="L11" i="4"/>
  <c r="B11" i="4"/>
  <c r="C11" i="4" s="1"/>
  <c r="L10" i="4"/>
  <c r="B10" i="4"/>
  <c r="C10" i="4" s="1"/>
  <c r="L9" i="4"/>
  <c r="B9" i="4"/>
  <c r="D6" i="4"/>
  <c r="D5" i="4"/>
  <c r="D4" i="4"/>
  <c r="D3" i="4"/>
  <c r="L987" i="3"/>
  <c r="B987" i="3"/>
  <c r="C987" i="3" s="1"/>
  <c r="L986" i="3"/>
  <c r="B986" i="3"/>
  <c r="C986" i="3" s="1"/>
  <c r="L985" i="3"/>
  <c r="B985" i="3"/>
  <c r="C985" i="3" s="1"/>
  <c r="L984" i="3"/>
  <c r="B984" i="3"/>
  <c r="C984" i="3" s="1"/>
  <c r="L983" i="3"/>
  <c r="B983" i="3"/>
  <c r="C983" i="3" s="1"/>
  <c r="L982" i="3"/>
  <c r="B982" i="3"/>
  <c r="C982" i="3" s="1"/>
  <c r="L981" i="3"/>
  <c r="B981" i="3"/>
  <c r="C981" i="3" s="1"/>
  <c r="L980" i="3"/>
  <c r="B980" i="3"/>
  <c r="C980" i="3" s="1"/>
  <c r="L979" i="3"/>
  <c r="B979" i="3"/>
  <c r="C979" i="3" s="1"/>
  <c r="L978" i="3"/>
  <c r="B978" i="3"/>
  <c r="C978" i="3" s="1"/>
  <c r="L977" i="3"/>
  <c r="B977" i="3"/>
  <c r="C977" i="3" s="1"/>
  <c r="L976" i="3"/>
  <c r="B976" i="3"/>
  <c r="C976" i="3" s="1"/>
  <c r="L975" i="3"/>
  <c r="B975" i="3"/>
  <c r="C975" i="3" s="1"/>
  <c r="L974" i="3"/>
  <c r="B974" i="3"/>
  <c r="C974" i="3" s="1"/>
  <c r="L973" i="3"/>
  <c r="B973" i="3"/>
  <c r="C973" i="3" s="1"/>
  <c r="L972" i="3"/>
  <c r="B972" i="3"/>
  <c r="C972" i="3" s="1"/>
  <c r="L971" i="3"/>
  <c r="B971" i="3"/>
  <c r="C971" i="3" s="1"/>
  <c r="L970" i="3"/>
  <c r="B970" i="3"/>
  <c r="C970" i="3" s="1"/>
  <c r="L969" i="3"/>
  <c r="B969" i="3"/>
  <c r="C969" i="3" s="1"/>
  <c r="L968" i="3"/>
  <c r="B968" i="3"/>
  <c r="C968" i="3" s="1"/>
  <c r="L967" i="3"/>
  <c r="B967" i="3"/>
  <c r="C967" i="3" s="1"/>
  <c r="L966" i="3"/>
  <c r="B966" i="3"/>
  <c r="C966" i="3" s="1"/>
  <c r="L965" i="3"/>
  <c r="B965" i="3"/>
  <c r="C965" i="3" s="1"/>
  <c r="L964" i="3"/>
  <c r="B964" i="3"/>
  <c r="C964" i="3" s="1"/>
  <c r="L963" i="3"/>
  <c r="B963" i="3"/>
  <c r="C963" i="3" s="1"/>
  <c r="L962" i="3"/>
  <c r="B962" i="3"/>
  <c r="C962" i="3" s="1"/>
  <c r="L961" i="3"/>
  <c r="B961" i="3"/>
  <c r="C961" i="3" s="1"/>
  <c r="L960" i="3"/>
  <c r="B960" i="3"/>
  <c r="C960" i="3" s="1"/>
  <c r="L959" i="3"/>
  <c r="B959" i="3"/>
  <c r="C959" i="3" s="1"/>
  <c r="L958" i="3"/>
  <c r="B958" i="3"/>
  <c r="C958" i="3" s="1"/>
  <c r="L957" i="3"/>
  <c r="B957" i="3"/>
  <c r="C957" i="3" s="1"/>
  <c r="L956" i="3"/>
  <c r="B956" i="3"/>
  <c r="C956" i="3" s="1"/>
  <c r="L955" i="3"/>
  <c r="B955" i="3"/>
  <c r="C955" i="3" s="1"/>
  <c r="L954" i="3"/>
  <c r="B954" i="3"/>
  <c r="C954" i="3" s="1"/>
  <c r="L953" i="3"/>
  <c r="B953" i="3"/>
  <c r="C953" i="3" s="1"/>
  <c r="L952" i="3"/>
  <c r="B952" i="3"/>
  <c r="C952" i="3" s="1"/>
  <c r="L951" i="3"/>
  <c r="B951" i="3"/>
  <c r="C951" i="3" s="1"/>
  <c r="L950" i="3"/>
  <c r="B950" i="3"/>
  <c r="C950" i="3" s="1"/>
  <c r="L949" i="3"/>
  <c r="B949" i="3"/>
  <c r="C949" i="3" s="1"/>
  <c r="L948" i="3"/>
  <c r="B948" i="3"/>
  <c r="C948" i="3" s="1"/>
  <c r="L947" i="3"/>
  <c r="B947" i="3"/>
  <c r="C947" i="3" s="1"/>
  <c r="L946" i="3"/>
  <c r="B946" i="3"/>
  <c r="C946" i="3" s="1"/>
  <c r="L945" i="3"/>
  <c r="B945" i="3"/>
  <c r="C945" i="3" s="1"/>
  <c r="L944" i="3"/>
  <c r="B944" i="3"/>
  <c r="C944" i="3" s="1"/>
  <c r="L943" i="3"/>
  <c r="B943" i="3"/>
  <c r="C943" i="3" s="1"/>
  <c r="L942" i="3"/>
  <c r="B942" i="3"/>
  <c r="C942" i="3" s="1"/>
  <c r="L941" i="3"/>
  <c r="B941" i="3"/>
  <c r="C941" i="3" s="1"/>
  <c r="L940" i="3"/>
  <c r="B940" i="3"/>
  <c r="C940" i="3" s="1"/>
  <c r="L939" i="3"/>
  <c r="B939" i="3"/>
  <c r="C939" i="3" s="1"/>
  <c r="L938" i="3"/>
  <c r="B938" i="3"/>
  <c r="C938" i="3" s="1"/>
  <c r="L937" i="3"/>
  <c r="B937" i="3"/>
  <c r="C937" i="3" s="1"/>
  <c r="L936" i="3"/>
  <c r="B936" i="3"/>
  <c r="C936" i="3" s="1"/>
  <c r="L935" i="3"/>
  <c r="B935" i="3"/>
  <c r="C935" i="3" s="1"/>
  <c r="L934" i="3"/>
  <c r="B934" i="3"/>
  <c r="C934" i="3" s="1"/>
  <c r="L933" i="3"/>
  <c r="B933" i="3"/>
  <c r="C933" i="3" s="1"/>
  <c r="L932" i="3"/>
  <c r="B932" i="3"/>
  <c r="C932" i="3" s="1"/>
  <c r="L931" i="3"/>
  <c r="B931" i="3"/>
  <c r="C931" i="3" s="1"/>
  <c r="L930" i="3"/>
  <c r="B930" i="3"/>
  <c r="C930" i="3" s="1"/>
  <c r="L929" i="3"/>
  <c r="B929" i="3"/>
  <c r="C929" i="3" s="1"/>
  <c r="L928" i="3"/>
  <c r="B928" i="3"/>
  <c r="C928" i="3" s="1"/>
  <c r="L927" i="3"/>
  <c r="B927" i="3"/>
  <c r="C927" i="3" s="1"/>
  <c r="L926" i="3"/>
  <c r="B926" i="3"/>
  <c r="C926" i="3" s="1"/>
  <c r="L925" i="3"/>
  <c r="B925" i="3"/>
  <c r="C925" i="3" s="1"/>
  <c r="L924" i="3"/>
  <c r="B924" i="3"/>
  <c r="C924" i="3" s="1"/>
  <c r="L923" i="3"/>
  <c r="B923" i="3"/>
  <c r="C923" i="3" s="1"/>
  <c r="L922" i="3"/>
  <c r="B922" i="3"/>
  <c r="C922" i="3" s="1"/>
  <c r="L921" i="3"/>
  <c r="B921" i="3"/>
  <c r="C921" i="3" s="1"/>
  <c r="L920" i="3"/>
  <c r="B920" i="3"/>
  <c r="C920" i="3" s="1"/>
  <c r="L919" i="3"/>
  <c r="B919" i="3"/>
  <c r="C919" i="3" s="1"/>
  <c r="L918" i="3"/>
  <c r="B918" i="3"/>
  <c r="C918" i="3" s="1"/>
  <c r="L917" i="3"/>
  <c r="B917" i="3"/>
  <c r="C917" i="3" s="1"/>
  <c r="L916" i="3"/>
  <c r="B916" i="3"/>
  <c r="C916" i="3" s="1"/>
  <c r="L915" i="3"/>
  <c r="B915" i="3"/>
  <c r="C915" i="3" s="1"/>
  <c r="L914" i="3"/>
  <c r="B914" i="3"/>
  <c r="C914" i="3" s="1"/>
  <c r="L913" i="3"/>
  <c r="B913" i="3"/>
  <c r="C913" i="3" s="1"/>
  <c r="L912" i="3"/>
  <c r="B912" i="3"/>
  <c r="C912" i="3" s="1"/>
  <c r="L911" i="3"/>
  <c r="B911" i="3"/>
  <c r="C911" i="3" s="1"/>
  <c r="L910" i="3"/>
  <c r="B910" i="3"/>
  <c r="C910" i="3" s="1"/>
  <c r="L909" i="3"/>
  <c r="B909" i="3"/>
  <c r="C909" i="3" s="1"/>
  <c r="L908" i="3"/>
  <c r="B908" i="3"/>
  <c r="C908" i="3" s="1"/>
  <c r="L907" i="3"/>
  <c r="B907" i="3"/>
  <c r="C907" i="3" s="1"/>
  <c r="L906" i="3"/>
  <c r="B906" i="3"/>
  <c r="C906" i="3" s="1"/>
  <c r="L905" i="3"/>
  <c r="B905" i="3"/>
  <c r="C905" i="3" s="1"/>
  <c r="L904" i="3"/>
  <c r="B904" i="3"/>
  <c r="C904" i="3" s="1"/>
  <c r="L903" i="3"/>
  <c r="B903" i="3"/>
  <c r="C903" i="3" s="1"/>
  <c r="L902" i="3"/>
  <c r="B902" i="3"/>
  <c r="C902" i="3" s="1"/>
  <c r="L901" i="3"/>
  <c r="B901" i="3"/>
  <c r="C901" i="3" s="1"/>
  <c r="L900" i="3"/>
  <c r="B900" i="3"/>
  <c r="C900" i="3" s="1"/>
  <c r="L899" i="3"/>
  <c r="B899" i="3"/>
  <c r="C899" i="3" s="1"/>
  <c r="L898" i="3"/>
  <c r="B898" i="3"/>
  <c r="C898" i="3" s="1"/>
  <c r="L897" i="3"/>
  <c r="B897" i="3"/>
  <c r="C897" i="3" s="1"/>
  <c r="L896" i="3"/>
  <c r="B896" i="3"/>
  <c r="C896" i="3" s="1"/>
  <c r="L895" i="3"/>
  <c r="B895" i="3"/>
  <c r="C895" i="3" s="1"/>
  <c r="L894" i="3"/>
  <c r="B894" i="3"/>
  <c r="C894" i="3" s="1"/>
  <c r="L893" i="3"/>
  <c r="B893" i="3"/>
  <c r="C893" i="3" s="1"/>
  <c r="L892" i="3"/>
  <c r="B892" i="3"/>
  <c r="C892" i="3" s="1"/>
  <c r="L891" i="3"/>
  <c r="B891" i="3"/>
  <c r="C891" i="3" s="1"/>
  <c r="L890" i="3"/>
  <c r="B890" i="3"/>
  <c r="C890" i="3" s="1"/>
  <c r="L889" i="3"/>
  <c r="B889" i="3"/>
  <c r="C889" i="3" s="1"/>
  <c r="L888" i="3"/>
  <c r="B888" i="3"/>
  <c r="C888" i="3" s="1"/>
  <c r="L887" i="3"/>
  <c r="B887" i="3"/>
  <c r="C887" i="3" s="1"/>
  <c r="L886" i="3"/>
  <c r="B886" i="3"/>
  <c r="C886" i="3" s="1"/>
  <c r="L885" i="3"/>
  <c r="B885" i="3"/>
  <c r="C885" i="3" s="1"/>
  <c r="L884" i="3"/>
  <c r="B884" i="3"/>
  <c r="C884" i="3" s="1"/>
  <c r="L883" i="3"/>
  <c r="B883" i="3"/>
  <c r="C883" i="3" s="1"/>
  <c r="L882" i="3"/>
  <c r="B882" i="3"/>
  <c r="C882" i="3" s="1"/>
  <c r="L881" i="3"/>
  <c r="B881" i="3"/>
  <c r="C881" i="3" s="1"/>
  <c r="L880" i="3"/>
  <c r="B880" i="3"/>
  <c r="C880" i="3" s="1"/>
  <c r="L879" i="3"/>
  <c r="B879" i="3"/>
  <c r="C879" i="3" s="1"/>
  <c r="L878" i="3"/>
  <c r="B878" i="3"/>
  <c r="C878" i="3" s="1"/>
  <c r="L877" i="3"/>
  <c r="B877" i="3"/>
  <c r="C877" i="3" s="1"/>
  <c r="L876" i="3"/>
  <c r="B876" i="3"/>
  <c r="C876" i="3" s="1"/>
  <c r="L875" i="3"/>
  <c r="B875" i="3"/>
  <c r="C875" i="3" s="1"/>
  <c r="L874" i="3"/>
  <c r="B874" i="3"/>
  <c r="C874" i="3" s="1"/>
  <c r="L873" i="3"/>
  <c r="B873" i="3"/>
  <c r="C873" i="3" s="1"/>
  <c r="L872" i="3"/>
  <c r="B872" i="3"/>
  <c r="C872" i="3" s="1"/>
  <c r="L871" i="3"/>
  <c r="B871" i="3"/>
  <c r="C871" i="3" s="1"/>
  <c r="L870" i="3"/>
  <c r="B870" i="3"/>
  <c r="C870" i="3" s="1"/>
  <c r="L869" i="3"/>
  <c r="B869" i="3"/>
  <c r="C869" i="3" s="1"/>
  <c r="L868" i="3"/>
  <c r="B868" i="3"/>
  <c r="C868" i="3" s="1"/>
  <c r="L867" i="3"/>
  <c r="B867" i="3"/>
  <c r="C867" i="3" s="1"/>
  <c r="L866" i="3"/>
  <c r="B866" i="3"/>
  <c r="C866" i="3" s="1"/>
  <c r="L865" i="3"/>
  <c r="B865" i="3"/>
  <c r="C865" i="3" s="1"/>
  <c r="L864" i="3"/>
  <c r="B864" i="3"/>
  <c r="C864" i="3" s="1"/>
  <c r="L863" i="3"/>
  <c r="B863" i="3"/>
  <c r="C863" i="3" s="1"/>
  <c r="L862" i="3"/>
  <c r="B862" i="3"/>
  <c r="C862" i="3" s="1"/>
  <c r="L861" i="3"/>
  <c r="B861" i="3"/>
  <c r="C861" i="3" s="1"/>
  <c r="L860" i="3"/>
  <c r="B860" i="3"/>
  <c r="C860" i="3" s="1"/>
  <c r="L859" i="3"/>
  <c r="B859" i="3"/>
  <c r="C859" i="3" s="1"/>
  <c r="L858" i="3"/>
  <c r="B858" i="3"/>
  <c r="C858" i="3" s="1"/>
  <c r="L857" i="3"/>
  <c r="B857" i="3"/>
  <c r="C857" i="3" s="1"/>
  <c r="L856" i="3"/>
  <c r="B856" i="3"/>
  <c r="C856" i="3" s="1"/>
  <c r="L855" i="3"/>
  <c r="B855" i="3"/>
  <c r="C855" i="3" s="1"/>
  <c r="L854" i="3"/>
  <c r="B854" i="3"/>
  <c r="C854" i="3" s="1"/>
  <c r="L853" i="3"/>
  <c r="B853" i="3"/>
  <c r="C853" i="3" s="1"/>
  <c r="L852" i="3"/>
  <c r="B852" i="3"/>
  <c r="C852" i="3" s="1"/>
  <c r="L851" i="3"/>
  <c r="B851" i="3"/>
  <c r="C851" i="3" s="1"/>
  <c r="L850" i="3"/>
  <c r="B850" i="3"/>
  <c r="C850" i="3" s="1"/>
  <c r="L849" i="3"/>
  <c r="B849" i="3"/>
  <c r="C849" i="3" s="1"/>
  <c r="L848" i="3"/>
  <c r="B848" i="3"/>
  <c r="C848" i="3" s="1"/>
  <c r="L847" i="3"/>
  <c r="B847" i="3"/>
  <c r="C847" i="3" s="1"/>
  <c r="L846" i="3"/>
  <c r="B846" i="3"/>
  <c r="C846" i="3" s="1"/>
  <c r="L845" i="3"/>
  <c r="B845" i="3"/>
  <c r="C845" i="3" s="1"/>
  <c r="L844" i="3"/>
  <c r="B844" i="3"/>
  <c r="C844" i="3" s="1"/>
  <c r="L843" i="3"/>
  <c r="B843" i="3"/>
  <c r="C843" i="3" s="1"/>
  <c r="L842" i="3"/>
  <c r="B842" i="3"/>
  <c r="C842" i="3" s="1"/>
  <c r="L841" i="3"/>
  <c r="B841" i="3"/>
  <c r="C841" i="3" s="1"/>
  <c r="L840" i="3"/>
  <c r="B840" i="3"/>
  <c r="C840" i="3" s="1"/>
  <c r="L839" i="3"/>
  <c r="B839" i="3"/>
  <c r="C839" i="3" s="1"/>
  <c r="L838" i="3"/>
  <c r="B838" i="3"/>
  <c r="C838" i="3" s="1"/>
  <c r="L837" i="3"/>
  <c r="B837" i="3"/>
  <c r="C837" i="3" s="1"/>
  <c r="L836" i="3"/>
  <c r="B836" i="3"/>
  <c r="C836" i="3" s="1"/>
  <c r="L835" i="3"/>
  <c r="B835" i="3"/>
  <c r="C835" i="3" s="1"/>
  <c r="L834" i="3"/>
  <c r="B834" i="3"/>
  <c r="C834" i="3" s="1"/>
  <c r="L833" i="3"/>
  <c r="B833" i="3"/>
  <c r="C833" i="3" s="1"/>
  <c r="L832" i="3"/>
  <c r="B832" i="3"/>
  <c r="C832" i="3" s="1"/>
  <c r="L831" i="3"/>
  <c r="B831" i="3"/>
  <c r="C831" i="3" s="1"/>
  <c r="L830" i="3"/>
  <c r="B830" i="3"/>
  <c r="C830" i="3" s="1"/>
  <c r="L829" i="3"/>
  <c r="B829" i="3"/>
  <c r="C829" i="3" s="1"/>
  <c r="L828" i="3"/>
  <c r="B828" i="3"/>
  <c r="C828" i="3" s="1"/>
  <c r="L827" i="3"/>
  <c r="B827" i="3"/>
  <c r="C827" i="3" s="1"/>
  <c r="L826" i="3"/>
  <c r="B826" i="3"/>
  <c r="C826" i="3" s="1"/>
  <c r="L825" i="3"/>
  <c r="B825" i="3"/>
  <c r="C825" i="3" s="1"/>
  <c r="L824" i="3"/>
  <c r="B824" i="3"/>
  <c r="C824" i="3" s="1"/>
  <c r="L823" i="3"/>
  <c r="B823" i="3"/>
  <c r="C823" i="3" s="1"/>
  <c r="L822" i="3"/>
  <c r="B822" i="3"/>
  <c r="C822" i="3" s="1"/>
  <c r="L821" i="3"/>
  <c r="B821" i="3"/>
  <c r="C821" i="3" s="1"/>
  <c r="L820" i="3"/>
  <c r="B820" i="3"/>
  <c r="C820" i="3" s="1"/>
  <c r="L819" i="3"/>
  <c r="B819" i="3"/>
  <c r="C819" i="3" s="1"/>
  <c r="L818" i="3"/>
  <c r="B818" i="3"/>
  <c r="C818" i="3" s="1"/>
  <c r="L817" i="3"/>
  <c r="B817" i="3"/>
  <c r="C817" i="3" s="1"/>
  <c r="L816" i="3"/>
  <c r="B816" i="3"/>
  <c r="C816" i="3" s="1"/>
  <c r="L815" i="3"/>
  <c r="B815" i="3"/>
  <c r="C815" i="3" s="1"/>
  <c r="L814" i="3"/>
  <c r="B814" i="3"/>
  <c r="C814" i="3" s="1"/>
  <c r="L813" i="3"/>
  <c r="B813" i="3"/>
  <c r="C813" i="3" s="1"/>
  <c r="L812" i="3"/>
  <c r="B812" i="3"/>
  <c r="C812" i="3" s="1"/>
  <c r="L811" i="3"/>
  <c r="B811" i="3"/>
  <c r="C811" i="3" s="1"/>
  <c r="L810" i="3"/>
  <c r="B810" i="3"/>
  <c r="C810" i="3" s="1"/>
  <c r="L809" i="3"/>
  <c r="B809" i="3"/>
  <c r="C809" i="3" s="1"/>
  <c r="L808" i="3"/>
  <c r="B808" i="3"/>
  <c r="C808" i="3" s="1"/>
  <c r="L807" i="3"/>
  <c r="B807" i="3"/>
  <c r="C807" i="3" s="1"/>
  <c r="L806" i="3"/>
  <c r="B806" i="3"/>
  <c r="C806" i="3" s="1"/>
  <c r="L805" i="3"/>
  <c r="B805" i="3"/>
  <c r="C805" i="3" s="1"/>
  <c r="L804" i="3"/>
  <c r="B804" i="3"/>
  <c r="C804" i="3" s="1"/>
  <c r="L803" i="3"/>
  <c r="B803" i="3"/>
  <c r="C803" i="3" s="1"/>
  <c r="L802" i="3"/>
  <c r="B802" i="3"/>
  <c r="C802" i="3" s="1"/>
  <c r="L801" i="3"/>
  <c r="B801" i="3"/>
  <c r="C801" i="3" s="1"/>
  <c r="L800" i="3"/>
  <c r="B800" i="3"/>
  <c r="C800" i="3" s="1"/>
  <c r="L799" i="3"/>
  <c r="B799" i="3"/>
  <c r="C799" i="3" s="1"/>
  <c r="L798" i="3"/>
  <c r="B798" i="3"/>
  <c r="C798" i="3" s="1"/>
  <c r="L797" i="3"/>
  <c r="B797" i="3"/>
  <c r="C797" i="3" s="1"/>
  <c r="L796" i="3"/>
  <c r="B796" i="3"/>
  <c r="C796" i="3" s="1"/>
  <c r="L795" i="3"/>
  <c r="B795" i="3"/>
  <c r="C795" i="3" s="1"/>
  <c r="L794" i="3"/>
  <c r="B794" i="3"/>
  <c r="C794" i="3" s="1"/>
  <c r="L793" i="3"/>
  <c r="B793" i="3"/>
  <c r="C793" i="3" s="1"/>
  <c r="L792" i="3"/>
  <c r="B792" i="3"/>
  <c r="C792" i="3" s="1"/>
  <c r="L791" i="3"/>
  <c r="B791" i="3"/>
  <c r="C791" i="3" s="1"/>
  <c r="L790" i="3"/>
  <c r="B790" i="3"/>
  <c r="C790" i="3" s="1"/>
  <c r="L789" i="3"/>
  <c r="B789" i="3"/>
  <c r="C789" i="3" s="1"/>
  <c r="L788" i="3"/>
  <c r="B788" i="3"/>
  <c r="C788" i="3" s="1"/>
  <c r="L787" i="3"/>
  <c r="B787" i="3"/>
  <c r="C787" i="3" s="1"/>
  <c r="L786" i="3"/>
  <c r="B786" i="3"/>
  <c r="C786" i="3" s="1"/>
  <c r="L785" i="3"/>
  <c r="B785" i="3"/>
  <c r="C785" i="3" s="1"/>
  <c r="L784" i="3"/>
  <c r="B784" i="3"/>
  <c r="C784" i="3" s="1"/>
  <c r="L783" i="3"/>
  <c r="B783" i="3"/>
  <c r="C783" i="3" s="1"/>
  <c r="L782" i="3"/>
  <c r="B782" i="3"/>
  <c r="C782" i="3" s="1"/>
  <c r="L781" i="3"/>
  <c r="B781" i="3"/>
  <c r="C781" i="3" s="1"/>
  <c r="L780" i="3"/>
  <c r="B780" i="3"/>
  <c r="C780" i="3" s="1"/>
  <c r="L779" i="3"/>
  <c r="B779" i="3"/>
  <c r="C779" i="3" s="1"/>
  <c r="L778" i="3"/>
  <c r="B778" i="3"/>
  <c r="C778" i="3" s="1"/>
  <c r="L777" i="3"/>
  <c r="B777" i="3"/>
  <c r="C777" i="3" s="1"/>
  <c r="L776" i="3"/>
  <c r="B776" i="3"/>
  <c r="C776" i="3" s="1"/>
  <c r="L775" i="3"/>
  <c r="B775" i="3"/>
  <c r="C775" i="3" s="1"/>
  <c r="L774" i="3"/>
  <c r="B774" i="3"/>
  <c r="C774" i="3" s="1"/>
  <c r="L773" i="3"/>
  <c r="B773" i="3"/>
  <c r="C773" i="3" s="1"/>
  <c r="L772" i="3"/>
  <c r="B772" i="3"/>
  <c r="C772" i="3" s="1"/>
  <c r="L771" i="3"/>
  <c r="B771" i="3"/>
  <c r="C771" i="3" s="1"/>
  <c r="L770" i="3"/>
  <c r="B770" i="3"/>
  <c r="C770" i="3" s="1"/>
  <c r="L769" i="3"/>
  <c r="B769" i="3"/>
  <c r="C769" i="3" s="1"/>
  <c r="L768" i="3"/>
  <c r="B768" i="3"/>
  <c r="C768" i="3" s="1"/>
  <c r="L767" i="3"/>
  <c r="B767" i="3"/>
  <c r="C767" i="3" s="1"/>
  <c r="L766" i="3"/>
  <c r="B766" i="3"/>
  <c r="C766" i="3" s="1"/>
  <c r="L765" i="3"/>
  <c r="B765" i="3"/>
  <c r="C765" i="3" s="1"/>
  <c r="L764" i="3"/>
  <c r="B764" i="3"/>
  <c r="C764" i="3" s="1"/>
  <c r="L763" i="3"/>
  <c r="B763" i="3"/>
  <c r="C763" i="3" s="1"/>
  <c r="L762" i="3"/>
  <c r="B762" i="3"/>
  <c r="C762" i="3" s="1"/>
  <c r="L761" i="3"/>
  <c r="B761" i="3"/>
  <c r="C761" i="3" s="1"/>
  <c r="L760" i="3"/>
  <c r="B760" i="3"/>
  <c r="C760" i="3" s="1"/>
  <c r="L759" i="3"/>
  <c r="B759" i="3"/>
  <c r="C759" i="3" s="1"/>
  <c r="L758" i="3"/>
  <c r="B758" i="3"/>
  <c r="C758" i="3" s="1"/>
  <c r="L757" i="3"/>
  <c r="B757" i="3"/>
  <c r="C757" i="3" s="1"/>
  <c r="L756" i="3"/>
  <c r="B756" i="3"/>
  <c r="C756" i="3" s="1"/>
  <c r="L755" i="3"/>
  <c r="B755" i="3"/>
  <c r="C755" i="3" s="1"/>
  <c r="L754" i="3"/>
  <c r="B754" i="3"/>
  <c r="C754" i="3" s="1"/>
  <c r="L753" i="3"/>
  <c r="B753" i="3"/>
  <c r="C753" i="3" s="1"/>
  <c r="L752" i="3"/>
  <c r="B752" i="3"/>
  <c r="C752" i="3" s="1"/>
  <c r="L751" i="3"/>
  <c r="B751" i="3"/>
  <c r="C751" i="3" s="1"/>
  <c r="L750" i="3"/>
  <c r="B750" i="3"/>
  <c r="C750" i="3" s="1"/>
  <c r="L749" i="3"/>
  <c r="B749" i="3"/>
  <c r="C749" i="3" s="1"/>
  <c r="L748" i="3"/>
  <c r="B748" i="3"/>
  <c r="C748" i="3" s="1"/>
  <c r="L747" i="3"/>
  <c r="B747" i="3"/>
  <c r="C747" i="3" s="1"/>
  <c r="L746" i="3"/>
  <c r="B746" i="3"/>
  <c r="C746" i="3" s="1"/>
  <c r="L745" i="3"/>
  <c r="B745" i="3"/>
  <c r="C745" i="3" s="1"/>
  <c r="L744" i="3"/>
  <c r="B744" i="3"/>
  <c r="C744" i="3" s="1"/>
  <c r="L743" i="3"/>
  <c r="B743" i="3"/>
  <c r="C743" i="3" s="1"/>
  <c r="L742" i="3"/>
  <c r="B742" i="3"/>
  <c r="C742" i="3" s="1"/>
  <c r="L741" i="3"/>
  <c r="B741" i="3"/>
  <c r="C741" i="3" s="1"/>
  <c r="L740" i="3"/>
  <c r="B740" i="3"/>
  <c r="C740" i="3" s="1"/>
  <c r="L739" i="3"/>
  <c r="B739" i="3"/>
  <c r="C739" i="3" s="1"/>
  <c r="L738" i="3"/>
  <c r="B738" i="3"/>
  <c r="C738" i="3" s="1"/>
  <c r="L737" i="3"/>
  <c r="B737" i="3"/>
  <c r="C737" i="3" s="1"/>
  <c r="L736" i="3"/>
  <c r="B736" i="3"/>
  <c r="C736" i="3" s="1"/>
  <c r="L735" i="3"/>
  <c r="B735" i="3"/>
  <c r="C735" i="3" s="1"/>
  <c r="L734" i="3"/>
  <c r="B734" i="3"/>
  <c r="C734" i="3" s="1"/>
  <c r="L733" i="3"/>
  <c r="B733" i="3"/>
  <c r="C733" i="3" s="1"/>
  <c r="L732" i="3"/>
  <c r="B732" i="3"/>
  <c r="C732" i="3" s="1"/>
  <c r="L731" i="3"/>
  <c r="B731" i="3"/>
  <c r="C731" i="3" s="1"/>
  <c r="L730" i="3"/>
  <c r="B730" i="3"/>
  <c r="C730" i="3" s="1"/>
  <c r="L729" i="3"/>
  <c r="B729" i="3"/>
  <c r="C729" i="3" s="1"/>
  <c r="L728" i="3"/>
  <c r="B728" i="3"/>
  <c r="C728" i="3" s="1"/>
  <c r="L727" i="3"/>
  <c r="B727" i="3"/>
  <c r="C727" i="3" s="1"/>
  <c r="L726" i="3"/>
  <c r="B726" i="3"/>
  <c r="C726" i="3" s="1"/>
  <c r="L725" i="3"/>
  <c r="B725" i="3"/>
  <c r="C725" i="3" s="1"/>
  <c r="L724" i="3"/>
  <c r="B724" i="3"/>
  <c r="C724" i="3" s="1"/>
  <c r="L723" i="3"/>
  <c r="B723" i="3"/>
  <c r="C723" i="3" s="1"/>
  <c r="L722" i="3"/>
  <c r="B722" i="3"/>
  <c r="C722" i="3" s="1"/>
  <c r="L721" i="3"/>
  <c r="B721" i="3"/>
  <c r="C721" i="3" s="1"/>
  <c r="L720" i="3"/>
  <c r="B720" i="3"/>
  <c r="C720" i="3" s="1"/>
  <c r="L719" i="3"/>
  <c r="B719" i="3"/>
  <c r="C719" i="3" s="1"/>
  <c r="L718" i="3"/>
  <c r="B718" i="3"/>
  <c r="C718" i="3" s="1"/>
  <c r="L717" i="3"/>
  <c r="B717" i="3"/>
  <c r="C717" i="3" s="1"/>
  <c r="L716" i="3"/>
  <c r="B716" i="3"/>
  <c r="C716" i="3" s="1"/>
  <c r="L715" i="3"/>
  <c r="B715" i="3"/>
  <c r="C715" i="3" s="1"/>
  <c r="L714" i="3"/>
  <c r="B714" i="3"/>
  <c r="C714" i="3" s="1"/>
  <c r="L713" i="3"/>
  <c r="B713" i="3"/>
  <c r="C713" i="3" s="1"/>
  <c r="L712" i="3"/>
  <c r="B712" i="3"/>
  <c r="C712" i="3" s="1"/>
  <c r="L711" i="3"/>
  <c r="B711" i="3"/>
  <c r="C711" i="3" s="1"/>
  <c r="L710" i="3"/>
  <c r="B710" i="3"/>
  <c r="C710" i="3" s="1"/>
  <c r="L709" i="3"/>
  <c r="B709" i="3"/>
  <c r="C709" i="3" s="1"/>
  <c r="L708" i="3"/>
  <c r="B708" i="3"/>
  <c r="C708" i="3" s="1"/>
  <c r="L707" i="3"/>
  <c r="B707" i="3"/>
  <c r="C707" i="3" s="1"/>
  <c r="L706" i="3"/>
  <c r="B706" i="3"/>
  <c r="C706" i="3" s="1"/>
  <c r="L705" i="3"/>
  <c r="B705" i="3"/>
  <c r="C705" i="3" s="1"/>
  <c r="L704" i="3"/>
  <c r="B704" i="3"/>
  <c r="C704" i="3" s="1"/>
  <c r="L703" i="3"/>
  <c r="B703" i="3"/>
  <c r="C703" i="3" s="1"/>
  <c r="L702" i="3"/>
  <c r="B702" i="3"/>
  <c r="C702" i="3" s="1"/>
  <c r="L701" i="3"/>
  <c r="B701" i="3"/>
  <c r="C701" i="3" s="1"/>
  <c r="L700" i="3"/>
  <c r="B700" i="3"/>
  <c r="C700" i="3" s="1"/>
  <c r="L699" i="3"/>
  <c r="B699" i="3"/>
  <c r="C699" i="3" s="1"/>
  <c r="L698" i="3"/>
  <c r="B698" i="3"/>
  <c r="C698" i="3" s="1"/>
  <c r="L697" i="3"/>
  <c r="B697" i="3"/>
  <c r="C697" i="3" s="1"/>
  <c r="L696" i="3"/>
  <c r="B696" i="3"/>
  <c r="C696" i="3" s="1"/>
  <c r="L695" i="3"/>
  <c r="B695" i="3"/>
  <c r="C695" i="3" s="1"/>
  <c r="L694" i="3"/>
  <c r="B694" i="3"/>
  <c r="C694" i="3" s="1"/>
  <c r="L693" i="3"/>
  <c r="B693" i="3"/>
  <c r="C693" i="3" s="1"/>
  <c r="L692" i="3"/>
  <c r="B692" i="3"/>
  <c r="C692" i="3" s="1"/>
  <c r="L691" i="3"/>
  <c r="B691" i="3"/>
  <c r="C691" i="3" s="1"/>
  <c r="L690" i="3"/>
  <c r="B690" i="3"/>
  <c r="C690" i="3" s="1"/>
  <c r="L689" i="3"/>
  <c r="B689" i="3"/>
  <c r="C689" i="3" s="1"/>
  <c r="L688" i="3"/>
  <c r="B688" i="3"/>
  <c r="C688" i="3" s="1"/>
  <c r="L687" i="3"/>
  <c r="B687" i="3"/>
  <c r="C687" i="3" s="1"/>
  <c r="L686" i="3"/>
  <c r="B686" i="3"/>
  <c r="C686" i="3" s="1"/>
  <c r="L685" i="3"/>
  <c r="B685" i="3"/>
  <c r="C685" i="3" s="1"/>
  <c r="L684" i="3"/>
  <c r="B684" i="3"/>
  <c r="C684" i="3" s="1"/>
  <c r="L683" i="3"/>
  <c r="B683" i="3"/>
  <c r="C683" i="3" s="1"/>
  <c r="L682" i="3"/>
  <c r="B682" i="3"/>
  <c r="C682" i="3" s="1"/>
  <c r="L681" i="3"/>
  <c r="B681" i="3"/>
  <c r="C681" i="3" s="1"/>
  <c r="L680" i="3"/>
  <c r="B680" i="3"/>
  <c r="C680" i="3" s="1"/>
  <c r="L679" i="3"/>
  <c r="B679" i="3"/>
  <c r="C679" i="3" s="1"/>
  <c r="L678" i="3"/>
  <c r="B678" i="3"/>
  <c r="C678" i="3" s="1"/>
  <c r="L677" i="3"/>
  <c r="B677" i="3"/>
  <c r="C677" i="3" s="1"/>
  <c r="L676" i="3"/>
  <c r="B676" i="3"/>
  <c r="C676" i="3" s="1"/>
  <c r="L675" i="3"/>
  <c r="B675" i="3"/>
  <c r="C675" i="3" s="1"/>
  <c r="L674" i="3"/>
  <c r="B674" i="3"/>
  <c r="C674" i="3" s="1"/>
  <c r="L673" i="3"/>
  <c r="B673" i="3"/>
  <c r="C673" i="3" s="1"/>
  <c r="L672" i="3"/>
  <c r="B672" i="3"/>
  <c r="C672" i="3" s="1"/>
  <c r="L671" i="3"/>
  <c r="B671" i="3"/>
  <c r="C671" i="3" s="1"/>
  <c r="L670" i="3"/>
  <c r="B670" i="3"/>
  <c r="C670" i="3" s="1"/>
  <c r="L669" i="3"/>
  <c r="B669" i="3"/>
  <c r="C669" i="3" s="1"/>
  <c r="L668" i="3"/>
  <c r="B668" i="3"/>
  <c r="C668" i="3" s="1"/>
  <c r="L667" i="3"/>
  <c r="B667" i="3"/>
  <c r="C667" i="3" s="1"/>
  <c r="L666" i="3"/>
  <c r="B666" i="3"/>
  <c r="C666" i="3" s="1"/>
  <c r="L665" i="3"/>
  <c r="B665" i="3"/>
  <c r="C665" i="3" s="1"/>
  <c r="L664" i="3"/>
  <c r="B664" i="3"/>
  <c r="C664" i="3" s="1"/>
  <c r="L663" i="3"/>
  <c r="B663" i="3"/>
  <c r="C663" i="3" s="1"/>
  <c r="L662" i="3"/>
  <c r="B662" i="3"/>
  <c r="C662" i="3" s="1"/>
  <c r="L661" i="3"/>
  <c r="B661" i="3"/>
  <c r="C661" i="3" s="1"/>
  <c r="L660" i="3"/>
  <c r="B660" i="3"/>
  <c r="C660" i="3" s="1"/>
  <c r="L659" i="3"/>
  <c r="B659" i="3"/>
  <c r="C659" i="3" s="1"/>
  <c r="L658" i="3"/>
  <c r="B658" i="3"/>
  <c r="C658" i="3" s="1"/>
  <c r="L657" i="3"/>
  <c r="B657" i="3"/>
  <c r="C657" i="3" s="1"/>
  <c r="L656" i="3"/>
  <c r="B656" i="3"/>
  <c r="C656" i="3" s="1"/>
  <c r="L655" i="3"/>
  <c r="B655" i="3"/>
  <c r="C655" i="3" s="1"/>
  <c r="L654" i="3"/>
  <c r="B654" i="3"/>
  <c r="C654" i="3" s="1"/>
  <c r="L653" i="3"/>
  <c r="B653" i="3"/>
  <c r="C653" i="3" s="1"/>
  <c r="L652" i="3"/>
  <c r="B652" i="3"/>
  <c r="C652" i="3" s="1"/>
  <c r="L651" i="3"/>
  <c r="B651" i="3"/>
  <c r="C651" i="3" s="1"/>
  <c r="L650" i="3"/>
  <c r="B650" i="3"/>
  <c r="C650" i="3" s="1"/>
  <c r="L649" i="3"/>
  <c r="B649" i="3"/>
  <c r="C649" i="3" s="1"/>
  <c r="L648" i="3"/>
  <c r="B648" i="3"/>
  <c r="C648" i="3" s="1"/>
  <c r="L647" i="3"/>
  <c r="B647" i="3"/>
  <c r="C647" i="3" s="1"/>
  <c r="L646" i="3"/>
  <c r="B646" i="3"/>
  <c r="C646" i="3" s="1"/>
  <c r="L645" i="3"/>
  <c r="B645" i="3"/>
  <c r="C645" i="3" s="1"/>
  <c r="L644" i="3"/>
  <c r="B644" i="3"/>
  <c r="C644" i="3" s="1"/>
  <c r="L643" i="3"/>
  <c r="B643" i="3"/>
  <c r="C643" i="3" s="1"/>
  <c r="L642" i="3"/>
  <c r="B642" i="3"/>
  <c r="C642" i="3" s="1"/>
  <c r="L641" i="3"/>
  <c r="B641" i="3"/>
  <c r="C641" i="3" s="1"/>
  <c r="L640" i="3"/>
  <c r="B640" i="3"/>
  <c r="C640" i="3" s="1"/>
  <c r="L639" i="3"/>
  <c r="B639" i="3"/>
  <c r="C639" i="3" s="1"/>
  <c r="L638" i="3"/>
  <c r="B638" i="3"/>
  <c r="C638" i="3" s="1"/>
  <c r="L637" i="3"/>
  <c r="B637" i="3"/>
  <c r="C637" i="3" s="1"/>
  <c r="L636" i="3"/>
  <c r="B636" i="3"/>
  <c r="C636" i="3" s="1"/>
  <c r="L635" i="3"/>
  <c r="B635" i="3"/>
  <c r="C635" i="3" s="1"/>
  <c r="L634" i="3"/>
  <c r="B634" i="3"/>
  <c r="C634" i="3" s="1"/>
  <c r="L633" i="3"/>
  <c r="B633" i="3"/>
  <c r="C633" i="3" s="1"/>
  <c r="L632" i="3"/>
  <c r="B632" i="3"/>
  <c r="C632" i="3" s="1"/>
  <c r="L631" i="3"/>
  <c r="B631" i="3"/>
  <c r="C631" i="3" s="1"/>
  <c r="L630" i="3"/>
  <c r="B630" i="3"/>
  <c r="C630" i="3" s="1"/>
  <c r="L629" i="3"/>
  <c r="B629" i="3"/>
  <c r="C629" i="3" s="1"/>
  <c r="L628" i="3"/>
  <c r="B628" i="3"/>
  <c r="C628" i="3" s="1"/>
  <c r="L627" i="3"/>
  <c r="B627" i="3"/>
  <c r="C627" i="3" s="1"/>
  <c r="L626" i="3"/>
  <c r="B626" i="3"/>
  <c r="C626" i="3" s="1"/>
  <c r="L625" i="3"/>
  <c r="B625" i="3"/>
  <c r="C625" i="3" s="1"/>
  <c r="L624" i="3"/>
  <c r="B624" i="3"/>
  <c r="C624" i="3" s="1"/>
  <c r="L623" i="3"/>
  <c r="B623" i="3"/>
  <c r="C623" i="3" s="1"/>
  <c r="L622" i="3"/>
  <c r="B622" i="3"/>
  <c r="C622" i="3" s="1"/>
  <c r="L621" i="3"/>
  <c r="B621" i="3"/>
  <c r="C621" i="3" s="1"/>
  <c r="L620" i="3"/>
  <c r="B620" i="3"/>
  <c r="C620" i="3" s="1"/>
  <c r="L619" i="3"/>
  <c r="B619" i="3"/>
  <c r="C619" i="3" s="1"/>
  <c r="L618" i="3"/>
  <c r="B618" i="3"/>
  <c r="C618" i="3" s="1"/>
  <c r="L617" i="3"/>
  <c r="B617" i="3"/>
  <c r="C617" i="3" s="1"/>
  <c r="L616" i="3"/>
  <c r="B616" i="3"/>
  <c r="C616" i="3" s="1"/>
  <c r="L615" i="3"/>
  <c r="B615" i="3"/>
  <c r="C615" i="3" s="1"/>
  <c r="L614" i="3"/>
  <c r="B614" i="3"/>
  <c r="C614" i="3" s="1"/>
  <c r="L613" i="3"/>
  <c r="B613" i="3"/>
  <c r="C613" i="3" s="1"/>
  <c r="L612" i="3"/>
  <c r="B612" i="3"/>
  <c r="C612" i="3" s="1"/>
  <c r="L611" i="3"/>
  <c r="B611" i="3"/>
  <c r="C611" i="3" s="1"/>
  <c r="L610" i="3"/>
  <c r="B610" i="3"/>
  <c r="C610" i="3" s="1"/>
  <c r="L609" i="3"/>
  <c r="B609" i="3"/>
  <c r="C609" i="3" s="1"/>
  <c r="L608" i="3"/>
  <c r="B608" i="3"/>
  <c r="C608" i="3" s="1"/>
  <c r="L607" i="3"/>
  <c r="B607" i="3"/>
  <c r="C607" i="3" s="1"/>
  <c r="L606" i="3"/>
  <c r="B606" i="3"/>
  <c r="C606" i="3" s="1"/>
  <c r="L605" i="3"/>
  <c r="B605" i="3"/>
  <c r="C605" i="3" s="1"/>
  <c r="L604" i="3"/>
  <c r="B604" i="3"/>
  <c r="C604" i="3" s="1"/>
  <c r="L603" i="3"/>
  <c r="B603" i="3"/>
  <c r="C603" i="3" s="1"/>
  <c r="L602" i="3"/>
  <c r="B602" i="3"/>
  <c r="C602" i="3" s="1"/>
  <c r="L601" i="3"/>
  <c r="B601" i="3"/>
  <c r="C601" i="3" s="1"/>
  <c r="L600" i="3"/>
  <c r="B600" i="3"/>
  <c r="C600" i="3" s="1"/>
  <c r="L599" i="3"/>
  <c r="B599" i="3"/>
  <c r="C599" i="3" s="1"/>
  <c r="L598" i="3"/>
  <c r="B598" i="3"/>
  <c r="C598" i="3" s="1"/>
  <c r="L597" i="3"/>
  <c r="B597" i="3"/>
  <c r="C597" i="3" s="1"/>
  <c r="L596" i="3"/>
  <c r="B596" i="3"/>
  <c r="C596" i="3" s="1"/>
  <c r="L595" i="3"/>
  <c r="B595" i="3"/>
  <c r="C595" i="3" s="1"/>
  <c r="L594" i="3"/>
  <c r="B594" i="3"/>
  <c r="C594" i="3" s="1"/>
  <c r="L593" i="3"/>
  <c r="B593" i="3"/>
  <c r="C593" i="3" s="1"/>
  <c r="L592" i="3"/>
  <c r="B592" i="3"/>
  <c r="C592" i="3" s="1"/>
  <c r="L591" i="3"/>
  <c r="B591" i="3"/>
  <c r="C591" i="3" s="1"/>
  <c r="L590" i="3"/>
  <c r="B590" i="3"/>
  <c r="C590" i="3" s="1"/>
  <c r="L589" i="3"/>
  <c r="B589" i="3"/>
  <c r="C589" i="3" s="1"/>
  <c r="L588" i="3"/>
  <c r="B588" i="3"/>
  <c r="C588" i="3" s="1"/>
  <c r="L587" i="3"/>
  <c r="B587" i="3"/>
  <c r="C587" i="3" s="1"/>
  <c r="L586" i="3"/>
  <c r="B586" i="3"/>
  <c r="C586" i="3" s="1"/>
  <c r="L585" i="3"/>
  <c r="B585" i="3"/>
  <c r="C585" i="3" s="1"/>
  <c r="L584" i="3"/>
  <c r="B584" i="3"/>
  <c r="C584" i="3" s="1"/>
  <c r="L583" i="3"/>
  <c r="B583" i="3"/>
  <c r="C583" i="3" s="1"/>
  <c r="L582" i="3"/>
  <c r="B582" i="3"/>
  <c r="C582" i="3" s="1"/>
  <c r="L581" i="3"/>
  <c r="B581" i="3"/>
  <c r="C581" i="3" s="1"/>
  <c r="L580" i="3"/>
  <c r="B580" i="3"/>
  <c r="C580" i="3" s="1"/>
  <c r="L579" i="3"/>
  <c r="B579" i="3"/>
  <c r="C579" i="3" s="1"/>
  <c r="L578" i="3"/>
  <c r="B578" i="3"/>
  <c r="C578" i="3" s="1"/>
  <c r="L577" i="3"/>
  <c r="B577" i="3"/>
  <c r="C577" i="3" s="1"/>
  <c r="L576" i="3"/>
  <c r="B576" i="3"/>
  <c r="C576" i="3" s="1"/>
  <c r="L575" i="3"/>
  <c r="B575" i="3"/>
  <c r="C575" i="3" s="1"/>
  <c r="L574" i="3"/>
  <c r="B574" i="3"/>
  <c r="C574" i="3" s="1"/>
  <c r="L573" i="3"/>
  <c r="B573" i="3"/>
  <c r="C573" i="3" s="1"/>
  <c r="L572" i="3"/>
  <c r="B572" i="3"/>
  <c r="C572" i="3" s="1"/>
  <c r="L571" i="3"/>
  <c r="B571" i="3"/>
  <c r="C571" i="3" s="1"/>
  <c r="L570" i="3"/>
  <c r="B570" i="3"/>
  <c r="C570" i="3" s="1"/>
  <c r="L569" i="3"/>
  <c r="B569" i="3"/>
  <c r="C569" i="3" s="1"/>
  <c r="L568" i="3"/>
  <c r="B568" i="3"/>
  <c r="C568" i="3" s="1"/>
  <c r="L567" i="3"/>
  <c r="B567" i="3"/>
  <c r="C567" i="3" s="1"/>
  <c r="L566" i="3"/>
  <c r="B566" i="3"/>
  <c r="C566" i="3" s="1"/>
  <c r="L565" i="3"/>
  <c r="B565" i="3"/>
  <c r="C565" i="3" s="1"/>
  <c r="L564" i="3"/>
  <c r="B564" i="3"/>
  <c r="C564" i="3" s="1"/>
  <c r="L563" i="3"/>
  <c r="B563" i="3"/>
  <c r="C563" i="3" s="1"/>
  <c r="L562" i="3"/>
  <c r="B562" i="3"/>
  <c r="C562" i="3" s="1"/>
  <c r="L561" i="3"/>
  <c r="B561" i="3"/>
  <c r="C561" i="3" s="1"/>
  <c r="L560" i="3"/>
  <c r="B560" i="3"/>
  <c r="C560" i="3" s="1"/>
  <c r="L559" i="3"/>
  <c r="B559" i="3"/>
  <c r="C559" i="3" s="1"/>
  <c r="L558" i="3"/>
  <c r="B558" i="3"/>
  <c r="C558" i="3" s="1"/>
  <c r="L557" i="3"/>
  <c r="B557" i="3"/>
  <c r="C557" i="3" s="1"/>
  <c r="L556" i="3"/>
  <c r="B556" i="3"/>
  <c r="C556" i="3" s="1"/>
  <c r="L555" i="3"/>
  <c r="B555" i="3"/>
  <c r="C555" i="3" s="1"/>
  <c r="L554" i="3"/>
  <c r="B554" i="3"/>
  <c r="C554" i="3" s="1"/>
  <c r="L553" i="3"/>
  <c r="B553" i="3"/>
  <c r="C553" i="3" s="1"/>
  <c r="L552" i="3"/>
  <c r="B552" i="3"/>
  <c r="C552" i="3" s="1"/>
  <c r="L551" i="3"/>
  <c r="B551" i="3"/>
  <c r="C551" i="3" s="1"/>
  <c r="L550" i="3"/>
  <c r="B550" i="3"/>
  <c r="C550" i="3" s="1"/>
  <c r="L549" i="3"/>
  <c r="B549" i="3"/>
  <c r="C549" i="3" s="1"/>
  <c r="L548" i="3"/>
  <c r="B548" i="3"/>
  <c r="C548" i="3" s="1"/>
  <c r="L547" i="3"/>
  <c r="B547" i="3"/>
  <c r="C547" i="3" s="1"/>
  <c r="L546" i="3"/>
  <c r="B546" i="3"/>
  <c r="C546" i="3" s="1"/>
  <c r="L545" i="3"/>
  <c r="B545" i="3"/>
  <c r="C545" i="3" s="1"/>
  <c r="L544" i="3"/>
  <c r="B544" i="3"/>
  <c r="C544" i="3" s="1"/>
  <c r="L543" i="3"/>
  <c r="B543" i="3"/>
  <c r="C543" i="3" s="1"/>
  <c r="L542" i="3"/>
  <c r="B542" i="3"/>
  <c r="C542" i="3" s="1"/>
  <c r="L541" i="3"/>
  <c r="B541" i="3"/>
  <c r="C541" i="3" s="1"/>
  <c r="L540" i="3"/>
  <c r="B540" i="3"/>
  <c r="C540" i="3" s="1"/>
  <c r="L539" i="3"/>
  <c r="B539" i="3"/>
  <c r="C539" i="3" s="1"/>
  <c r="L538" i="3"/>
  <c r="B538" i="3"/>
  <c r="C538" i="3" s="1"/>
  <c r="L537" i="3"/>
  <c r="B537" i="3"/>
  <c r="C537" i="3" s="1"/>
  <c r="L536" i="3"/>
  <c r="B536" i="3"/>
  <c r="C536" i="3" s="1"/>
  <c r="L535" i="3"/>
  <c r="B535" i="3"/>
  <c r="C535" i="3" s="1"/>
  <c r="L534" i="3"/>
  <c r="B534" i="3"/>
  <c r="C534" i="3" s="1"/>
  <c r="L533" i="3"/>
  <c r="B533" i="3"/>
  <c r="C533" i="3" s="1"/>
  <c r="L532" i="3"/>
  <c r="B532" i="3"/>
  <c r="C532" i="3" s="1"/>
  <c r="L531" i="3"/>
  <c r="B531" i="3"/>
  <c r="C531" i="3" s="1"/>
  <c r="L530" i="3"/>
  <c r="B530" i="3"/>
  <c r="C530" i="3" s="1"/>
  <c r="L529" i="3"/>
  <c r="B529" i="3"/>
  <c r="C529" i="3" s="1"/>
  <c r="L528" i="3"/>
  <c r="B528" i="3"/>
  <c r="C528" i="3" s="1"/>
  <c r="L527" i="3"/>
  <c r="B527" i="3"/>
  <c r="C527" i="3" s="1"/>
  <c r="L526" i="3"/>
  <c r="B526" i="3"/>
  <c r="C526" i="3" s="1"/>
  <c r="L525" i="3"/>
  <c r="B525" i="3"/>
  <c r="C525" i="3" s="1"/>
  <c r="L524" i="3"/>
  <c r="B524" i="3"/>
  <c r="C524" i="3" s="1"/>
  <c r="L523" i="3"/>
  <c r="B523" i="3"/>
  <c r="C523" i="3" s="1"/>
  <c r="L522" i="3"/>
  <c r="B522" i="3"/>
  <c r="C522" i="3" s="1"/>
  <c r="L521" i="3"/>
  <c r="B521" i="3"/>
  <c r="C521" i="3" s="1"/>
  <c r="L520" i="3"/>
  <c r="B520" i="3"/>
  <c r="C520" i="3" s="1"/>
  <c r="L519" i="3"/>
  <c r="B519" i="3"/>
  <c r="C519" i="3" s="1"/>
  <c r="L518" i="3"/>
  <c r="B518" i="3"/>
  <c r="C518" i="3" s="1"/>
  <c r="L517" i="3"/>
  <c r="B517" i="3"/>
  <c r="C517" i="3" s="1"/>
  <c r="L516" i="3"/>
  <c r="B516" i="3"/>
  <c r="C516" i="3" s="1"/>
  <c r="L515" i="3"/>
  <c r="B515" i="3"/>
  <c r="C515" i="3" s="1"/>
  <c r="L514" i="3"/>
  <c r="B514" i="3"/>
  <c r="C514" i="3" s="1"/>
  <c r="L513" i="3"/>
  <c r="B513" i="3"/>
  <c r="C513" i="3" s="1"/>
  <c r="L512" i="3"/>
  <c r="B512" i="3"/>
  <c r="C512" i="3" s="1"/>
  <c r="L511" i="3"/>
  <c r="B511" i="3"/>
  <c r="C511" i="3" s="1"/>
  <c r="L510" i="3"/>
  <c r="B510" i="3"/>
  <c r="C510" i="3" s="1"/>
  <c r="L509" i="3"/>
  <c r="B509" i="3"/>
  <c r="C509" i="3" s="1"/>
  <c r="L508" i="3"/>
  <c r="B508" i="3"/>
  <c r="C508" i="3" s="1"/>
  <c r="L507" i="3"/>
  <c r="B507" i="3"/>
  <c r="C507" i="3" s="1"/>
  <c r="L506" i="3"/>
  <c r="B506" i="3"/>
  <c r="C506" i="3" s="1"/>
  <c r="L505" i="3"/>
  <c r="B505" i="3"/>
  <c r="C505" i="3" s="1"/>
  <c r="L504" i="3"/>
  <c r="B504" i="3"/>
  <c r="C504" i="3" s="1"/>
  <c r="L503" i="3"/>
  <c r="B503" i="3"/>
  <c r="C503" i="3" s="1"/>
  <c r="L502" i="3"/>
  <c r="B502" i="3"/>
  <c r="C502" i="3" s="1"/>
  <c r="L501" i="3"/>
  <c r="B501" i="3"/>
  <c r="C501" i="3" s="1"/>
  <c r="L500" i="3"/>
  <c r="B500" i="3"/>
  <c r="C500" i="3" s="1"/>
  <c r="L499" i="3"/>
  <c r="B499" i="3"/>
  <c r="C499" i="3" s="1"/>
  <c r="L498" i="3"/>
  <c r="B498" i="3"/>
  <c r="C498" i="3" s="1"/>
  <c r="L497" i="3"/>
  <c r="B497" i="3"/>
  <c r="C497" i="3" s="1"/>
  <c r="L496" i="3"/>
  <c r="B496" i="3"/>
  <c r="C496" i="3" s="1"/>
  <c r="L495" i="3"/>
  <c r="B495" i="3"/>
  <c r="C495" i="3" s="1"/>
  <c r="L494" i="3"/>
  <c r="B494" i="3"/>
  <c r="C494" i="3" s="1"/>
  <c r="L493" i="3"/>
  <c r="B493" i="3"/>
  <c r="C493" i="3" s="1"/>
  <c r="L492" i="3"/>
  <c r="B492" i="3"/>
  <c r="C492" i="3" s="1"/>
  <c r="L491" i="3"/>
  <c r="B491" i="3"/>
  <c r="C491" i="3" s="1"/>
  <c r="L490" i="3"/>
  <c r="B490" i="3"/>
  <c r="C490" i="3" s="1"/>
  <c r="L489" i="3"/>
  <c r="B489" i="3"/>
  <c r="C489" i="3" s="1"/>
  <c r="L488" i="3"/>
  <c r="B488" i="3"/>
  <c r="C488" i="3" s="1"/>
  <c r="L487" i="3"/>
  <c r="B487" i="3"/>
  <c r="C487" i="3" s="1"/>
  <c r="L486" i="3"/>
  <c r="B486" i="3"/>
  <c r="C486" i="3" s="1"/>
  <c r="L485" i="3"/>
  <c r="B485" i="3"/>
  <c r="C485" i="3" s="1"/>
  <c r="L484" i="3"/>
  <c r="B484" i="3"/>
  <c r="C484" i="3" s="1"/>
  <c r="L483" i="3"/>
  <c r="B483" i="3"/>
  <c r="C483" i="3" s="1"/>
  <c r="L482" i="3"/>
  <c r="B482" i="3"/>
  <c r="C482" i="3" s="1"/>
  <c r="L481" i="3"/>
  <c r="B481" i="3"/>
  <c r="C481" i="3" s="1"/>
  <c r="L480" i="3"/>
  <c r="B480" i="3"/>
  <c r="C480" i="3" s="1"/>
  <c r="L479" i="3"/>
  <c r="B479" i="3"/>
  <c r="C479" i="3" s="1"/>
  <c r="L478" i="3"/>
  <c r="B478" i="3"/>
  <c r="C478" i="3" s="1"/>
  <c r="L477" i="3"/>
  <c r="B477" i="3"/>
  <c r="C477" i="3" s="1"/>
  <c r="L476" i="3"/>
  <c r="B476" i="3"/>
  <c r="C476" i="3" s="1"/>
  <c r="L475" i="3"/>
  <c r="B475" i="3"/>
  <c r="C475" i="3" s="1"/>
  <c r="L474" i="3"/>
  <c r="B474" i="3"/>
  <c r="C474" i="3" s="1"/>
  <c r="L473" i="3"/>
  <c r="B473" i="3"/>
  <c r="C473" i="3" s="1"/>
  <c r="L472" i="3"/>
  <c r="B472" i="3"/>
  <c r="C472" i="3" s="1"/>
  <c r="L471" i="3"/>
  <c r="B471" i="3"/>
  <c r="C471" i="3" s="1"/>
  <c r="L470" i="3"/>
  <c r="B470" i="3"/>
  <c r="C470" i="3" s="1"/>
  <c r="L469" i="3"/>
  <c r="B469" i="3"/>
  <c r="C469" i="3" s="1"/>
  <c r="L468" i="3"/>
  <c r="B468" i="3"/>
  <c r="C468" i="3" s="1"/>
  <c r="L467" i="3"/>
  <c r="B467" i="3"/>
  <c r="C467" i="3" s="1"/>
  <c r="L466" i="3"/>
  <c r="B466" i="3"/>
  <c r="C466" i="3" s="1"/>
  <c r="L465" i="3"/>
  <c r="B465" i="3"/>
  <c r="C465" i="3" s="1"/>
  <c r="L464" i="3"/>
  <c r="B464" i="3"/>
  <c r="C464" i="3" s="1"/>
  <c r="L463" i="3"/>
  <c r="B463" i="3"/>
  <c r="C463" i="3" s="1"/>
  <c r="L462" i="3"/>
  <c r="B462" i="3"/>
  <c r="C462" i="3" s="1"/>
  <c r="L461" i="3"/>
  <c r="B461" i="3"/>
  <c r="C461" i="3" s="1"/>
  <c r="L460" i="3"/>
  <c r="B460" i="3"/>
  <c r="C460" i="3" s="1"/>
  <c r="L459" i="3"/>
  <c r="B459" i="3"/>
  <c r="C459" i="3" s="1"/>
  <c r="L458" i="3"/>
  <c r="B458" i="3"/>
  <c r="C458" i="3" s="1"/>
  <c r="L457" i="3"/>
  <c r="B457" i="3"/>
  <c r="C457" i="3" s="1"/>
  <c r="L456" i="3"/>
  <c r="B456" i="3"/>
  <c r="C456" i="3" s="1"/>
  <c r="L455" i="3"/>
  <c r="B455" i="3"/>
  <c r="C455" i="3" s="1"/>
  <c r="L454" i="3"/>
  <c r="B454" i="3"/>
  <c r="C454" i="3" s="1"/>
  <c r="L453" i="3"/>
  <c r="B453" i="3"/>
  <c r="C453" i="3" s="1"/>
  <c r="L452" i="3"/>
  <c r="B452" i="3"/>
  <c r="C452" i="3" s="1"/>
  <c r="L451" i="3"/>
  <c r="B451" i="3"/>
  <c r="C451" i="3" s="1"/>
  <c r="L450" i="3"/>
  <c r="B450" i="3"/>
  <c r="C450" i="3" s="1"/>
  <c r="L449" i="3"/>
  <c r="B449" i="3"/>
  <c r="C449" i="3" s="1"/>
  <c r="L448" i="3"/>
  <c r="B448" i="3"/>
  <c r="C448" i="3" s="1"/>
  <c r="L447" i="3"/>
  <c r="B447" i="3"/>
  <c r="C447" i="3" s="1"/>
  <c r="L446" i="3"/>
  <c r="B446" i="3"/>
  <c r="C446" i="3" s="1"/>
  <c r="L445" i="3"/>
  <c r="B445" i="3"/>
  <c r="C445" i="3" s="1"/>
  <c r="L444" i="3"/>
  <c r="B444" i="3"/>
  <c r="C444" i="3" s="1"/>
  <c r="L443" i="3"/>
  <c r="B443" i="3"/>
  <c r="C443" i="3" s="1"/>
  <c r="L442" i="3"/>
  <c r="B442" i="3"/>
  <c r="C442" i="3" s="1"/>
  <c r="L441" i="3"/>
  <c r="B441" i="3"/>
  <c r="C441" i="3" s="1"/>
  <c r="L440" i="3"/>
  <c r="B440" i="3"/>
  <c r="C440" i="3" s="1"/>
  <c r="L439" i="3"/>
  <c r="B439" i="3"/>
  <c r="C439" i="3" s="1"/>
  <c r="L438" i="3"/>
  <c r="B438" i="3"/>
  <c r="C438" i="3" s="1"/>
  <c r="L437" i="3"/>
  <c r="B437" i="3"/>
  <c r="C437" i="3" s="1"/>
  <c r="L436" i="3"/>
  <c r="B436" i="3"/>
  <c r="C436" i="3" s="1"/>
  <c r="L435" i="3"/>
  <c r="B435" i="3"/>
  <c r="C435" i="3" s="1"/>
  <c r="L434" i="3"/>
  <c r="B434" i="3"/>
  <c r="C434" i="3" s="1"/>
  <c r="L433" i="3"/>
  <c r="B433" i="3"/>
  <c r="C433" i="3" s="1"/>
  <c r="L432" i="3"/>
  <c r="B432" i="3"/>
  <c r="C432" i="3" s="1"/>
  <c r="L431" i="3"/>
  <c r="B431" i="3"/>
  <c r="C431" i="3" s="1"/>
  <c r="L430" i="3"/>
  <c r="B430" i="3"/>
  <c r="C430" i="3" s="1"/>
  <c r="L429" i="3"/>
  <c r="B429" i="3"/>
  <c r="C429" i="3" s="1"/>
  <c r="L428" i="3"/>
  <c r="B428" i="3"/>
  <c r="C428" i="3" s="1"/>
  <c r="L427" i="3"/>
  <c r="B427" i="3"/>
  <c r="C427" i="3" s="1"/>
  <c r="L426" i="3"/>
  <c r="B426" i="3"/>
  <c r="C426" i="3" s="1"/>
  <c r="L425" i="3"/>
  <c r="B425" i="3"/>
  <c r="C425" i="3" s="1"/>
  <c r="L424" i="3"/>
  <c r="B424" i="3"/>
  <c r="C424" i="3" s="1"/>
  <c r="L423" i="3"/>
  <c r="B423" i="3"/>
  <c r="C423" i="3" s="1"/>
  <c r="L422" i="3"/>
  <c r="B422" i="3"/>
  <c r="C422" i="3" s="1"/>
  <c r="L421" i="3"/>
  <c r="B421" i="3"/>
  <c r="C421" i="3" s="1"/>
  <c r="L420" i="3"/>
  <c r="B420" i="3"/>
  <c r="C420" i="3" s="1"/>
  <c r="L419" i="3"/>
  <c r="B419" i="3"/>
  <c r="C419" i="3" s="1"/>
  <c r="L418" i="3"/>
  <c r="B418" i="3"/>
  <c r="C418" i="3" s="1"/>
  <c r="L417" i="3"/>
  <c r="B417" i="3"/>
  <c r="C417" i="3" s="1"/>
  <c r="L416" i="3"/>
  <c r="B416" i="3"/>
  <c r="C416" i="3" s="1"/>
  <c r="L415" i="3"/>
  <c r="B415" i="3"/>
  <c r="C415" i="3" s="1"/>
  <c r="L414" i="3"/>
  <c r="B414" i="3"/>
  <c r="C414" i="3" s="1"/>
  <c r="L413" i="3"/>
  <c r="B413" i="3"/>
  <c r="C413" i="3" s="1"/>
  <c r="L412" i="3"/>
  <c r="B412" i="3"/>
  <c r="C412" i="3" s="1"/>
  <c r="L411" i="3"/>
  <c r="B411" i="3"/>
  <c r="C411" i="3" s="1"/>
  <c r="L410" i="3"/>
  <c r="B410" i="3"/>
  <c r="C410" i="3" s="1"/>
  <c r="L409" i="3"/>
  <c r="B409" i="3"/>
  <c r="C409" i="3" s="1"/>
  <c r="L408" i="3"/>
  <c r="B408" i="3"/>
  <c r="C408" i="3" s="1"/>
  <c r="L407" i="3"/>
  <c r="B407" i="3"/>
  <c r="C407" i="3" s="1"/>
  <c r="L406" i="3"/>
  <c r="B406" i="3"/>
  <c r="C406" i="3" s="1"/>
  <c r="L405" i="3"/>
  <c r="B405" i="3"/>
  <c r="C405" i="3" s="1"/>
  <c r="L404" i="3"/>
  <c r="B404" i="3"/>
  <c r="C404" i="3" s="1"/>
  <c r="L403" i="3"/>
  <c r="B403" i="3"/>
  <c r="C403" i="3" s="1"/>
  <c r="L402" i="3"/>
  <c r="B402" i="3"/>
  <c r="C402" i="3" s="1"/>
  <c r="L401" i="3"/>
  <c r="B401" i="3"/>
  <c r="C401" i="3" s="1"/>
  <c r="L400" i="3"/>
  <c r="B400" i="3"/>
  <c r="C400" i="3" s="1"/>
  <c r="L399" i="3"/>
  <c r="B399" i="3"/>
  <c r="C399" i="3" s="1"/>
  <c r="L398" i="3"/>
  <c r="B398" i="3"/>
  <c r="C398" i="3" s="1"/>
  <c r="L397" i="3"/>
  <c r="B397" i="3"/>
  <c r="C397" i="3" s="1"/>
  <c r="L396" i="3"/>
  <c r="B396" i="3"/>
  <c r="C396" i="3" s="1"/>
  <c r="L395" i="3"/>
  <c r="B395" i="3"/>
  <c r="C395" i="3" s="1"/>
  <c r="L394" i="3"/>
  <c r="B394" i="3"/>
  <c r="C394" i="3" s="1"/>
  <c r="L393" i="3"/>
  <c r="B393" i="3"/>
  <c r="C393" i="3" s="1"/>
  <c r="L392" i="3"/>
  <c r="B392" i="3"/>
  <c r="C392" i="3" s="1"/>
  <c r="L391" i="3"/>
  <c r="B391" i="3"/>
  <c r="C391" i="3" s="1"/>
  <c r="L390" i="3"/>
  <c r="B390" i="3"/>
  <c r="C390" i="3" s="1"/>
  <c r="L389" i="3"/>
  <c r="B389" i="3"/>
  <c r="C389" i="3" s="1"/>
  <c r="L388" i="3"/>
  <c r="B388" i="3"/>
  <c r="C388" i="3" s="1"/>
  <c r="L387" i="3"/>
  <c r="B387" i="3"/>
  <c r="C387" i="3" s="1"/>
  <c r="L386" i="3"/>
  <c r="B386" i="3"/>
  <c r="C386" i="3" s="1"/>
  <c r="L385" i="3"/>
  <c r="B385" i="3"/>
  <c r="C385" i="3" s="1"/>
  <c r="L384" i="3"/>
  <c r="B384" i="3"/>
  <c r="C384" i="3" s="1"/>
  <c r="L383" i="3"/>
  <c r="B383" i="3"/>
  <c r="C383" i="3" s="1"/>
  <c r="L382" i="3"/>
  <c r="B382" i="3"/>
  <c r="C382" i="3" s="1"/>
  <c r="L381" i="3"/>
  <c r="B381" i="3"/>
  <c r="C381" i="3" s="1"/>
  <c r="L380" i="3"/>
  <c r="B380" i="3"/>
  <c r="C380" i="3" s="1"/>
  <c r="L379" i="3"/>
  <c r="B379" i="3"/>
  <c r="C379" i="3" s="1"/>
  <c r="L378" i="3"/>
  <c r="B378" i="3"/>
  <c r="C378" i="3" s="1"/>
  <c r="L377" i="3"/>
  <c r="B377" i="3"/>
  <c r="C377" i="3" s="1"/>
  <c r="L376" i="3"/>
  <c r="B376" i="3"/>
  <c r="C376" i="3" s="1"/>
  <c r="L375" i="3"/>
  <c r="B375" i="3"/>
  <c r="C375" i="3" s="1"/>
  <c r="L374" i="3"/>
  <c r="B374" i="3"/>
  <c r="C374" i="3" s="1"/>
  <c r="L373" i="3"/>
  <c r="B373" i="3"/>
  <c r="C373" i="3" s="1"/>
  <c r="L372" i="3"/>
  <c r="B372" i="3"/>
  <c r="C372" i="3" s="1"/>
  <c r="L371" i="3"/>
  <c r="B371" i="3"/>
  <c r="C371" i="3" s="1"/>
  <c r="L370" i="3"/>
  <c r="B370" i="3"/>
  <c r="C370" i="3" s="1"/>
  <c r="L369" i="3"/>
  <c r="B369" i="3"/>
  <c r="C369" i="3" s="1"/>
  <c r="L368" i="3"/>
  <c r="B368" i="3"/>
  <c r="C368" i="3" s="1"/>
  <c r="L367" i="3"/>
  <c r="B367" i="3"/>
  <c r="C367" i="3" s="1"/>
  <c r="L366" i="3"/>
  <c r="B366" i="3"/>
  <c r="C366" i="3" s="1"/>
  <c r="L365" i="3"/>
  <c r="B365" i="3"/>
  <c r="C365" i="3" s="1"/>
  <c r="L364" i="3"/>
  <c r="B364" i="3"/>
  <c r="C364" i="3" s="1"/>
  <c r="L363" i="3"/>
  <c r="B363" i="3"/>
  <c r="C363" i="3" s="1"/>
  <c r="L362" i="3"/>
  <c r="B362" i="3"/>
  <c r="C362" i="3" s="1"/>
  <c r="L361" i="3"/>
  <c r="B361" i="3"/>
  <c r="C361" i="3" s="1"/>
  <c r="L360" i="3"/>
  <c r="B360" i="3"/>
  <c r="C360" i="3" s="1"/>
  <c r="L359" i="3"/>
  <c r="B359" i="3"/>
  <c r="C359" i="3" s="1"/>
  <c r="L358" i="3"/>
  <c r="B358" i="3"/>
  <c r="C358" i="3" s="1"/>
  <c r="L357" i="3"/>
  <c r="B357" i="3"/>
  <c r="C357" i="3" s="1"/>
  <c r="L356" i="3"/>
  <c r="B356" i="3"/>
  <c r="C356" i="3" s="1"/>
  <c r="L355" i="3"/>
  <c r="B355" i="3"/>
  <c r="C355" i="3" s="1"/>
  <c r="L354" i="3"/>
  <c r="B354" i="3"/>
  <c r="C354" i="3" s="1"/>
  <c r="L353" i="3"/>
  <c r="B353" i="3"/>
  <c r="C353" i="3" s="1"/>
  <c r="L352" i="3"/>
  <c r="B352" i="3"/>
  <c r="C352" i="3" s="1"/>
  <c r="L351" i="3"/>
  <c r="B351" i="3"/>
  <c r="C351" i="3" s="1"/>
  <c r="L350" i="3"/>
  <c r="B350" i="3"/>
  <c r="C350" i="3" s="1"/>
  <c r="L349" i="3"/>
  <c r="B349" i="3"/>
  <c r="C349" i="3" s="1"/>
  <c r="L348" i="3"/>
  <c r="B348" i="3"/>
  <c r="C348" i="3" s="1"/>
  <c r="L347" i="3"/>
  <c r="B347" i="3"/>
  <c r="C347" i="3" s="1"/>
  <c r="L346" i="3"/>
  <c r="B346" i="3"/>
  <c r="C346" i="3" s="1"/>
  <c r="L345" i="3"/>
  <c r="B345" i="3"/>
  <c r="C345" i="3" s="1"/>
  <c r="L344" i="3"/>
  <c r="B344" i="3"/>
  <c r="C344" i="3" s="1"/>
  <c r="L343" i="3"/>
  <c r="B343" i="3"/>
  <c r="C343" i="3" s="1"/>
  <c r="L342" i="3"/>
  <c r="B342" i="3"/>
  <c r="C342" i="3" s="1"/>
  <c r="L341" i="3"/>
  <c r="B341" i="3"/>
  <c r="C341" i="3" s="1"/>
  <c r="L340" i="3"/>
  <c r="B340" i="3"/>
  <c r="C340" i="3" s="1"/>
  <c r="L339" i="3"/>
  <c r="B339" i="3"/>
  <c r="C339" i="3" s="1"/>
  <c r="L338" i="3"/>
  <c r="B338" i="3"/>
  <c r="C338" i="3" s="1"/>
  <c r="L337" i="3"/>
  <c r="B337" i="3"/>
  <c r="C337" i="3" s="1"/>
  <c r="L336" i="3"/>
  <c r="B336" i="3"/>
  <c r="C336" i="3" s="1"/>
  <c r="L335" i="3"/>
  <c r="B335" i="3"/>
  <c r="C335" i="3" s="1"/>
  <c r="L334" i="3"/>
  <c r="B334" i="3"/>
  <c r="C334" i="3" s="1"/>
  <c r="L333" i="3"/>
  <c r="B333" i="3"/>
  <c r="C333" i="3" s="1"/>
  <c r="L332" i="3"/>
  <c r="B332" i="3"/>
  <c r="C332" i="3" s="1"/>
  <c r="L331" i="3"/>
  <c r="B331" i="3"/>
  <c r="C331" i="3" s="1"/>
  <c r="L330" i="3"/>
  <c r="B330" i="3"/>
  <c r="C330" i="3" s="1"/>
  <c r="L329" i="3"/>
  <c r="B329" i="3"/>
  <c r="C329" i="3" s="1"/>
  <c r="L328" i="3"/>
  <c r="B328" i="3"/>
  <c r="C328" i="3" s="1"/>
  <c r="L327" i="3"/>
  <c r="B327" i="3"/>
  <c r="C327" i="3" s="1"/>
  <c r="L326" i="3"/>
  <c r="B326" i="3"/>
  <c r="C326" i="3" s="1"/>
  <c r="L325" i="3"/>
  <c r="B325" i="3"/>
  <c r="C325" i="3" s="1"/>
  <c r="L324" i="3"/>
  <c r="B324" i="3"/>
  <c r="C324" i="3" s="1"/>
  <c r="L323" i="3"/>
  <c r="B323" i="3"/>
  <c r="C323" i="3" s="1"/>
  <c r="L322" i="3"/>
  <c r="B322" i="3"/>
  <c r="C322" i="3" s="1"/>
  <c r="L321" i="3"/>
  <c r="B321" i="3"/>
  <c r="C321" i="3" s="1"/>
  <c r="L320" i="3"/>
  <c r="B320" i="3"/>
  <c r="C320" i="3" s="1"/>
  <c r="L319" i="3"/>
  <c r="B319" i="3"/>
  <c r="C319" i="3" s="1"/>
  <c r="L318" i="3"/>
  <c r="B318" i="3"/>
  <c r="C318" i="3" s="1"/>
  <c r="L317" i="3"/>
  <c r="B317" i="3"/>
  <c r="C317" i="3" s="1"/>
  <c r="L316" i="3"/>
  <c r="B316" i="3"/>
  <c r="C316" i="3" s="1"/>
  <c r="L315" i="3"/>
  <c r="B315" i="3"/>
  <c r="C315" i="3" s="1"/>
  <c r="L314" i="3"/>
  <c r="B314" i="3"/>
  <c r="C314" i="3" s="1"/>
  <c r="L313" i="3"/>
  <c r="B313" i="3"/>
  <c r="C313" i="3" s="1"/>
  <c r="L312" i="3"/>
  <c r="B312" i="3"/>
  <c r="C312" i="3" s="1"/>
  <c r="L311" i="3"/>
  <c r="B311" i="3"/>
  <c r="C311" i="3" s="1"/>
  <c r="L310" i="3"/>
  <c r="B310" i="3"/>
  <c r="C310" i="3" s="1"/>
  <c r="L309" i="3"/>
  <c r="B309" i="3"/>
  <c r="C309" i="3" s="1"/>
  <c r="L308" i="3"/>
  <c r="B308" i="3"/>
  <c r="C308" i="3" s="1"/>
  <c r="L307" i="3"/>
  <c r="B307" i="3"/>
  <c r="C307" i="3" s="1"/>
  <c r="L306" i="3"/>
  <c r="B306" i="3"/>
  <c r="C306" i="3" s="1"/>
  <c r="L305" i="3"/>
  <c r="B305" i="3"/>
  <c r="C305" i="3" s="1"/>
  <c r="L304" i="3"/>
  <c r="B304" i="3"/>
  <c r="C304" i="3" s="1"/>
  <c r="L303" i="3"/>
  <c r="B303" i="3"/>
  <c r="C303" i="3" s="1"/>
  <c r="L302" i="3"/>
  <c r="B302" i="3"/>
  <c r="C302" i="3" s="1"/>
  <c r="L301" i="3"/>
  <c r="B301" i="3"/>
  <c r="C301" i="3" s="1"/>
  <c r="L300" i="3"/>
  <c r="B300" i="3"/>
  <c r="C300" i="3" s="1"/>
  <c r="L299" i="3"/>
  <c r="B299" i="3"/>
  <c r="C299" i="3" s="1"/>
  <c r="L298" i="3"/>
  <c r="B298" i="3"/>
  <c r="C298" i="3" s="1"/>
  <c r="L297" i="3"/>
  <c r="B297" i="3"/>
  <c r="C297" i="3" s="1"/>
  <c r="L296" i="3"/>
  <c r="B296" i="3"/>
  <c r="C296" i="3" s="1"/>
  <c r="L295" i="3"/>
  <c r="B295" i="3"/>
  <c r="C295" i="3" s="1"/>
  <c r="L294" i="3"/>
  <c r="B294" i="3"/>
  <c r="C294" i="3" s="1"/>
  <c r="L293" i="3"/>
  <c r="B293" i="3"/>
  <c r="C293" i="3" s="1"/>
  <c r="L292" i="3"/>
  <c r="B292" i="3"/>
  <c r="C292" i="3" s="1"/>
  <c r="L291" i="3"/>
  <c r="B291" i="3"/>
  <c r="C291" i="3" s="1"/>
  <c r="L290" i="3"/>
  <c r="B290" i="3"/>
  <c r="C290" i="3" s="1"/>
  <c r="L289" i="3"/>
  <c r="B289" i="3"/>
  <c r="C289" i="3" s="1"/>
  <c r="L288" i="3"/>
  <c r="B288" i="3"/>
  <c r="C288" i="3" s="1"/>
  <c r="L287" i="3"/>
  <c r="B287" i="3"/>
  <c r="C287" i="3" s="1"/>
  <c r="L286" i="3"/>
  <c r="B286" i="3"/>
  <c r="C286" i="3" s="1"/>
  <c r="L285" i="3"/>
  <c r="B285" i="3"/>
  <c r="C285" i="3" s="1"/>
  <c r="L284" i="3"/>
  <c r="B284" i="3"/>
  <c r="C284" i="3" s="1"/>
  <c r="L283" i="3"/>
  <c r="B283" i="3"/>
  <c r="C283" i="3" s="1"/>
  <c r="L282" i="3"/>
  <c r="B282" i="3"/>
  <c r="C282" i="3" s="1"/>
  <c r="L281" i="3"/>
  <c r="B281" i="3"/>
  <c r="C281" i="3" s="1"/>
  <c r="L280" i="3"/>
  <c r="B280" i="3"/>
  <c r="C280" i="3" s="1"/>
  <c r="L279" i="3"/>
  <c r="B279" i="3"/>
  <c r="C279" i="3" s="1"/>
  <c r="L278" i="3"/>
  <c r="B278" i="3"/>
  <c r="C278" i="3" s="1"/>
  <c r="L277" i="3"/>
  <c r="B277" i="3"/>
  <c r="C277" i="3" s="1"/>
  <c r="L276" i="3"/>
  <c r="B276" i="3"/>
  <c r="C276" i="3" s="1"/>
  <c r="L275" i="3"/>
  <c r="B275" i="3"/>
  <c r="C275" i="3" s="1"/>
  <c r="L274" i="3"/>
  <c r="B274" i="3"/>
  <c r="C274" i="3" s="1"/>
  <c r="L273" i="3"/>
  <c r="B273" i="3"/>
  <c r="C273" i="3" s="1"/>
  <c r="L272" i="3"/>
  <c r="B272" i="3"/>
  <c r="C272" i="3" s="1"/>
  <c r="L271" i="3"/>
  <c r="B271" i="3"/>
  <c r="C271" i="3" s="1"/>
  <c r="L270" i="3"/>
  <c r="B270" i="3"/>
  <c r="C270" i="3" s="1"/>
  <c r="L269" i="3"/>
  <c r="B269" i="3"/>
  <c r="C269" i="3" s="1"/>
  <c r="L268" i="3"/>
  <c r="B268" i="3"/>
  <c r="C268" i="3" s="1"/>
  <c r="L267" i="3"/>
  <c r="B267" i="3"/>
  <c r="C267" i="3" s="1"/>
  <c r="L266" i="3"/>
  <c r="B266" i="3"/>
  <c r="C266" i="3" s="1"/>
  <c r="L265" i="3"/>
  <c r="B265" i="3"/>
  <c r="C265" i="3" s="1"/>
  <c r="L264" i="3"/>
  <c r="B264" i="3"/>
  <c r="C264" i="3" s="1"/>
  <c r="L263" i="3"/>
  <c r="B263" i="3"/>
  <c r="C263" i="3" s="1"/>
  <c r="L262" i="3"/>
  <c r="B262" i="3"/>
  <c r="C262" i="3" s="1"/>
  <c r="L261" i="3"/>
  <c r="B261" i="3"/>
  <c r="C261" i="3" s="1"/>
  <c r="L260" i="3"/>
  <c r="B260" i="3"/>
  <c r="C260" i="3" s="1"/>
  <c r="L259" i="3"/>
  <c r="B259" i="3"/>
  <c r="C259" i="3" s="1"/>
  <c r="L258" i="3"/>
  <c r="B258" i="3"/>
  <c r="C258" i="3" s="1"/>
  <c r="L257" i="3"/>
  <c r="B257" i="3"/>
  <c r="C257" i="3" s="1"/>
  <c r="L256" i="3"/>
  <c r="B256" i="3"/>
  <c r="C256" i="3" s="1"/>
  <c r="L255" i="3"/>
  <c r="B255" i="3"/>
  <c r="C255" i="3" s="1"/>
  <c r="L254" i="3"/>
  <c r="B254" i="3"/>
  <c r="C254" i="3" s="1"/>
  <c r="L253" i="3"/>
  <c r="B253" i="3"/>
  <c r="C253" i="3" s="1"/>
  <c r="L252" i="3"/>
  <c r="B252" i="3"/>
  <c r="C252" i="3" s="1"/>
  <c r="L251" i="3"/>
  <c r="B251" i="3"/>
  <c r="C251" i="3" s="1"/>
  <c r="L250" i="3"/>
  <c r="B250" i="3"/>
  <c r="C250" i="3" s="1"/>
  <c r="L249" i="3"/>
  <c r="B249" i="3"/>
  <c r="C249" i="3" s="1"/>
  <c r="L248" i="3"/>
  <c r="B248" i="3"/>
  <c r="C248" i="3" s="1"/>
  <c r="L247" i="3"/>
  <c r="B247" i="3"/>
  <c r="C247" i="3" s="1"/>
  <c r="L246" i="3"/>
  <c r="B246" i="3"/>
  <c r="C246" i="3" s="1"/>
  <c r="L245" i="3"/>
  <c r="B245" i="3"/>
  <c r="C245" i="3" s="1"/>
  <c r="L244" i="3"/>
  <c r="B244" i="3"/>
  <c r="C244" i="3" s="1"/>
  <c r="L243" i="3"/>
  <c r="B243" i="3"/>
  <c r="C243" i="3" s="1"/>
  <c r="L242" i="3"/>
  <c r="B242" i="3"/>
  <c r="C242" i="3" s="1"/>
  <c r="L241" i="3"/>
  <c r="B241" i="3"/>
  <c r="C241" i="3" s="1"/>
  <c r="L240" i="3"/>
  <c r="B240" i="3"/>
  <c r="C240" i="3" s="1"/>
  <c r="L239" i="3"/>
  <c r="B239" i="3"/>
  <c r="C239" i="3" s="1"/>
  <c r="L238" i="3"/>
  <c r="B238" i="3"/>
  <c r="C238" i="3" s="1"/>
  <c r="L237" i="3"/>
  <c r="B237" i="3"/>
  <c r="C237" i="3" s="1"/>
  <c r="L236" i="3"/>
  <c r="B236" i="3"/>
  <c r="C236" i="3" s="1"/>
  <c r="L235" i="3"/>
  <c r="B235" i="3"/>
  <c r="C235" i="3" s="1"/>
  <c r="L234" i="3"/>
  <c r="B234" i="3"/>
  <c r="C234" i="3" s="1"/>
  <c r="L233" i="3"/>
  <c r="B233" i="3"/>
  <c r="C233" i="3" s="1"/>
  <c r="L232" i="3"/>
  <c r="B232" i="3"/>
  <c r="C232" i="3" s="1"/>
  <c r="L231" i="3"/>
  <c r="B231" i="3"/>
  <c r="C231" i="3" s="1"/>
  <c r="L230" i="3"/>
  <c r="B230" i="3"/>
  <c r="C230" i="3" s="1"/>
  <c r="L229" i="3"/>
  <c r="B229" i="3"/>
  <c r="C229" i="3" s="1"/>
  <c r="L228" i="3"/>
  <c r="B228" i="3"/>
  <c r="C228" i="3" s="1"/>
  <c r="L227" i="3"/>
  <c r="B227" i="3"/>
  <c r="C227" i="3" s="1"/>
  <c r="L226" i="3"/>
  <c r="B226" i="3"/>
  <c r="C226" i="3" s="1"/>
  <c r="L225" i="3"/>
  <c r="B225" i="3"/>
  <c r="C225" i="3" s="1"/>
  <c r="L224" i="3"/>
  <c r="B224" i="3"/>
  <c r="C224" i="3" s="1"/>
  <c r="L223" i="3"/>
  <c r="B223" i="3"/>
  <c r="C223" i="3" s="1"/>
  <c r="L222" i="3"/>
  <c r="B222" i="3"/>
  <c r="C222" i="3" s="1"/>
  <c r="L221" i="3"/>
  <c r="B221" i="3"/>
  <c r="C221" i="3" s="1"/>
  <c r="L220" i="3"/>
  <c r="B220" i="3"/>
  <c r="C220" i="3" s="1"/>
  <c r="L219" i="3"/>
  <c r="B219" i="3"/>
  <c r="C219" i="3" s="1"/>
  <c r="L218" i="3"/>
  <c r="B218" i="3"/>
  <c r="C218" i="3" s="1"/>
  <c r="L217" i="3"/>
  <c r="B217" i="3"/>
  <c r="C217" i="3" s="1"/>
  <c r="L216" i="3"/>
  <c r="B216" i="3"/>
  <c r="C216" i="3" s="1"/>
  <c r="L215" i="3"/>
  <c r="B215" i="3"/>
  <c r="C215" i="3" s="1"/>
  <c r="L214" i="3"/>
  <c r="B214" i="3"/>
  <c r="C214" i="3" s="1"/>
  <c r="L213" i="3"/>
  <c r="B213" i="3"/>
  <c r="C213" i="3" s="1"/>
  <c r="L212" i="3"/>
  <c r="B212" i="3"/>
  <c r="C212" i="3" s="1"/>
  <c r="L211" i="3"/>
  <c r="B211" i="3"/>
  <c r="C211" i="3" s="1"/>
  <c r="L210" i="3"/>
  <c r="B210" i="3"/>
  <c r="C210" i="3" s="1"/>
  <c r="L209" i="3"/>
  <c r="B209" i="3"/>
  <c r="C209" i="3" s="1"/>
  <c r="L208" i="3"/>
  <c r="B208" i="3"/>
  <c r="C208" i="3" s="1"/>
  <c r="L207" i="3"/>
  <c r="B207" i="3"/>
  <c r="C207" i="3" s="1"/>
  <c r="L206" i="3"/>
  <c r="B206" i="3"/>
  <c r="C206" i="3" s="1"/>
  <c r="L205" i="3"/>
  <c r="B205" i="3"/>
  <c r="C205" i="3" s="1"/>
  <c r="L204" i="3"/>
  <c r="B204" i="3"/>
  <c r="C204" i="3" s="1"/>
  <c r="L203" i="3"/>
  <c r="B203" i="3"/>
  <c r="C203" i="3" s="1"/>
  <c r="L202" i="3"/>
  <c r="B202" i="3"/>
  <c r="C202" i="3" s="1"/>
  <c r="L201" i="3"/>
  <c r="B201" i="3"/>
  <c r="C201" i="3" s="1"/>
  <c r="L200" i="3"/>
  <c r="B200" i="3"/>
  <c r="C200" i="3" s="1"/>
  <c r="L199" i="3"/>
  <c r="B199" i="3"/>
  <c r="C199" i="3" s="1"/>
  <c r="L198" i="3"/>
  <c r="B198" i="3"/>
  <c r="C198" i="3" s="1"/>
  <c r="L197" i="3"/>
  <c r="B197" i="3"/>
  <c r="C197" i="3" s="1"/>
  <c r="L196" i="3"/>
  <c r="B196" i="3"/>
  <c r="C196" i="3" s="1"/>
  <c r="L195" i="3"/>
  <c r="B195" i="3"/>
  <c r="C195" i="3" s="1"/>
  <c r="L194" i="3"/>
  <c r="B194" i="3"/>
  <c r="C194" i="3" s="1"/>
  <c r="L193" i="3"/>
  <c r="B193" i="3"/>
  <c r="C193" i="3" s="1"/>
  <c r="L192" i="3"/>
  <c r="B192" i="3"/>
  <c r="C192" i="3" s="1"/>
  <c r="L191" i="3"/>
  <c r="B191" i="3"/>
  <c r="C191" i="3" s="1"/>
  <c r="L190" i="3"/>
  <c r="B190" i="3"/>
  <c r="C190" i="3" s="1"/>
  <c r="L189" i="3"/>
  <c r="B189" i="3"/>
  <c r="C189" i="3" s="1"/>
  <c r="L188" i="3"/>
  <c r="B188" i="3"/>
  <c r="C188" i="3" s="1"/>
  <c r="L187" i="3"/>
  <c r="B187" i="3"/>
  <c r="C187" i="3" s="1"/>
  <c r="L186" i="3"/>
  <c r="B186" i="3"/>
  <c r="C186" i="3" s="1"/>
  <c r="L185" i="3"/>
  <c r="B185" i="3"/>
  <c r="C185" i="3" s="1"/>
  <c r="L184" i="3"/>
  <c r="B184" i="3"/>
  <c r="C184" i="3" s="1"/>
  <c r="L183" i="3"/>
  <c r="B183" i="3"/>
  <c r="C183" i="3" s="1"/>
  <c r="L182" i="3"/>
  <c r="B182" i="3"/>
  <c r="C182" i="3" s="1"/>
  <c r="L181" i="3"/>
  <c r="B181" i="3"/>
  <c r="C181" i="3" s="1"/>
  <c r="L180" i="3"/>
  <c r="B180" i="3"/>
  <c r="C180" i="3" s="1"/>
  <c r="L179" i="3"/>
  <c r="B179" i="3"/>
  <c r="C179" i="3" s="1"/>
  <c r="L178" i="3"/>
  <c r="B178" i="3"/>
  <c r="C178" i="3" s="1"/>
  <c r="L177" i="3"/>
  <c r="B177" i="3"/>
  <c r="C177" i="3" s="1"/>
  <c r="L176" i="3"/>
  <c r="B176" i="3"/>
  <c r="C176" i="3" s="1"/>
  <c r="L175" i="3"/>
  <c r="B175" i="3"/>
  <c r="C175" i="3" s="1"/>
  <c r="L174" i="3"/>
  <c r="B174" i="3"/>
  <c r="C174" i="3" s="1"/>
  <c r="L173" i="3"/>
  <c r="B173" i="3"/>
  <c r="C173" i="3" s="1"/>
  <c r="L172" i="3"/>
  <c r="B172" i="3"/>
  <c r="C172" i="3" s="1"/>
  <c r="L171" i="3"/>
  <c r="B171" i="3"/>
  <c r="C171" i="3" s="1"/>
  <c r="L170" i="3"/>
  <c r="B170" i="3"/>
  <c r="C170" i="3" s="1"/>
  <c r="L169" i="3"/>
  <c r="B169" i="3"/>
  <c r="C169" i="3" s="1"/>
  <c r="L168" i="3"/>
  <c r="B168" i="3"/>
  <c r="C168" i="3" s="1"/>
  <c r="L167" i="3"/>
  <c r="B167" i="3"/>
  <c r="C167" i="3" s="1"/>
  <c r="L166" i="3"/>
  <c r="B166" i="3"/>
  <c r="C166" i="3" s="1"/>
  <c r="L165" i="3"/>
  <c r="B165" i="3"/>
  <c r="C165" i="3" s="1"/>
  <c r="L164" i="3"/>
  <c r="B164" i="3"/>
  <c r="C164" i="3" s="1"/>
  <c r="L163" i="3"/>
  <c r="B163" i="3"/>
  <c r="C163" i="3" s="1"/>
  <c r="L162" i="3"/>
  <c r="B162" i="3"/>
  <c r="C162" i="3" s="1"/>
  <c r="L161" i="3"/>
  <c r="B161" i="3"/>
  <c r="C161" i="3" s="1"/>
  <c r="L160" i="3"/>
  <c r="B160" i="3"/>
  <c r="C160" i="3" s="1"/>
  <c r="L159" i="3"/>
  <c r="B159" i="3"/>
  <c r="C159" i="3" s="1"/>
  <c r="L158" i="3"/>
  <c r="B158" i="3"/>
  <c r="C158" i="3" s="1"/>
  <c r="L157" i="3"/>
  <c r="B157" i="3"/>
  <c r="C157" i="3" s="1"/>
  <c r="L156" i="3"/>
  <c r="B156" i="3"/>
  <c r="C156" i="3" s="1"/>
  <c r="L155" i="3"/>
  <c r="B155" i="3"/>
  <c r="C155" i="3" s="1"/>
  <c r="L154" i="3"/>
  <c r="B154" i="3"/>
  <c r="C154" i="3" s="1"/>
  <c r="L153" i="3"/>
  <c r="B153" i="3"/>
  <c r="C153" i="3" s="1"/>
  <c r="L152" i="3"/>
  <c r="B152" i="3"/>
  <c r="C152" i="3" s="1"/>
  <c r="L151" i="3"/>
  <c r="B151" i="3"/>
  <c r="C151" i="3" s="1"/>
  <c r="L150" i="3"/>
  <c r="B150" i="3"/>
  <c r="C150" i="3" s="1"/>
  <c r="L149" i="3"/>
  <c r="B149" i="3"/>
  <c r="C149" i="3" s="1"/>
  <c r="L148" i="3"/>
  <c r="B148" i="3"/>
  <c r="C148" i="3" s="1"/>
  <c r="L147" i="3"/>
  <c r="B147" i="3"/>
  <c r="C147" i="3" s="1"/>
  <c r="L146" i="3"/>
  <c r="B146" i="3"/>
  <c r="C146" i="3" s="1"/>
  <c r="L145" i="3"/>
  <c r="B145" i="3"/>
  <c r="C145" i="3" s="1"/>
  <c r="L144" i="3"/>
  <c r="B144" i="3"/>
  <c r="C144" i="3" s="1"/>
  <c r="L143" i="3"/>
  <c r="B143" i="3"/>
  <c r="C143" i="3" s="1"/>
  <c r="L142" i="3"/>
  <c r="B142" i="3"/>
  <c r="C142" i="3" s="1"/>
  <c r="L141" i="3"/>
  <c r="B141" i="3"/>
  <c r="C141" i="3" s="1"/>
  <c r="L140" i="3"/>
  <c r="B140" i="3"/>
  <c r="C140" i="3" s="1"/>
  <c r="L139" i="3"/>
  <c r="B139" i="3"/>
  <c r="C139" i="3" s="1"/>
  <c r="L138" i="3"/>
  <c r="B138" i="3"/>
  <c r="C138" i="3" s="1"/>
  <c r="L137" i="3"/>
  <c r="B137" i="3"/>
  <c r="C137" i="3" s="1"/>
  <c r="L136" i="3"/>
  <c r="B136" i="3"/>
  <c r="C136" i="3" s="1"/>
  <c r="L135" i="3"/>
  <c r="B135" i="3"/>
  <c r="C135" i="3" s="1"/>
  <c r="L134" i="3"/>
  <c r="B134" i="3"/>
  <c r="C134" i="3" s="1"/>
  <c r="L133" i="3"/>
  <c r="B133" i="3"/>
  <c r="C133" i="3" s="1"/>
  <c r="L132" i="3"/>
  <c r="B132" i="3"/>
  <c r="C132" i="3" s="1"/>
  <c r="L131" i="3"/>
  <c r="B131" i="3"/>
  <c r="C131" i="3" s="1"/>
  <c r="L130" i="3"/>
  <c r="B130" i="3"/>
  <c r="C130" i="3" s="1"/>
  <c r="L129" i="3"/>
  <c r="B129" i="3"/>
  <c r="C129" i="3" s="1"/>
  <c r="L128" i="3"/>
  <c r="B128" i="3"/>
  <c r="C128" i="3" s="1"/>
  <c r="L127" i="3"/>
  <c r="B127" i="3"/>
  <c r="C127" i="3" s="1"/>
  <c r="L126" i="3"/>
  <c r="B126" i="3"/>
  <c r="C126" i="3" s="1"/>
  <c r="L125" i="3"/>
  <c r="B125" i="3"/>
  <c r="C125" i="3" s="1"/>
  <c r="L124" i="3"/>
  <c r="B124" i="3"/>
  <c r="C124" i="3" s="1"/>
  <c r="L123" i="3"/>
  <c r="B123" i="3"/>
  <c r="C123" i="3" s="1"/>
  <c r="L122" i="3"/>
  <c r="B122" i="3"/>
  <c r="C122" i="3" s="1"/>
  <c r="L121" i="3"/>
  <c r="B121" i="3"/>
  <c r="C121" i="3" s="1"/>
  <c r="L120" i="3"/>
  <c r="B120" i="3"/>
  <c r="C120" i="3" s="1"/>
  <c r="L119" i="3"/>
  <c r="B119" i="3"/>
  <c r="C119" i="3" s="1"/>
  <c r="L118" i="3"/>
  <c r="B118" i="3"/>
  <c r="C118" i="3" s="1"/>
  <c r="L117" i="3"/>
  <c r="B117" i="3"/>
  <c r="C117" i="3" s="1"/>
  <c r="L116" i="3"/>
  <c r="B116" i="3"/>
  <c r="C116" i="3" s="1"/>
  <c r="L115" i="3"/>
  <c r="B115" i="3"/>
  <c r="C115" i="3" s="1"/>
  <c r="L114" i="3"/>
  <c r="B114" i="3"/>
  <c r="C114" i="3" s="1"/>
  <c r="L113" i="3"/>
  <c r="B113" i="3"/>
  <c r="C113" i="3" s="1"/>
  <c r="L112" i="3"/>
  <c r="B112" i="3"/>
  <c r="C112" i="3" s="1"/>
  <c r="L111" i="3"/>
  <c r="B111" i="3"/>
  <c r="C111" i="3" s="1"/>
  <c r="L110" i="3"/>
  <c r="B110" i="3"/>
  <c r="C110" i="3" s="1"/>
  <c r="L109" i="3"/>
  <c r="B109" i="3"/>
  <c r="C109" i="3" s="1"/>
  <c r="L108" i="3"/>
  <c r="B108" i="3"/>
  <c r="C108" i="3" s="1"/>
  <c r="L107" i="3"/>
  <c r="B107" i="3"/>
  <c r="C107" i="3" s="1"/>
  <c r="L106" i="3"/>
  <c r="B106" i="3"/>
  <c r="C106" i="3" s="1"/>
  <c r="L105" i="3"/>
  <c r="B105" i="3"/>
  <c r="C105" i="3" s="1"/>
  <c r="L104" i="3"/>
  <c r="B104" i="3"/>
  <c r="C104" i="3" s="1"/>
  <c r="L103" i="3"/>
  <c r="B103" i="3"/>
  <c r="C103" i="3" s="1"/>
  <c r="L102" i="3"/>
  <c r="B102" i="3"/>
  <c r="C102" i="3" s="1"/>
  <c r="L101" i="3"/>
  <c r="B101" i="3"/>
  <c r="C101" i="3" s="1"/>
  <c r="L100" i="3"/>
  <c r="B100" i="3"/>
  <c r="C100" i="3" s="1"/>
  <c r="L99" i="3"/>
  <c r="B99" i="3"/>
  <c r="C99" i="3" s="1"/>
  <c r="L98" i="3"/>
  <c r="B98" i="3"/>
  <c r="C98" i="3" s="1"/>
  <c r="L97" i="3"/>
  <c r="B97" i="3"/>
  <c r="C97" i="3" s="1"/>
  <c r="L96" i="3"/>
  <c r="B96" i="3"/>
  <c r="C96" i="3" s="1"/>
  <c r="L95" i="3"/>
  <c r="B95" i="3"/>
  <c r="C95" i="3" s="1"/>
  <c r="L94" i="3"/>
  <c r="B94" i="3"/>
  <c r="C94" i="3" s="1"/>
  <c r="L93" i="3"/>
  <c r="B93" i="3"/>
  <c r="C93" i="3" s="1"/>
  <c r="L92" i="3"/>
  <c r="B92" i="3"/>
  <c r="C92" i="3" s="1"/>
  <c r="L91" i="3"/>
  <c r="B91" i="3"/>
  <c r="C91" i="3" s="1"/>
  <c r="L90" i="3"/>
  <c r="B90" i="3"/>
  <c r="C90" i="3" s="1"/>
  <c r="L89" i="3"/>
  <c r="B89" i="3"/>
  <c r="C89" i="3" s="1"/>
  <c r="L88" i="3"/>
  <c r="B88" i="3"/>
  <c r="C88" i="3" s="1"/>
  <c r="L87" i="3"/>
  <c r="B87" i="3"/>
  <c r="C87" i="3" s="1"/>
  <c r="L86" i="3"/>
  <c r="B86" i="3"/>
  <c r="C86" i="3" s="1"/>
  <c r="L85" i="3"/>
  <c r="B85" i="3"/>
  <c r="C85" i="3" s="1"/>
  <c r="L84" i="3"/>
  <c r="B84" i="3"/>
  <c r="C84" i="3" s="1"/>
  <c r="L83" i="3"/>
  <c r="B83" i="3"/>
  <c r="C83" i="3" s="1"/>
  <c r="L82" i="3"/>
  <c r="B82" i="3"/>
  <c r="C82" i="3" s="1"/>
  <c r="L81" i="3"/>
  <c r="B81" i="3"/>
  <c r="C81" i="3" s="1"/>
  <c r="L80" i="3"/>
  <c r="B80" i="3"/>
  <c r="C80" i="3" s="1"/>
  <c r="L79" i="3"/>
  <c r="B79" i="3"/>
  <c r="C79" i="3" s="1"/>
  <c r="L78" i="3"/>
  <c r="B78" i="3"/>
  <c r="C78" i="3" s="1"/>
  <c r="L77" i="3"/>
  <c r="B77" i="3"/>
  <c r="C77" i="3" s="1"/>
  <c r="L76" i="3"/>
  <c r="B76" i="3"/>
  <c r="C76" i="3" s="1"/>
  <c r="L75" i="3"/>
  <c r="B75" i="3"/>
  <c r="C75" i="3" s="1"/>
  <c r="L74" i="3"/>
  <c r="B74" i="3"/>
  <c r="C74" i="3" s="1"/>
  <c r="L73" i="3"/>
  <c r="B73" i="3"/>
  <c r="C73" i="3" s="1"/>
  <c r="L72" i="3"/>
  <c r="B72" i="3"/>
  <c r="C72" i="3" s="1"/>
  <c r="L71" i="3"/>
  <c r="B71" i="3"/>
  <c r="C71" i="3" s="1"/>
  <c r="L70" i="3"/>
  <c r="B70" i="3"/>
  <c r="C70" i="3" s="1"/>
  <c r="L69" i="3"/>
  <c r="B69" i="3"/>
  <c r="C69" i="3" s="1"/>
  <c r="L68" i="3"/>
  <c r="B68" i="3"/>
  <c r="C68" i="3" s="1"/>
  <c r="L67" i="3"/>
  <c r="B67" i="3"/>
  <c r="C67" i="3" s="1"/>
  <c r="L66" i="3"/>
  <c r="B66" i="3"/>
  <c r="C66" i="3" s="1"/>
  <c r="L65" i="3"/>
  <c r="B65" i="3"/>
  <c r="C65" i="3" s="1"/>
  <c r="L64" i="3"/>
  <c r="B64" i="3"/>
  <c r="C64" i="3" s="1"/>
  <c r="L63" i="3"/>
  <c r="B63" i="3"/>
  <c r="C63" i="3" s="1"/>
  <c r="L62" i="3"/>
  <c r="B62" i="3"/>
  <c r="C62" i="3" s="1"/>
  <c r="L61" i="3"/>
  <c r="B61" i="3"/>
  <c r="C61" i="3" s="1"/>
  <c r="L60" i="3"/>
  <c r="B60" i="3"/>
  <c r="C60" i="3" s="1"/>
  <c r="L59" i="3"/>
  <c r="B59" i="3"/>
  <c r="C59" i="3" s="1"/>
  <c r="L58" i="3"/>
  <c r="B58" i="3"/>
  <c r="C58" i="3" s="1"/>
  <c r="L57" i="3"/>
  <c r="B57" i="3"/>
  <c r="C57" i="3" s="1"/>
  <c r="L56" i="3"/>
  <c r="B56" i="3"/>
  <c r="C56" i="3" s="1"/>
  <c r="L55" i="3"/>
  <c r="B55" i="3"/>
  <c r="C55" i="3" s="1"/>
  <c r="L54" i="3"/>
  <c r="B54" i="3"/>
  <c r="C54" i="3" s="1"/>
  <c r="L53" i="3"/>
  <c r="B53" i="3"/>
  <c r="C53" i="3" s="1"/>
  <c r="L52" i="3"/>
  <c r="B52" i="3"/>
  <c r="C52" i="3" s="1"/>
  <c r="L51" i="3"/>
  <c r="B51" i="3"/>
  <c r="C51" i="3" s="1"/>
  <c r="L50" i="3"/>
  <c r="B50" i="3"/>
  <c r="C50" i="3" s="1"/>
  <c r="L49" i="3"/>
  <c r="B49" i="3"/>
  <c r="C49" i="3" s="1"/>
  <c r="L48" i="3"/>
  <c r="B48" i="3"/>
  <c r="C48" i="3" s="1"/>
  <c r="L46" i="3"/>
  <c r="B46" i="3"/>
  <c r="C46" i="3" s="1"/>
  <c r="L45" i="3"/>
  <c r="B45" i="3"/>
  <c r="C45" i="3" s="1"/>
  <c r="L42" i="3"/>
  <c r="B42" i="3"/>
  <c r="C42" i="3" s="1"/>
  <c r="L41" i="3"/>
  <c r="B41" i="3"/>
  <c r="C41" i="3" s="1"/>
  <c r="L40" i="3"/>
  <c r="B40" i="3"/>
  <c r="C40" i="3" s="1"/>
  <c r="L39" i="3"/>
  <c r="B39" i="3"/>
  <c r="C39" i="3" s="1"/>
  <c r="L38" i="3"/>
  <c r="B38" i="3"/>
  <c r="C38" i="3" s="1"/>
  <c r="L37" i="3"/>
  <c r="B37" i="3"/>
  <c r="C37" i="3" s="1"/>
  <c r="L36" i="3"/>
  <c r="B36" i="3"/>
  <c r="C36" i="3" s="1"/>
  <c r="L35" i="3"/>
  <c r="B35" i="3"/>
  <c r="C35" i="3" s="1"/>
  <c r="L34" i="3"/>
  <c r="B34" i="3"/>
  <c r="C34" i="3" s="1"/>
  <c r="L33" i="3"/>
  <c r="B33" i="3"/>
  <c r="C33" i="3" s="1"/>
  <c r="L32" i="3"/>
  <c r="B32" i="3"/>
  <c r="C32" i="3" s="1"/>
  <c r="L31" i="3"/>
  <c r="B31" i="3"/>
  <c r="C31" i="3" s="1"/>
  <c r="L30" i="3"/>
  <c r="B30" i="3"/>
  <c r="C30" i="3" s="1"/>
  <c r="L29" i="3"/>
  <c r="B29" i="3"/>
  <c r="C29" i="3" s="1"/>
  <c r="L28" i="3"/>
  <c r="B28" i="3"/>
  <c r="C28" i="3" s="1"/>
  <c r="L27" i="3"/>
  <c r="B27" i="3"/>
  <c r="C27" i="3" s="1"/>
  <c r="L26" i="3"/>
  <c r="B26" i="3"/>
  <c r="C26" i="3" s="1"/>
  <c r="L25" i="3"/>
  <c r="B25" i="3"/>
  <c r="C25" i="3" s="1"/>
  <c r="L24" i="3"/>
  <c r="B24" i="3"/>
  <c r="C24" i="3" s="1"/>
  <c r="L23" i="3"/>
  <c r="B23" i="3"/>
  <c r="C23" i="3" s="1"/>
  <c r="L22" i="3"/>
  <c r="B22" i="3"/>
  <c r="C22" i="3" s="1"/>
  <c r="L21" i="3"/>
  <c r="B21" i="3"/>
  <c r="C21" i="3" s="1"/>
  <c r="L20" i="3"/>
  <c r="B20" i="3"/>
  <c r="C20" i="3" s="1"/>
  <c r="L19" i="3"/>
  <c r="B19" i="3"/>
  <c r="C19" i="3" s="1"/>
  <c r="L18" i="3"/>
  <c r="B18" i="3"/>
  <c r="C18" i="3" s="1"/>
  <c r="L17" i="3"/>
  <c r="B17" i="3"/>
  <c r="C17" i="3" s="1"/>
  <c r="L16" i="3"/>
  <c r="B16" i="3"/>
  <c r="C16" i="3" s="1"/>
  <c r="L15" i="3"/>
  <c r="B15" i="3"/>
  <c r="C15" i="3" s="1"/>
  <c r="L14" i="3"/>
  <c r="B14" i="3"/>
  <c r="C14" i="3" s="1"/>
  <c r="L13" i="3"/>
  <c r="B13" i="3"/>
  <c r="C13" i="3" s="1"/>
  <c r="L12" i="3"/>
  <c r="B12" i="3"/>
  <c r="C12" i="3" s="1"/>
  <c r="L11" i="3"/>
  <c r="B11" i="3"/>
  <c r="C11" i="3" s="1"/>
  <c r="L10" i="3"/>
  <c r="B10" i="3"/>
  <c r="C10" i="3" s="1"/>
  <c r="L9" i="3"/>
  <c r="B9" i="3"/>
  <c r="D6" i="3"/>
  <c r="D5" i="3"/>
  <c r="D4" i="3"/>
  <c r="D3" i="3"/>
  <c r="L994" i="2"/>
  <c r="B994" i="2"/>
  <c r="C994" i="2" s="1"/>
  <c r="L993" i="2"/>
  <c r="B993" i="2"/>
  <c r="C993" i="2" s="1"/>
  <c r="L992" i="2"/>
  <c r="B992" i="2"/>
  <c r="C992" i="2" s="1"/>
  <c r="L991" i="2"/>
  <c r="B991" i="2"/>
  <c r="C991" i="2" s="1"/>
  <c r="L990" i="2"/>
  <c r="B990" i="2"/>
  <c r="C990" i="2" s="1"/>
  <c r="L989" i="2"/>
  <c r="B989" i="2"/>
  <c r="C989" i="2" s="1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P98" i="17"/>
  <c r="O98" i="17"/>
  <c r="N98" i="17"/>
  <c r="M98" i="17"/>
  <c r="L98" i="17"/>
  <c r="K98" i="17"/>
  <c r="J98" i="17"/>
  <c r="I98" i="17"/>
  <c r="H98" i="17"/>
  <c r="G98" i="17"/>
  <c r="F98" i="17"/>
  <c r="E98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F18" i="17"/>
  <c r="I17" i="17"/>
  <c r="P17" i="17"/>
  <c r="N17" i="17"/>
  <c r="O17" i="17"/>
  <c r="G17" i="17"/>
  <c r="J17" i="17"/>
  <c r="H17" i="17"/>
  <c r="G18" i="17"/>
  <c r="O18" i="17"/>
  <c r="K17" i="17"/>
  <c r="J18" i="17"/>
  <c r="M18" i="17"/>
  <c r="H18" i="17"/>
  <c r="P18" i="17"/>
  <c r="I18" i="17"/>
  <c r="L17" i="17"/>
  <c r="M17" i="17"/>
  <c r="N18" i="17"/>
  <c r="E18" i="17"/>
  <c r="F17" i="17"/>
  <c r="L18" i="17"/>
  <c r="K18" i="17"/>
  <c r="E17" i="17"/>
  <c r="G33" i="18"/>
  <c r="L28" i="17"/>
  <c r="P25" i="17"/>
  <c r="K16" i="17"/>
  <c r="I22" i="17"/>
  <c r="L27" i="17"/>
  <c r="P21" i="17"/>
  <c r="P24" i="17"/>
  <c r="N15" i="17"/>
  <c r="I16" i="17"/>
  <c r="M24" i="17"/>
  <c r="K21" i="17"/>
  <c r="N27" i="17"/>
  <c r="G24" i="17"/>
  <c r="N25" i="17"/>
  <c r="M25" i="17"/>
  <c r="H23" i="17"/>
  <c r="F22" i="17"/>
  <c r="O21" i="17"/>
  <c r="O20" i="17"/>
  <c r="K28" i="17"/>
  <c r="N28" i="17"/>
  <c r="L23" i="17"/>
  <c r="P19" i="17"/>
  <c r="L19" i="17"/>
  <c r="O24" i="17"/>
  <c r="K24" i="17"/>
  <c r="O22" i="17"/>
  <c r="G23" i="17"/>
  <c r="J16" i="17"/>
  <c r="N24" i="17"/>
  <c r="J15" i="17"/>
  <c r="F20" i="17"/>
  <c r="J25" i="17"/>
  <c r="I15" i="17"/>
  <c r="E15" i="17"/>
  <c r="F23" i="17"/>
  <c r="K20" i="17"/>
  <c r="N16" i="17"/>
  <c r="L16" i="17"/>
  <c r="E28" i="17"/>
  <c r="M15" i="17"/>
  <c r="M21" i="17"/>
  <c r="F28" i="17"/>
  <c r="N23" i="17"/>
  <c r="J28" i="17"/>
  <c r="H27" i="17"/>
  <c r="P22" i="17"/>
  <c r="P15" i="17"/>
  <c r="F15" i="17"/>
  <c r="M16" i="17"/>
  <c r="H15" i="17"/>
  <c r="I25" i="17"/>
  <c r="J27" i="17"/>
  <c r="E16" i="17"/>
  <c r="M23" i="17"/>
  <c r="N20" i="17"/>
  <c r="O27" i="17"/>
  <c r="E22" i="17"/>
  <c r="M27" i="17"/>
  <c r="H20" i="17"/>
  <c r="J19" i="17"/>
  <c r="I24" i="17"/>
  <c r="G25" i="17"/>
  <c r="L20" i="17"/>
  <c r="L15" i="17"/>
  <c r="H28" i="17"/>
  <c r="E21" i="17"/>
  <c r="F24" i="17"/>
  <c r="F19" i="17"/>
  <c r="I27" i="17"/>
  <c r="K15" i="17"/>
  <c r="I23" i="17"/>
  <c r="J23" i="17"/>
  <c r="G28" i="17"/>
  <c r="K22" i="17"/>
  <c r="E25" i="17"/>
  <c r="H25" i="17"/>
  <c r="G15" i="17"/>
  <c r="I20" i="17"/>
  <c r="P20" i="17"/>
  <c r="J21" i="17"/>
  <c r="J24" i="17"/>
  <c r="L25" i="17"/>
  <c r="J22" i="17"/>
  <c r="H24" i="17"/>
  <c r="G21" i="17"/>
  <c r="H19" i="17"/>
  <c r="K25" i="17"/>
  <c r="P28" i="17"/>
  <c r="L24" i="17"/>
  <c r="L21" i="17"/>
  <c r="O19" i="17"/>
  <c r="P16" i="17"/>
  <c r="O28" i="17"/>
  <c r="G19" i="17"/>
  <c r="O23" i="17"/>
  <c r="I28" i="17"/>
  <c r="N19" i="17"/>
  <c r="O15" i="17"/>
  <c r="G16" i="17"/>
  <c r="I21" i="17"/>
  <c r="M19" i="17"/>
  <c r="M20" i="17"/>
  <c r="O16" i="17"/>
  <c r="O25" i="17"/>
  <c r="F16" i="17"/>
  <c r="F25" i="17"/>
  <c r="G22" i="17"/>
  <c r="G20" i="17"/>
  <c r="K23" i="17"/>
  <c r="L22" i="17"/>
  <c r="E27" i="17"/>
  <c r="M22" i="17"/>
  <c r="I19" i="17"/>
  <c r="K27" i="17"/>
  <c r="F27" i="17"/>
  <c r="J20" i="17"/>
  <c r="P27" i="17"/>
  <c r="H16" i="17"/>
  <c r="K19" i="17"/>
  <c r="M28" i="17"/>
  <c r="G27" i="17"/>
  <c r="H22" i="17"/>
  <c r="N21" i="17"/>
  <c r="H21" i="17"/>
  <c r="F21" i="17"/>
  <c r="P23" i="17"/>
  <c r="N22" i="17"/>
  <c r="L1009" i="8" l="1"/>
  <c r="L4" i="5"/>
  <c r="L4" i="9"/>
  <c r="L4" i="10"/>
  <c r="L4" i="3"/>
  <c r="C9" i="11"/>
  <c r="C9" i="7"/>
  <c r="C9" i="8"/>
  <c r="C9" i="12"/>
  <c r="C9" i="9"/>
  <c r="C9" i="13"/>
  <c r="C9" i="5"/>
  <c r="C9" i="6"/>
  <c r="C9" i="10"/>
  <c r="C9" i="4"/>
  <c r="C9" i="3"/>
  <c r="L4" i="13"/>
  <c r="L4" i="12"/>
  <c r="L4" i="11"/>
  <c r="L4" i="8"/>
  <c r="L4" i="7"/>
  <c r="L4" i="6"/>
  <c r="L4" i="4"/>
  <c r="D6" i="2" l="1"/>
  <c r="L67" i="2" l="1"/>
  <c r="B67" i="2"/>
  <c r="C67" i="2" s="1"/>
  <c r="L18" i="2" l="1"/>
  <c r="L19" i="2"/>
  <c r="L20" i="2"/>
  <c r="L21" i="2"/>
  <c r="L24" i="2"/>
  <c r="L25" i="2"/>
  <c r="L26" i="2"/>
  <c r="B26" i="2"/>
  <c r="C26" i="2" s="1"/>
  <c r="L5" i="17"/>
  <c r="M12" i="17"/>
  <c r="K4" i="17"/>
  <c r="I4" i="17"/>
  <c r="H7" i="17"/>
  <c r="G12" i="17"/>
  <c r="I12" i="17"/>
  <c r="L10" i="17"/>
  <c r="M10" i="17"/>
  <c r="G5" i="17"/>
  <c r="I13" i="17"/>
  <c r="I9" i="17"/>
  <c r="P9" i="17"/>
  <c r="J12" i="17"/>
  <c r="G9" i="17"/>
  <c r="K9" i="17"/>
  <c r="N12" i="17"/>
  <c r="F10" i="17"/>
  <c r="G4" i="17"/>
  <c r="H11" i="17"/>
  <c r="O10" i="17"/>
  <c r="L8" i="17"/>
  <c r="I7" i="17"/>
  <c r="M4" i="17"/>
  <c r="F8" i="17"/>
  <c r="G7" i="17"/>
  <c r="E12" i="17"/>
  <c r="O13" i="17"/>
  <c r="H13" i="17"/>
  <c r="O11" i="17"/>
  <c r="J4" i="17"/>
  <c r="H14" i="17"/>
  <c r="J10" i="17"/>
  <c r="G6" i="17"/>
  <c r="P7" i="17"/>
  <c r="P4" i="17"/>
  <c r="K13" i="17"/>
  <c r="J7" i="17"/>
  <c r="J9" i="17"/>
  <c r="F5" i="17"/>
  <c r="M9" i="17"/>
  <c r="M14" i="17"/>
  <c r="F4" i="17"/>
  <c r="P10" i="17"/>
  <c r="P8" i="17"/>
  <c r="H6" i="17"/>
  <c r="O7" i="17"/>
  <c r="O4" i="17"/>
  <c r="J6" i="17"/>
  <c r="N11" i="17"/>
  <c r="N5" i="17"/>
  <c r="M11" i="17"/>
  <c r="I8" i="17"/>
  <c r="O6" i="17"/>
  <c r="J14" i="17"/>
  <c r="L9" i="17"/>
  <c r="K6" i="17"/>
  <c r="G11" i="17"/>
  <c r="I10" i="17"/>
  <c r="I11" i="17"/>
  <c r="F14" i="17"/>
  <c r="L11" i="17"/>
  <c r="H9" i="17"/>
  <c r="N6" i="17"/>
  <c r="F9" i="17"/>
  <c r="N4" i="17"/>
  <c r="F6" i="17"/>
  <c r="H5" i="17"/>
  <c r="I5" i="17"/>
  <c r="I14" i="17"/>
  <c r="L6" i="17"/>
  <c r="L7" i="17"/>
  <c r="N14" i="17"/>
  <c r="M7" i="17"/>
  <c r="F13" i="17"/>
  <c r="N10" i="17"/>
  <c r="F7" i="17"/>
  <c r="O9" i="17"/>
  <c r="M5" i="17"/>
  <c r="H4" i="17"/>
  <c r="L4" i="17"/>
  <c r="P6" i="17"/>
  <c r="P14" i="17"/>
  <c r="M6" i="17"/>
  <c r="N7" i="17"/>
  <c r="K14" i="17"/>
  <c r="H8" i="17"/>
  <c r="E13" i="17"/>
  <c r="J11" i="17"/>
  <c r="G14" i="17"/>
  <c r="L14" i="17"/>
  <c r="G13" i="17"/>
  <c r="O12" i="17"/>
  <c r="P5" i="17"/>
  <c r="F11" i="17"/>
  <c r="L12" i="17"/>
  <c r="F12" i="17"/>
  <c r="J5" i="17"/>
  <c r="K12" i="17"/>
  <c r="H12" i="17"/>
  <c r="H10" i="17"/>
  <c r="O8" i="17"/>
  <c r="L13" i="17"/>
  <c r="P13" i="17"/>
  <c r="E9" i="17"/>
  <c r="J13" i="17"/>
  <c r="N13" i="17"/>
  <c r="K8" i="17"/>
  <c r="N8" i="17"/>
  <c r="J8" i="17"/>
  <c r="M13" i="17"/>
  <c r="K11" i="17"/>
  <c r="M8" i="17"/>
  <c r="K5" i="17"/>
  <c r="G8" i="17"/>
  <c r="K7" i="17"/>
  <c r="P11" i="17"/>
  <c r="O14" i="17"/>
  <c r="N9" i="17"/>
  <c r="P12" i="17"/>
  <c r="K10" i="17"/>
  <c r="O5" i="17"/>
  <c r="G10" i="17"/>
  <c r="I6" i="17"/>
  <c r="P13" i="18"/>
  <c r="P22" i="18"/>
  <c r="G27" i="18"/>
  <c r="AB28" i="18"/>
  <c r="P14" i="18"/>
  <c r="S15" i="18"/>
  <c r="P29" i="18"/>
  <c r="Y7" i="18"/>
  <c r="AK35" i="18"/>
  <c r="AH29" i="18"/>
  <c r="Y8" i="18"/>
  <c r="V34" i="18"/>
  <c r="AE22" i="18"/>
  <c r="V16" i="18"/>
  <c r="M20" i="18"/>
  <c r="V24" i="18"/>
  <c r="M23" i="18"/>
  <c r="AE10" i="18"/>
  <c r="G20" i="18"/>
  <c r="AE13" i="18"/>
  <c r="AH12" i="18"/>
  <c r="P25" i="18"/>
  <c r="V23" i="18"/>
  <c r="J23" i="18"/>
  <c r="AB30" i="18"/>
  <c r="AE18" i="18"/>
  <c r="S19" i="18"/>
  <c r="M19" i="18"/>
  <c r="P23" i="18"/>
  <c r="Y10" i="18"/>
  <c r="M30" i="18"/>
  <c r="J33" i="18"/>
  <c r="Y24" i="18"/>
  <c r="S23" i="18"/>
  <c r="V13" i="18"/>
  <c r="Y21" i="18"/>
  <c r="AK9" i="18"/>
  <c r="AK6" i="18"/>
  <c r="Y13" i="18"/>
  <c r="M33" i="18"/>
  <c r="V26" i="18"/>
  <c r="S11" i="18"/>
  <c r="P12" i="18"/>
  <c r="S34" i="18"/>
  <c r="J18" i="18"/>
  <c r="AB18" i="18"/>
  <c r="AB27" i="18"/>
  <c r="M25" i="18"/>
  <c r="AB32" i="18"/>
  <c r="V6" i="18"/>
  <c r="Y32" i="18"/>
  <c r="Y30" i="18"/>
  <c r="S7" i="18"/>
  <c r="AB23" i="18"/>
  <c r="AE35" i="18"/>
  <c r="J14" i="18"/>
  <c r="J22" i="18"/>
  <c r="AK26" i="18"/>
  <c r="AE31" i="18"/>
  <c r="J35" i="18"/>
  <c r="AK27" i="18"/>
  <c r="AE16" i="18"/>
  <c r="AH25" i="18"/>
  <c r="P24" i="18"/>
  <c r="S31" i="18"/>
  <c r="AE6" i="18"/>
  <c r="G6" i="18"/>
  <c r="V11" i="18"/>
  <c r="J3" i="17"/>
  <c r="G24" i="18"/>
  <c r="M7" i="18"/>
  <c r="M15" i="18"/>
  <c r="G15" i="18"/>
  <c r="AH11" i="18"/>
  <c r="AB22" i="18"/>
  <c r="S14" i="18"/>
  <c r="V5" i="18"/>
  <c r="J12" i="18"/>
  <c r="P33" i="18"/>
  <c r="Y22" i="18"/>
  <c r="G31" i="18"/>
  <c r="P34" i="18"/>
  <c r="AB20" i="18"/>
  <c r="AH28" i="18"/>
  <c r="S29" i="18"/>
  <c r="AH8" i="18"/>
  <c r="AB5" i="18"/>
  <c r="Y34" i="18"/>
  <c r="AE14" i="18"/>
  <c r="P19" i="18"/>
  <c r="AB29" i="18"/>
  <c r="AK34" i="18"/>
  <c r="M11" i="18"/>
  <c r="S33" i="18"/>
  <c r="F3" i="17"/>
  <c r="J15" i="18"/>
  <c r="V18" i="18"/>
  <c r="M5" i="18"/>
  <c r="AK10" i="18"/>
  <c r="V7" i="18"/>
  <c r="AB34" i="18"/>
  <c r="AE9" i="18"/>
  <c r="J25" i="18"/>
  <c r="AB14" i="18"/>
  <c r="S27" i="18"/>
  <c r="P18" i="18"/>
  <c r="AH10" i="18"/>
  <c r="Y19" i="18"/>
  <c r="S30" i="18"/>
  <c r="G32" i="18"/>
  <c r="V27" i="18"/>
  <c r="AB31" i="18"/>
  <c r="G10" i="18"/>
  <c r="P27" i="18"/>
  <c r="AE24" i="18"/>
  <c r="S18" i="18"/>
  <c r="AH30" i="18"/>
  <c r="AH31" i="18"/>
  <c r="Y9" i="18"/>
  <c r="S12" i="18"/>
  <c r="AB25" i="18"/>
  <c r="AH7" i="18"/>
  <c r="S28" i="18"/>
  <c r="P26" i="18"/>
  <c r="AK15" i="18"/>
  <c r="Y31" i="18"/>
  <c r="P31" i="18"/>
  <c r="AE8" i="18"/>
  <c r="AB21" i="18"/>
  <c r="AB16" i="18"/>
  <c r="G28" i="18"/>
  <c r="J34" i="18"/>
  <c r="G23" i="18"/>
  <c r="AB15" i="18"/>
  <c r="AB9" i="18"/>
  <c r="AH32" i="18"/>
  <c r="AE11" i="18"/>
  <c r="Y12" i="18"/>
  <c r="AE17" i="18"/>
  <c r="AE29" i="18"/>
  <c r="AE12" i="18"/>
  <c r="S10" i="18"/>
  <c r="AK30" i="18"/>
  <c r="P9" i="18"/>
  <c r="AB13" i="18"/>
  <c r="P17" i="18"/>
  <c r="J20" i="18"/>
  <c r="G14" i="18"/>
  <c r="P35" i="18"/>
  <c r="V32" i="18"/>
  <c r="V28" i="18"/>
  <c r="Y27" i="18"/>
  <c r="AB12" i="18"/>
  <c r="AH17" i="18"/>
  <c r="J17" i="18"/>
  <c r="AB17" i="18"/>
  <c r="P11" i="18"/>
  <c r="G7" i="18"/>
  <c r="J28" i="18"/>
  <c r="S20" i="18"/>
  <c r="V22" i="18"/>
  <c r="Y14" i="18"/>
  <c r="G19" i="18"/>
  <c r="J26" i="18"/>
  <c r="AH6" i="18"/>
  <c r="Y18" i="18"/>
  <c r="G21" i="18"/>
  <c r="J21" i="18"/>
  <c r="G8" i="18"/>
  <c r="AH24" i="18"/>
  <c r="M24" i="18"/>
  <c r="AK5" i="18"/>
  <c r="M34" i="18"/>
  <c r="J16" i="18"/>
  <c r="J11" i="18"/>
  <c r="AK16" i="18"/>
  <c r="S5" i="18"/>
  <c r="P5" i="18"/>
  <c r="J19" i="18"/>
  <c r="G17" i="18"/>
  <c r="J7" i="18"/>
  <c r="M12" i="18"/>
  <c r="M3" i="17"/>
  <c r="AE20" i="18"/>
  <c r="M6" i="18"/>
  <c r="M10" i="18"/>
  <c r="AE33" i="18"/>
  <c r="AB7" i="18"/>
  <c r="M8" i="18"/>
  <c r="AB24" i="18"/>
  <c r="Y33" i="18"/>
  <c r="J8" i="18"/>
  <c r="P16" i="18"/>
  <c r="V30" i="18"/>
  <c r="AK17" i="18"/>
  <c r="J9" i="18"/>
  <c r="AE27" i="18"/>
  <c r="M31" i="18"/>
  <c r="AB33" i="18"/>
  <c r="M28" i="18"/>
  <c r="AH34" i="18"/>
  <c r="AH9" i="18"/>
  <c r="AE23" i="18"/>
  <c r="L3" i="17"/>
  <c r="M18" i="18"/>
  <c r="AH22" i="18"/>
  <c r="J24" i="18"/>
  <c r="P21" i="18"/>
  <c r="AE5" i="18"/>
  <c r="M22" i="18"/>
  <c r="M16" i="18"/>
  <c r="AH5" i="18"/>
  <c r="H3" i="17"/>
  <c r="AH26" i="18"/>
  <c r="S24" i="18"/>
  <c r="M17" i="18"/>
  <c r="Y15" i="18"/>
  <c r="J5" i="18"/>
  <c r="Y25" i="18"/>
  <c r="AH21" i="18"/>
  <c r="G11" i="18"/>
  <c r="J27" i="18"/>
  <c r="AK22" i="18"/>
  <c r="S26" i="18"/>
  <c r="AE21" i="18"/>
  <c r="P6" i="18"/>
  <c r="G3" i="17"/>
  <c r="S13" i="18"/>
  <c r="S16" i="18"/>
  <c r="P7" i="18"/>
  <c r="Y16" i="18"/>
  <c r="M21" i="18"/>
  <c r="V8" i="18"/>
  <c r="Y35" i="18"/>
  <c r="P32" i="18"/>
  <c r="AK11" i="18"/>
  <c r="Y6" i="18"/>
  <c r="Y20" i="18"/>
  <c r="P10" i="18"/>
  <c r="P20" i="18"/>
  <c r="AE26" i="18"/>
  <c r="J6" i="18"/>
  <c r="J32" i="18"/>
  <c r="AH18" i="18"/>
  <c r="G29" i="18"/>
  <c r="V25" i="18"/>
  <c r="AK12" i="18"/>
  <c r="M9" i="18"/>
  <c r="AK24" i="18"/>
  <c r="AK19" i="18"/>
  <c r="AK18" i="18"/>
  <c r="V35" i="18"/>
  <c r="AE7" i="18"/>
  <c r="AE32" i="18"/>
  <c r="S17" i="18"/>
  <c r="AH27" i="18"/>
  <c r="M29" i="18"/>
  <c r="V14" i="18"/>
  <c r="G12" i="18"/>
  <c r="M32" i="18"/>
  <c r="Y26" i="18"/>
  <c r="AK20" i="18"/>
  <c r="AK14" i="18"/>
  <c r="Y17" i="18"/>
  <c r="AH20" i="18"/>
  <c r="P15" i="18"/>
  <c r="P8" i="18"/>
  <c r="V9" i="18"/>
  <c r="V10" i="18"/>
  <c r="AH16" i="18"/>
  <c r="S25" i="18"/>
  <c r="M14" i="18"/>
  <c r="G5" i="18"/>
  <c r="G22" i="18"/>
  <c r="V12" i="18"/>
  <c r="J13" i="18"/>
  <c r="G13" i="18"/>
  <c r="O3" i="17"/>
  <c r="AH14" i="18"/>
  <c r="V19" i="18"/>
  <c r="AB26" i="18"/>
  <c r="G9" i="18"/>
  <c r="V29" i="18"/>
  <c r="AE30" i="18"/>
  <c r="G25" i="18"/>
  <c r="P30" i="18"/>
  <c r="AB11" i="18"/>
  <c r="Y29" i="18"/>
  <c r="S6" i="18"/>
  <c r="G18" i="18"/>
  <c r="AK29" i="18"/>
  <c r="AB19" i="18"/>
  <c r="AH13" i="18"/>
  <c r="G30" i="18"/>
  <c r="I3" i="17"/>
  <c r="J29" i="18"/>
  <c r="J30" i="18"/>
  <c r="V17" i="18"/>
  <c r="V33" i="18"/>
  <c r="V31" i="18"/>
  <c r="S8" i="18"/>
  <c r="AE28" i="18"/>
  <c r="V20" i="18"/>
  <c r="AE15" i="18"/>
  <c r="G16" i="18"/>
  <c r="Y28" i="18"/>
  <c r="P3" i="17"/>
  <c r="AB6" i="18"/>
  <c r="S9" i="18"/>
  <c r="AE19" i="18"/>
  <c r="AH33" i="18"/>
  <c r="S32" i="18"/>
  <c r="Y11" i="18"/>
  <c r="AK8" i="18"/>
  <c r="J31" i="18"/>
  <c r="K3" i="17"/>
  <c r="AH23" i="18"/>
  <c r="AK7" i="18"/>
  <c r="G26" i="18"/>
  <c r="AB10" i="18"/>
  <c r="P28" i="18"/>
  <c r="V21" i="18"/>
  <c r="M26" i="18"/>
  <c r="AH19" i="18"/>
  <c r="AK25" i="18"/>
  <c r="M27" i="18"/>
  <c r="J10" i="18"/>
  <c r="S22" i="18"/>
  <c r="AK13" i="18"/>
  <c r="AE25" i="18"/>
  <c r="AH15" i="18"/>
  <c r="V15" i="18"/>
  <c r="AE34" i="18"/>
  <c r="Y5" i="18"/>
  <c r="N3" i="17"/>
  <c r="S21" i="18"/>
  <c r="M13" i="18"/>
  <c r="AK23" i="18"/>
  <c r="AK21" i="18"/>
  <c r="Y23" i="18"/>
  <c r="AB8" i="18"/>
  <c r="L10" i="2" l="1"/>
  <c r="B10" i="2"/>
  <c r="C10" i="2" s="1"/>
  <c r="C2" i="18" l="1"/>
  <c r="N9" i="14"/>
  <c r="N4" i="14"/>
  <c r="Q52" i="17" l="1"/>
  <c r="R52" i="17" s="1"/>
  <c r="Q55" i="17"/>
  <c r="R55" i="17" s="1"/>
  <c r="Q56" i="17"/>
  <c r="R56" i="17" s="1"/>
  <c r="Q59" i="17"/>
  <c r="R59" i="17" s="1"/>
  <c r="Q60" i="17"/>
  <c r="R60" i="17" s="1"/>
  <c r="Q63" i="17"/>
  <c r="R63" i="17" s="1"/>
  <c r="Q64" i="17"/>
  <c r="R64" i="17" s="1"/>
  <c r="Q67" i="17"/>
  <c r="R67" i="17" s="1"/>
  <c r="Q68" i="17"/>
  <c r="R68" i="17" s="1"/>
  <c r="Q71" i="17"/>
  <c r="R71" i="17" s="1"/>
  <c r="Q72" i="17"/>
  <c r="R72" i="17" s="1"/>
  <c r="Q75" i="17"/>
  <c r="R75" i="17" s="1"/>
  <c r="Q76" i="17"/>
  <c r="R76" i="17" s="1"/>
  <c r="Q79" i="17"/>
  <c r="R79" i="17" s="1"/>
  <c r="Q80" i="17"/>
  <c r="R80" i="17" s="1"/>
  <c r="Q84" i="17"/>
  <c r="R84" i="17" s="1"/>
  <c r="Q87" i="17"/>
  <c r="R87" i="17" s="1"/>
  <c r="Q88" i="17"/>
  <c r="R88" i="17" s="1"/>
  <c r="Q83" i="17"/>
  <c r="R83" i="17" s="1"/>
  <c r="Q91" i="17"/>
  <c r="R91" i="17" s="1"/>
  <c r="Q92" i="17"/>
  <c r="R92" i="17" s="1"/>
  <c r="Q95" i="17"/>
  <c r="R95" i="17" s="1"/>
  <c r="Q96" i="17"/>
  <c r="R96" i="17" s="1"/>
  <c r="Q57" i="17"/>
  <c r="R57" i="17" s="1"/>
  <c r="Q58" i="17"/>
  <c r="R58" i="17" s="1"/>
  <c r="Q61" i="17"/>
  <c r="R61" i="17" s="1"/>
  <c r="Q62" i="17"/>
  <c r="R62" i="17" s="1"/>
  <c r="Q65" i="17"/>
  <c r="R65" i="17" s="1"/>
  <c r="Q66" i="17"/>
  <c r="R66" i="17" s="1"/>
  <c r="Q69" i="17"/>
  <c r="R69" i="17" s="1"/>
  <c r="Q70" i="17"/>
  <c r="R70" i="17" s="1"/>
  <c r="Q73" i="17"/>
  <c r="R73" i="17" s="1"/>
  <c r="Q74" i="17"/>
  <c r="R74" i="17" s="1"/>
  <c r="Q77" i="17"/>
  <c r="R77" i="17" s="1"/>
  <c r="Q78" i="17"/>
  <c r="R78" i="17" s="1"/>
  <c r="Q81" i="17"/>
  <c r="R81" i="17" s="1"/>
  <c r="Q82" i="17"/>
  <c r="R82" i="17" s="1"/>
  <c r="Q85" i="17"/>
  <c r="R85" i="17" s="1"/>
  <c r="Q86" i="17"/>
  <c r="R86" i="17" s="1"/>
  <c r="Q89" i="17"/>
  <c r="R89" i="17" s="1"/>
  <c r="Q90" i="17"/>
  <c r="R90" i="17" s="1"/>
  <c r="Q93" i="17"/>
  <c r="R93" i="17" s="1"/>
  <c r="Q94" i="17"/>
  <c r="R94" i="17" s="1"/>
  <c r="Q97" i="17"/>
  <c r="R97" i="17" s="1"/>
  <c r="Q98" i="17"/>
  <c r="R98" i="17" s="1"/>
  <c r="Q53" i="17"/>
  <c r="R53" i="17" s="1"/>
  <c r="Q54" i="17"/>
  <c r="R54" i="17" s="1"/>
  <c r="C997" i="14" l="1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L957" i="2" l="1"/>
  <c r="B30" i="2" l="1"/>
  <c r="B31" i="2"/>
  <c r="B32" i="2"/>
  <c r="B33" i="2"/>
  <c r="B34" i="2"/>
  <c r="B35" i="2"/>
  <c r="B36" i="2"/>
  <c r="B37" i="2"/>
  <c r="B38" i="2"/>
  <c r="B988" i="2" l="1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C972" i="2" s="1"/>
  <c r="B971" i="2"/>
  <c r="C971" i="2" s="1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80" i="2"/>
  <c r="B79" i="2"/>
  <c r="B78" i="2"/>
  <c r="B77" i="2"/>
  <c r="B76" i="2"/>
  <c r="B75" i="2"/>
  <c r="B74" i="2"/>
  <c r="B73" i="2"/>
  <c r="B72" i="2"/>
  <c r="B70" i="2"/>
  <c r="B69" i="2"/>
  <c r="B68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29" i="2"/>
  <c r="C29" i="2" s="1"/>
  <c r="B28" i="2"/>
  <c r="B27" i="2"/>
  <c r="B25" i="2"/>
  <c r="B24" i="2"/>
  <c r="B21" i="2"/>
  <c r="B20" i="2"/>
  <c r="B19" i="2"/>
  <c r="B18" i="2"/>
  <c r="B17" i="2"/>
  <c r="B16" i="2"/>
  <c r="B14" i="2"/>
  <c r="B12" i="2"/>
  <c r="B11" i="2"/>
  <c r="C11" i="2" s="1"/>
  <c r="B9" i="2"/>
  <c r="C4" i="18"/>
  <c r="AD43" i="18"/>
  <c r="AJ43" i="18"/>
  <c r="U43" i="18"/>
  <c r="X43" i="18"/>
  <c r="R43" i="18"/>
  <c r="O43" i="18"/>
  <c r="L43" i="18"/>
  <c r="AA43" i="18"/>
  <c r="F43" i="18"/>
  <c r="I43" i="18"/>
  <c r="AG43" i="18"/>
  <c r="U52" i="18" l="1"/>
  <c r="U48" i="18"/>
  <c r="U47" i="18"/>
  <c r="U51" i="18"/>
  <c r="U53" i="18"/>
  <c r="U50" i="18"/>
  <c r="I53" i="18"/>
  <c r="I50" i="18"/>
  <c r="I52" i="18"/>
  <c r="I51" i="18"/>
  <c r="AG53" i="18"/>
  <c r="AG50" i="18"/>
  <c r="AG52" i="18"/>
  <c r="AG49" i="18"/>
  <c r="AG48" i="18"/>
  <c r="AG47" i="18"/>
  <c r="AG51" i="18"/>
  <c r="X47" i="18"/>
  <c r="X51" i="18"/>
  <c r="X53" i="18"/>
  <c r="X50" i="18"/>
  <c r="X52" i="18"/>
  <c r="X48" i="18"/>
  <c r="C53" i="18"/>
  <c r="C52" i="18"/>
  <c r="C51" i="18"/>
  <c r="C47" i="18"/>
  <c r="F51" i="18"/>
  <c r="F53" i="18"/>
  <c r="F50" i="18"/>
  <c r="F52" i="18"/>
  <c r="L53" i="18"/>
  <c r="L52" i="18"/>
  <c r="AJ53" i="18"/>
  <c r="AJ50" i="18"/>
  <c r="AJ52" i="18"/>
  <c r="AJ49" i="18"/>
  <c r="AJ48" i="18"/>
  <c r="AJ47" i="18"/>
  <c r="AJ51" i="18"/>
  <c r="O50" i="18"/>
  <c r="O52" i="18"/>
  <c r="O49" i="18"/>
  <c r="O51" i="18"/>
  <c r="O53" i="18"/>
  <c r="R52" i="18"/>
  <c r="R49" i="18"/>
  <c r="R48" i="18"/>
  <c r="R51" i="18"/>
  <c r="R53" i="18"/>
  <c r="R50" i="18"/>
  <c r="AA47" i="18"/>
  <c r="AA51" i="18"/>
  <c r="AA53" i="18"/>
  <c r="AA52" i="18"/>
  <c r="AA49" i="18"/>
  <c r="AD51" i="18"/>
  <c r="AD53" i="18"/>
  <c r="AD49" i="18"/>
  <c r="AD47" i="18"/>
  <c r="C35" i="18"/>
  <c r="C21" i="18"/>
  <c r="C28" i="18"/>
  <c r="C5" i="18"/>
  <c r="C13" i="18"/>
  <c r="C6" i="18"/>
  <c r="C14" i="18"/>
  <c r="C22" i="18"/>
  <c r="C29" i="18"/>
  <c r="C7" i="18"/>
  <c r="C15" i="18"/>
  <c r="C23" i="18"/>
  <c r="C30" i="18"/>
  <c r="C8" i="18"/>
  <c r="C16" i="18"/>
  <c r="C24" i="18"/>
  <c r="C31" i="18"/>
  <c r="C9" i="18"/>
  <c r="C17" i="18"/>
  <c r="C32" i="18"/>
  <c r="C10" i="18"/>
  <c r="C18" i="18"/>
  <c r="C25" i="18"/>
  <c r="C33" i="18"/>
  <c r="C11" i="18"/>
  <c r="C19" i="18"/>
  <c r="C26" i="18"/>
  <c r="C34" i="18"/>
  <c r="C12" i="18"/>
  <c r="C20" i="18"/>
  <c r="C27" i="18"/>
  <c r="I10" i="16"/>
  <c r="I9" i="16"/>
  <c r="D29" i="18"/>
  <c r="D8" i="18"/>
  <c r="D15" i="18"/>
  <c r="D9" i="18"/>
  <c r="D5" i="18"/>
  <c r="D14" i="18"/>
  <c r="D30" i="18"/>
  <c r="D13" i="18"/>
  <c r="D22" i="18"/>
  <c r="D10" i="18"/>
  <c r="D16" i="18"/>
  <c r="D23" i="18"/>
  <c r="F37" i="18" l="1"/>
  <c r="AM53" i="18"/>
  <c r="H10" i="16"/>
  <c r="H9" i="16"/>
  <c r="I13" i="16" l="1"/>
  <c r="I14" i="16"/>
  <c r="I19" i="16"/>
  <c r="I20" i="16"/>
  <c r="I21" i="16"/>
  <c r="I22" i="16"/>
  <c r="I23" i="16"/>
  <c r="I24" i="16"/>
  <c r="I25" i="16"/>
  <c r="I26" i="16"/>
  <c r="P2" i="17"/>
  <c r="O2" i="17"/>
  <c r="N2" i="17"/>
  <c r="M2" i="17"/>
  <c r="L2" i="17"/>
  <c r="K2" i="17"/>
  <c r="J2" i="17"/>
  <c r="I2" i="17"/>
  <c r="H2" i="17"/>
  <c r="G2" i="17"/>
  <c r="F2" i="17"/>
  <c r="E2" i="17"/>
  <c r="H25" i="16" l="1"/>
  <c r="H24" i="16"/>
  <c r="H22" i="16"/>
  <c r="H21" i="16"/>
  <c r="H20" i="16"/>
  <c r="H14" i="16"/>
  <c r="H23" i="16"/>
  <c r="H13" i="16"/>
  <c r="H19" i="16"/>
  <c r="I12" i="16"/>
  <c r="I15" i="16"/>
  <c r="I18" i="16"/>
  <c r="I17" i="16"/>
  <c r="I16" i="16" s="1"/>
  <c r="H26" i="16"/>
  <c r="Q42" i="17"/>
  <c r="R42" i="17" s="1"/>
  <c r="Q46" i="17"/>
  <c r="R46" i="17" s="1"/>
  <c r="Q50" i="17"/>
  <c r="R50" i="17" s="1"/>
  <c r="Q41" i="17"/>
  <c r="R41" i="17" s="1"/>
  <c r="Q45" i="17"/>
  <c r="R45" i="17" s="1"/>
  <c r="Q49" i="17"/>
  <c r="R49" i="17" s="1"/>
  <c r="Q44" i="17"/>
  <c r="R44" i="17" s="1"/>
  <c r="Q48" i="17"/>
  <c r="R48" i="17" s="1"/>
  <c r="Q40" i="17"/>
  <c r="R40" i="17" s="1"/>
  <c r="Q43" i="17"/>
  <c r="R43" i="17" s="1"/>
  <c r="Q47" i="17"/>
  <c r="R47" i="17" s="1"/>
  <c r="Q51" i="17"/>
  <c r="R51" i="17" s="1"/>
  <c r="Q39" i="17"/>
  <c r="R39" i="17" s="1"/>
  <c r="Q38" i="17"/>
  <c r="R38" i="17" s="1"/>
  <c r="Q37" i="17"/>
  <c r="R37" i="17" s="1"/>
  <c r="Q36" i="17"/>
  <c r="R36" i="17" s="1"/>
  <c r="Q35" i="17"/>
  <c r="R35" i="17" s="1"/>
  <c r="Q22" i="17"/>
  <c r="R22" i="17" s="1"/>
  <c r="Q34" i="17"/>
  <c r="R34" i="17" s="1"/>
  <c r="Q21" i="17"/>
  <c r="R21" i="17" s="1"/>
  <c r="Q25" i="17"/>
  <c r="R25" i="17" s="1"/>
  <c r="Q33" i="17"/>
  <c r="R33" i="17" s="1"/>
  <c r="Q28" i="17"/>
  <c r="R28" i="17" s="1"/>
  <c r="D5" i="2"/>
  <c r="D4" i="2"/>
  <c r="D3" i="2"/>
  <c r="I11" i="16" l="1"/>
  <c r="H15" i="16"/>
  <c r="H16" i="16"/>
  <c r="H17" i="16"/>
  <c r="H12" i="16"/>
  <c r="H18" i="16"/>
  <c r="H33" i="18" l="1"/>
  <c r="H11" i="16"/>
  <c r="L988" i="2" l="1"/>
  <c r="C988" i="2"/>
  <c r="L987" i="2"/>
  <c r="C987" i="2"/>
  <c r="L986" i="2"/>
  <c r="C986" i="2"/>
  <c r="L985" i="2"/>
  <c r="C985" i="2"/>
  <c r="L984" i="2"/>
  <c r="C984" i="2"/>
  <c r="L983" i="2"/>
  <c r="C983" i="2"/>
  <c r="L982" i="2"/>
  <c r="C982" i="2"/>
  <c r="L981" i="2"/>
  <c r="C981" i="2"/>
  <c r="L980" i="2"/>
  <c r="C980" i="2"/>
  <c r="L979" i="2"/>
  <c r="C979" i="2"/>
  <c r="L978" i="2"/>
  <c r="C978" i="2"/>
  <c r="L977" i="2"/>
  <c r="C977" i="2"/>
  <c r="L976" i="2"/>
  <c r="C976" i="2"/>
  <c r="L975" i="2"/>
  <c r="C975" i="2"/>
  <c r="L974" i="2"/>
  <c r="C974" i="2"/>
  <c r="L973" i="2"/>
  <c r="C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6" i="2"/>
  <c r="C956" i="2"/>
  <c r="L955" i="2"/>
  <c r="C955" i="2"/>
  <c r="L954" i="2"/>
  <c r="C954" i="2"/>
  <c r="L953" i="2"/>
  <c r="C953" i="2"/>
  <c r="L952" i="2"/>
  <c r="C952" i="2"/>
  <c r="L951" i="2"/>
  <c r="C951" i="2"/>
  <c r="L950" i="2"/>
  <c r="C950" i="2"/>
  <c r="L949" i="2"/>
  <c r="C949" i="2"/>
  <c r="L948" i="2"/>
  <c r="C948" i="2"/>
  <c r="L947" i="2"/>
  <c r="C947" i="2"/>
  <c r="L946" i="2"/>
  <c r="C946" i="2"/>
  <c r="L945" i="2"/>
  <c r="C945" i="2"/>
  <c r="L944" i="2"/>
  <c r="C944" i="2"/>
  <c r="L943" i="2"/>
  <c r="C943" i="2"/>
  <c r="L942" i="2"/>
  <c r="C942" i="2"/>
  <c r="L941" i="2"/>
  <c r="C941" i="2"/>
  <c r="L940" i="2"/>
  <c r="C940" i="2"/>
  <c r="L939" i="2"/>
  <c r="C939" i="2"/>
  <c r="L938" i="2"/>
  <c r="C938" i="2"/>
  <c r="L937" i="2"/>
  <c r="C937" i="2"/>
  <c r="L936" i="2"/>
  <c r="C936" i="2"/>
  <c r="L935" i="2"/>
  <c r="C935" i="2"/>
  <c r="L934" i="2"/>
  <c r="C934" i="2"/>
  <c r="L933" i="2"/>
  <c r="C933" i="2"/>
  <c r="L932" i="2"/>
  <c r="C932" i="2"/>
  <c r="L931" i="2"/>
  <c r="C931" i="2"/>
  <c r="L930" i="2"/>
  <c r="C930" i="2"/>
  <c r="L929" i="2"/>
  <c r="C929" i="2"/>
  <c r="L928" i="2"/>
  <c r="C928" i="2"/>
  <c r="L927" i="2"/>
  <c r="C927" i="2"/>
  <c r="L926" i="2"/>
  <c r="C926" i="2"/>
  <c r="L925" i="2"/>
  <c r="C925" i="2"/>
  <c r="L924" i="2"/>
  <c r="C924" i="2"/>
  <c r="L923" i="2"/>
  <c r="C923" i="2"/>
  <c r="L922" i="2"/>
  <c r="C922" i="2"/>
  <c r="L921" i="2"/>
  <c r="C921" i="2"/>
  <c r="L920" i="2"/>
  <c r="C920" i="2"/>
  <c r="L919" i="2"/>
  <c r="C919" i="2"/>
  <c r="L918" i="2"/>
  <c r="C918" i="2"/>
  <c r="L917" i="2"/>
  <c r="C917" i="2"/>
  <c r="L916" i="2"/>
  <c r="C916" i="2"/>
  <c r="L915" i="2"/>
  <c r="C915" i="2"/>
  <c r="L914" i="2"/>
  <c r="C914" i="2"/>
  <c r="L913" i="2"/>
  <c r="C913" i="2"/>
  <c r="L912" i="2"/>
  <c r="C912" i="2"/>
  <c r="L911" i="2"/>
  <c r="C911" i="2"/>
  <c r="L910" i="2"/>
  <c r="C910" i="2"/>
  <c r="L909" i="2"/>
  <c r="C909" i="2"/>
  <c r="L908" i="2"/>
  <c r="C908" i="2"/>
  <c r="L907" i="2"/>
  <c r="C907" i="2"/>
  <c r="L906" i="2"/>
  <c r="C906" i="2"/>
  <c r="L905" i="2"/>
  <c r="C905" i="2"/>
  <c r="L904" i="2"/>
  <c r="C904" i="2"/>
  <c r="L903" i="2"/>
  <c r="C903" i="2"/>
  <c r="L902" i="2"/>
  <c r="C902" i="2"/>
  <c r="L901" i="2"/>
  <c r="C901" i="2"/>
  <c r="L900" i="2"/>
  <c r="C900" i="2"/>
  <c r="L899" i="2"/>
  <c r="C899" i="2"/>
  <c r="L898" i="2"/>
  <c r="C898" i="2"/>
  <c r="L897" i="2"/>
  <c r="C897" i="2"/>
  <c r="L896" i="2"/>
  <c r="C896" i="2"/>
  <c r="L895" i="2"/>
  <c r="C895" i="2"/>
  <c r="L894" i="2"/>
  <c r="C894" i="2"/>
  <c r="L893" i="2"/>
  <c r="C893" i="2"/>
  <c r="L892" i="2"/>
  <c r="C892" i="2"/>
  <c r="L891" i="2"/>
  <c r="C891" i="2"/>
  <c r="L890" i="2"/>
  <c r="C890" i="2"/>
  <c r="L889" i="2"/>
  <c r="C889" i="2"/>
  <c r="L888" i="2"/>
  <c r="C888" i="2"/>
  <c r="L887" i="2"/>
  <c r="C887" i="2"/>
  <c r="L886" i="2"/>
  <c r="C886" i="2"/>
  <c r="L885" i="2"/>
  <c r="C885" i="2"/>
  <c r="L884" i="2"/>
  <c r="C884" i="2"/>
  <c r="L883" i="2"/>
  <c r="C883" i="2"/>
  <c r="L882" i="2"/>
  <c r="C882" i="2"/>
  <c r="L881" i="2"/>
  <c r="C881" i="2"/>
  <c r="L880" i="2"/>
  <c r="C880" i="2"/>
  <c r="L879" i="2"/>
  <c r="C879" i="2"/>
  <c r="L878" i="2"/>
  <c r="C878" i="2"/>
  <c r="L877" i="2"/>
  <c r="C877" i="2"/>
  <c r="L876" i="2"/>
  <c r="C876" i="2"/>
  <c r="L875" i="2"/>
  <c r="C875" i="2"/>
  <c r="L874" i="2"/>
  <c r="C874" i="2"/>
  <c r="L873" i="2"/>
  <c r="C873" i="2"/>
  <c r="L872" i="2"/>
  <c r="C872" i="2"/>
  <c r="L871" i="2"/>
  <c r="C871" i="2"/>
  <c r="L870" i="2"/>
  <c r="C870" i="2"/>
  <c r="L869" i="2"/>
  <c r="C869" i="2"/>
  <c r="L868" i="2"/>
  <c r="C868" i="2"/>
  <c r="L867" i="2"/>
  <c r="C867" i="2"/>
  <c r="L866" i="2"/>
  <c r="C866" i="2"/>
  <c r="L865" i="2"/>
  <c r="C865" i="2"/>
  <c r="L864" i="2"/>
  <c r="C864" i="2"/>
  <c r="L863" i="2"/>
  <c r="C863" i="2"/>
  <c r="L862" i="2"/>
  <c r="C862" i="2"/>
  <c r="L861" i="2"/>
  <c r="C861" i="2"/>
  <c r="L860" i="2"/>
  <c r="C860" i="2"/>
  <c r="L859" i="2"/>
  <c r="C859" i="2"/>
  <c r="L858" i="2"/>
  <c r="C858" i="2"/>
  <c r="L857" i="2"/>
  <c r="C857" i="2"/>
  <c r="L856" i="2"/>
  <c r="C856" i="2"/>
  <c r="L855" i="2"/>
  <c r="C855" i="2"/>
  <c r="L854" i="2"/>
  <c r="C854" i="2"/>
  <c r="L853" i="2"/>
  <c r="C853" i="2"/>
  <c r="L852" i="2"/>
  <c r="C852" i="2"/>
  <c r="L851" i="2"/>
  <c r="C851" i="2"/>
  <c r="L850" i="2"/>
  <c r="C850" i="2"/>
  <c r="L849" i="2"/>
  <c r="C849" i="2"/>
  <c r="L848" i="2"/>
  <c r="C848" i="2"/>
  <c r="L847" i="2"/>
  <c r="C847" i="2"/>
  <c r="L846" i="2"/>
  <c r="C846" i="2"/>
  <c r="L845" i="2"/>
  <c r="C845" i="2"/>
  <c r="L844" i="2"/>
  <c r="C844" i="2"/>
  <c r="L843" i="2"/>
  <c r="C843" i="2"/>
  <c r="L842" i="2"/>
  <c r="C842" i="2"/>
  <c r="L841" i="2"/>
  <c r="C841" i="2"/>
  <c r="L840" i="2"/>
  <c r="C840" i="2"/>
  <c r="L839" i="2"/>
  <c r="C839" i="2"/>
  <c r="L838" i="2"/>
  <c r="C838" i="2"/>
  <c r="L837" i="2"/>
  <c r="C837" i="2"/>
  <c r="L836" i="2"/>
  <c r="C836" i="2"/>
  <c r="L835" i="2"/>
  <c r="C835" i="2"/>
  <c r="L834" i="2"/>
  <c r="C834" i="2"/>
  <c r="L833" i="2"/>
  <c r="C833" i="2"/>
  <c r="L832" i="2"/>
  <c r="C832" i="2"/>
  <c r="L831" i="2"/>
  <c r="C831" i="2"/>
  <c r="L830" i="2"/>
  <c r="C830" i="2"/>
  <c r="L829" i="2"/>
  <c r="C829" i="2"/>
  <c r="L828" i="2"/>
  <c r="C828" i="2"/>
  <c r="L827" i="2"/>
  <c r="C827" i="2"/>
  <c r="L826" i="2"/>
  <c r="C826" i="2"/>
  <c r="L825" i="2"/>
  <c r="C825" i="2"/>
  <c r="L824" i="2"/>
  <c r="C824" i="2"/>
  <c r="L823" i="2"/>
  <c r="C823" i="2"/>
  <c r="L822" i="2"/>
  <c r="C822" i="2"/>
  <c r="L821" i="2"/>
  <c r="C821" i="2"/>
  <c r="L820" i="2"/>
  <c r="C820" i="2"/>
  <c r="L819" i="2"/>
  <c r="C819" i="2"/>
  <c r="L818" i="2"/>
  <c r="C818" i="2"/>
  <c r="L817" i="2"/>
  <c r="C817" i="2"/>
  <c r="L816" i="2"/>
  <c r="C816" i="2"/>
  <c r="L815" i="2"/>
  <c r="C815" i="2"/>
  <c r="L814" i="2"/>
  <c r="C814" i="2"/>
  <c r="L813" i="2"/>
  <c r="C813" i="2"/>
  <c r="L812" i="2"/>
  <c r="C812" i="2"/>
  <c r="L811" i="2"/>
  <c r="C811" i="2"/>
  <c r="L810" i="2"/>
  <c r="C810" i="2"/>
  <c r="L809" i="2"/>
  <c r="C809" i="2"/>
  <c r="L808" i="2"/>
  <c r="C808" i="2"/>
  <c r="L807" i="2"/>
  <c r="C807" i="2"/>
  <c r="L806" i="2"/>
  <c r="C806" i="2"/>
  <c r="L805" i="2"/>
  <c r="C805" i="2"/>
  <c r="L804" i="2"/>
  <c r="C804" i="2"/>
  <c r="L803" i="2"/>
  <c r="C803" i="2"/>
  <c r="L802" i="2"/>
  <c r="C802" i="2"/>
  <c r="L801" i="2"/>
  <c r="C801" i="2"/>
  <c r="L800" i="2"/>
  <c r="C800" i="2"/>
  <c r="L799" i="2"/>
  <c r="C799" i="2"/>
  <c r="L798" i="2"/>
  <c r="C798" i="2"/>
  <c r="L797" i="2"/>
  <c r="C797" i="2"/>
  <c r="L796" i="2"/>
  <c r="C796" i="2"/>
  <c r="L795" i="2"/>
  <c r="C795" i="2"/>
  <c r="L794" i="2"/>
  <c r="C794" i="2"/>
  <c r="L793" i="2"/>
  <c r="C793" i="2"/>
  <c r="L792" i="2"/>
  <c r="C792" i="2"/>
  <c r="L791" i="2"/>
  <c r="C791" i="2"/>
  <c r="L790" i="2"/>
  <c r="C790" i="2"/>
  <c r="L789" i="2"/>
  <c r="C789" i="2"/>
  <c r="L788" i="2"/>
  <c r="C788" i="2"/>
  <c r="L787" i="2"/>
  <c r="C787" i="2"/>
  <c r="L786" i="2"/>
  <c r="C786" i="2"/>
  <c r="L785" i="2"/>
  <c r="C785" i="2"/>
  <c r="L784" i="2"/>
  <c r="C784" i="2"/>
  <c r="L783" i="2"/>
  <c r="C783" i="2"/>
  <c r="L782" i="2"/>
  <c r="C782" i="2"/>
  <c r="L781" i="2"/>
  <c r="C781" i="2"/>
  <c r="L780" i="2"/>
  <c r="C780" i="2"/>
  <c r="L779" i="2"/>
  <c r="C779" i="2"/>
  <c r="L778" i="2"/>
  <c r="C778" i="2"/>
  <c r="L777" i="2"/>
  <c r="C777" i="2"/>
  <c r="L776" i="2"/>
  <c r="C776" i="2"/>
  <c r="L775" i="2"/>
  <c r="C775" i="2"/>
  <c r="L774" i="2"/>
  <c r="C774" i="2"/>
  <c r="L773" i="2"/>
  <c r="C773" i="2"/>
  <c r="L772" i="2"/>
  <c r="C772" i="2"/>
  <c r="L771" i="2"/>
  <c r="C771" i="2"/>
  <c r="L770" i="2"/>
  <c r="C770" i="2"/>
  <c r="L769" i="2"/>
  <c r="C769" i="2"/>
  <c r="L768" i="2"/>
  <c r="C768" i="2"/>
  <c r="L767" i="2"/>
  <c r="C767" i="2"/>
  <c r="L766" i="2"/>
  <c r="C766" i="2"/>
  <c r="L765" i="2"/>
  <c r="C765" i="2"/>
  <c r="L764" i="2"/>
  <c r="C764" i="2"/>
  <c r="L763" i="2"/>
  <c r="C763" i="2"/>
  <c r="L762" i="2"/>
  <c r="C762" i="2"/>
  <c r="L761" i="2"/>
  <c r="C761" i="2"/>
  <c r="L760" i="2"/>
  <c r="C760" i="2"/>
  <c r="L759" i="2"/>
  <c r="C759" i="2"/>
  <c r="L758" i="2"/>
  <c r="C758" i="2"/>
  <c r="L757" i="2"/>
  <c r="C757" i="2"/>
  <c r="L756" i="2"/>
  <c r="C756" i="2"/>
  <c r="L755" i="2"/>
  <c r="C755" i="2"/>
  <c r="L754" i="2"/>
  <c r="C754" i="2"/>
  <c r="L753" i="2"/>
  <c r="C753" i="2"/>
  <c r="L752" i="2"/>
  <c r="C752" i="2"/>
  <c r="L751" i="2"/>
  <c r="C751" i="2"/>
  <c r="L750" i="2"/>
  <c r="C750" i="2"/>
  <c r="L749" i="2"/>
  <c r="C749" i="2"/>
  <c r="L748" i="2"/>
  <c r="C748" i="2"/>
  <c r="L747" i="2"/>
  <c r="C747" i="2"/>
  <c r="L746" i="2"/>
  <c r="C746" i="2"/>
  <c r="L745" i="2"/>
  <c r="C745" i="2"/>
  <c r="L744" i="2"/>
  <c r="C744" i="2"/>
  <c r="L743" i="2"/>
  <c r="C743" i="2"/>
  <c r="L742" i="2"/>
  <c r="C742" i="2"/>
  <c r="L741" i="2"/>
  <c r="C741" i="2"/>
  <c r="L740" i="2"/>
  <c r="C740" i="2"/>
  <c r="L739" i="2"/>
  <c r="C739" i="2"/>
  <c r="L738" i="2"/>
  <c r="C738" i="2"/>
  <c r="L737" i="2"/>
  <c r="C737" i="2"/>
  <c r="L736" i="2"/>
  <c r="C736" i="2"/>
  <c r="L735" i="2"/>
  <c r="C735" i="2"/>
  <c r="L734" i="2"/>
  <c r="C734" i="2"/>
  <c r="L733" i="2"/>
  <c r="C733" i="2"/>
  <c r="L732" i="2"/>
  <c r="C732" i="2"/>
  <c r="L731" i="2"/>
  <c r="C731" i="2"/>
  <c r="L730" i="2"/>
  <c r="C730" i="2"/>
  <c r="L729" i="2"/>
  <c r="C729" i="2"/>
  <c r="L728" i="2"/>
  <c r="C728" i="2"/>
  <c r="L727" i="2"/>
  <c r="C727" i="2"/>
  <c r="L726" i="2"/>
  <c r="C726" i="2"/>
  <c r="L725" i="2"/>
  <c r="C725" i="2"/>
  <c r="L724" i="2"/>
  <c r="C724" i="2"/>
  <c r="L723" i="2"/>
  <c r="C723" i="2"/>
  <c r="L722" i="2"/>
  <c r="C722" i="2"/>
  <c r="L721" i="2"/>
  <c r="C721" i="2"/>
  <c r="L720" i="2"/>
  <c r="C720" i="2"/>
  <c r="L719" i="2"/>
  <c r="C719" i="2"/>
  <c r="L718" i="2"/>
  <c r="C718" i="2"/>
  <c r="L717" i="2"/>
  <c r="C717" i="2"/>
  <c r="L716" i="2"/>
  <c r="C716" i="2"/>
  <c r="L715" i="2"/>
  <c r="C715" i="2"/>
  <c r="L714" i="2"/>
  <c r="C714" i="2"/>
  <c r="L713" i="2"/>
  <c r="C713" i="2"/>
  <c r="L712" i="2"/>
  <c r="C712" i="2"/>
  <c r="L711" i="2"/>
  <c r="C711" i="2"/>
  <c r="L710" i="2"/>
  <c r="C710" i="2"/>
  <c r="L709" i="2"/>
  <c r="C709" i="2"/>
  <c r="L708" i="2"/>
  <c r="C708" i="2"/>
  <c r="L707" i="2"/>
  <c r="C707" i="2"/>
  <c r="L706" i="2"/>
  <c r="C706" i="2"/>
  <c r="L705" i="2"/>
  <c r="C705" i="2"/>
  <c r="L704" i="2"/>
  <c r="C704" i="2"/>
  <c r="L703" i="2"/>
  <c r="C703" i="2"/>
  <c r="L702" i="2"/>
  <c r="C702" i="2"/>
  <c r="L701" i="2"/>
  <c r="C701" i="2"/>
  <c r="L700" i="2"/>
  <c r="C700" i="2"/>
  <c r="L699" i="2"/>
  <c r="C699" i="2"/>
  <c r="L698" i="2"/>
  <c r="C698" i="2"/>
  <c r="L697" i="2"/>
  <c r="C697" i="2"/>
  <c r="L696" i="2"/>
  <c r="C696" i="2"/>
  <c r="L695" i="2"/>
  <c r="C695" i="2"/>
  <c r="L694" i="2"/>
  <c r="C694" i="2"/>
  <c r="L693" i="2"/>
  <c r="C693" i="2"/>
  <c r="L692" i="2"/>
  <c r="C692" i="2"/>
  <c r="L691" i="2"/>
  <c r="C691" i="2"/>
  <c r="L690" i="2"/>
  <c r="C690" i="2"/>
  <c r="L689" i="2"/>
  <c r="C689" i="2"/>
  <c r="L688" i="2"/>
  <c r="C688" i="2"/>
  <c r="L687" i="2"/>
  <c r="C687" i="2"/>
  <c r="L686" i="2"/>
  <c r="C686" i="2"/>
  <c r="L685" i="2"/>
  <c r="C685" i="2"/>
  <c r="L684" i="2"/>
  <c r="C684" i="2"/>
  <c r="L683" i="2"/>
  <c r="C683" i="2"/>
  <c r="L682" i="2"/>
  <c r="C682" i="2"/>
  <c r="L681" i="2"/>
  <c r="C681" i="2"/>
  <c r="L680" i="2"/>
  <c r="C680" i="2"/>
  <c r="L679" i="2"/>
  <c r="C679" i="2"/>
  <c r="L678" i="2"/>
  <c r="C678" i="2"/>
  <c r="L677" i="2"/>
  <c r="C677" i="2"/>
  <c r="L676" i="2"/>
  <c r="C676" i="2"/>
  <c r="L675" i="2"/>
  <c r="C675" i="2"/>
  <c r="L674" i="2"/>
  <c r="C674" i="2"/>
  <c r="L673" i="2"/>
  <c r="C673" i="2"/>
  <c r="L672" i="2"/>
  <c r="C672" i="2"/>
  <c r="L671" i="2"/>
  <c r="C671" i="2"/>
  <c r="L670" i="2"/>
  <c r="C670" i="2"/>
  <c r="L669" i="2"/>
  <c r="C669" i="2"/>
  <c r="L668" i="2"/>
  <c r="C668" i="2"/>
  <c r="L667" i="2"/>
  <c r="C667" i="2"/>
  <c r="L666" i="2"/>
  <c r="C666" i="2"/>
  <c r="L665" i="2"/>
  <c r="C665" i="2"/>
  <c r="L664" i="2"/>
  <c r="C664" i="2"/>
  <c r="L663" i="2"/>
  <c r="C663" i="2"/>
  <c r="L662" i="2"/>
  <c r="C662" i="2"/>
  <c r="L661" i="2"/>
  <c r="C661" i="2"/>
  <c r="L660" i="2"/>
  <c r="C660" i="2"/>
  <c r="L659" i="2"/>
  <c r="C659" i="2"/>
  <c r="L658" i="2"/>
  <c r="C658" i="2"/>
  <c r="L657" i="2"/>
  <c r="C657" i="2"/>
  <c r="L656" i="2"/>
  <c r="C656" i="2"/>
  <c r="L655" i="2"/>
  <c r="C655" i="2"/>
  <c r="L654" i="2"/>
  <c r="C654" i="2"/>
  <c r="L653" i="2"/>
  <c r="C653" i="2"/>
  <c r="L652" i="2"/>
  <c r="C652" i="2"/>
  <c r="L651" i="2"/>
  <c r="C651" i="2"/>
  <c r="L650" i="2"/>
  <c r="C650" i="2"/>
  <c r="L649" i="2"/>
  <c r="C649" i="2"/>
  <c r="L648" i="2"/>
  <c r="C648" i="2"/>
  <c r="L647" i="2"/>
  <c r="C647" i="2"/>
  <c r="L646" i="2"/>
  <c r="C646" i="2"/>
  <c r="L645" i="2"/>
  <c r="C645" i="2"/>
  <c r="L644" i="2"/>
  <c r="C644" i="2"/>
  <c r="L643" i="2"/>
  <c r="C643" i="2"/>
  <c r="L642" i="2"/>
  <c r="C642" i="2"/>
  <c r="L641" i="2"/>
  <c r="C641" i="2"/>
  <c r="L640" i="2"/>
  <c r="C640" i="2"/>
  <c r="L639" i="2"/>
  <c r="C639" i="2"/>
  <c r="L638" i="2"/>
  <c r="C638" i="2"/>
  <c r="L637" i="2"/>
  <c r="C637" i="2"/>
  <c r="L636" i="2"/>
  <c r="C636" i="2"/>
  <c r="L635" i="2"/>
  <c r="C635" i="2"/>
  <c r="L634" i="2"/>
  <c r="C634" i="2"/>
  <c r="L633" i="2"/>
  <c r="C633" i="2"/>
  <c r="L632" i="2"/>
  <c r="C632" i="2"/>
  <c r="L631" i="2"/>
  <c r="C631" i="2"/>
  <c r="L630" i="2"/>
  <c r="C630" i="2"/>
  <c r="L629" i="2"/>
  <c r="C629" i="2"/>
  <c r="L628" i="2"/>
  <c r="C628" i="2"/>
  <c r="L627" i="2"/>
  <c r="C627" i="2"/>
  <c r="L626" i="2"/>
  <c r="C626" i="2"/>
  <c r="L625" i="2"/>
  <c r="C625" i="2"/>
  <c r="L624" i="2"/>
  <c r="C624" i="2"/>
  <c r="L623" i="2"/>
  <c r="C623" i="2"/>
  <c r="L622" i="2"/>
  <c r="C622" i="2"/>
  <c r="L621" i="2"/>
  <c r="C621" i="2"/>
  <c r="L620" i="2"/>
  <c r="C620" i="2"/>
  <c r="L619" i="2"/>
  <c r="C619" i="2"/>
  <c r="L618" i="2"/>
  <c r="C618" i="2"/>
  <c r="L617" i="2"/>
  <c r="C617" i="2"/>
  <c r="L616" i="2"/>
  <c r="C616" i="2"/>
  <c r="L615" i="2"/>
  <c r="C615" i="2"/>
  <c r="L614" i="2"/>
  <c r="C614" i="2"/>
  <c r="L613" i="2"/>
  <c r="C613" i="2"/>
  <c r="L612" i="2"/>
  <c r="C612" i="2"/>
  <c r="L611" i="2"/>
  <c r="C611" i="2"/>
  <c r="L610" i="2"/>
  <c r="C610" i="2"/>
  <c r="L609" i="2"/>
  <c r="C609" i="2"/>
  <c r="L608" i="2"/>
  <c r="C608" i="2"/>
  <c r="L607" i="2"/>
  <c r="C607" i="2"/>
  <c r="L606" i="2"/>
  <c r="C606" i="2"/>
  <c r="L605" i="2"/>
  <c r="C605" i="2"/>
  <c r="L604" i="2"/>
  <c r="C604" i="2"/>
  <c r="L603" i="2"/>
  <c r="C603" i="2"/>
  <c r="L602" i="2"/>
  <c r="C602" i="2"/>
  <c r="L601" i="2"/>
  <c r="C601" i="2"/>
  <c r="L600" i="2"/>
  <c r="C600" i="2"/>
  <c r="L599" i="2"/>
  <c r="C599" i="2"/>
  <c r="L598" i="2"/>
  <c r="C598" i="2"/>
  <c r="L597" i="2"/>
  <c r="C597" i="2"/>
  <c r="L596" i="2"/>
  <c r="C596" i="2"/>
  <c r="L595" i="2"/>
  <c r="C595" i="2"/>
  <c r="L594" i="2"/>
  <c r="C594" i="2"/>
  <c r="L593" i="2"/>
  <c r="C593" i="2"/>
  <c r="L592" i="2"/>
  <c r="C592" i="2"/>
  <c r="L591" i="2"/>
  <c r="C591" i="2"/>
  <c r="L590" i="2"/>
  <c r="C590" i="2"/>
  <c r="L589" i="2"/>
  <c r="C589" i="2"/>
  <c r="L588" i="2"/>
  <c r="C588" i="2"/>
  <c r="L587" i="2"/>
  <c r="C587" i="2"/>
  <c r="L586" i="2"/>
  <c r="C586" i="2"/>
  <c r="L585" i="2"/>
  <c r="C585" i="2"/>
  <c r="L584" i="2"/>
  <c r="C584" i="2"/>
  <c r="L583" i="2"/>
  <c r="C583" i="2"/>
  <c r="L582" i="2"/>
  <c r="C582" i="2"/>
  <c r="L581" i="2"/>
  <c r="C581" i="2"/>
  <c r="L580" i="2"/>
  <c r="C580" i="2"/>
  <c r="L579" i="2"/>
  <c r="C579" i="2"/>
  <c r="L578" i="2"/>
  <c r="C578" i="2"/>
  <c r="L577" i="2"/>
  <c r="C577" i="2"/>
  <c r="L576" i="2"/>
  <c r="C576" i="2"/>
  <c r="L575" i="2"/>
  <c r="C575" i="2"/>
  <c r="L574" i="2"/>
  <c r="C574" i="2"/>
  <c r="L573" i="2"/>
  <c r="C573" i="2"/>
  <c r="L572" i="2"/>
  <c r="C572" i="2"/>
  <c r="L571" i="2"/>
  <c r="C571" i="2"/>
  <c r="L570" i="2"/>
  <c r="C570" i="2"/>
  <c r="L569" i="2"/>
  <c r="C569" i="2"/>
  <c r="L568" i="2"/>
  <c r="C568" i="2"/>
  <c r="L567" i="2"/>
  <c r="C567" i="2"/>
  <c r="L566" i="2"/>
  <c r="C566" i="2"/>
  <c r="L565" i="2"/>
  <c r="C565" i="2"/>
  <c r="L564" i="2"/>
  <c r="C564" i="2"/>
  <c r="L563" i="2"/>
  <c r="C563" i="2"/>
  <c r="L562" i="2"/>
  <c r="C562" i="2"/>
  <c r="L561" i="2"/>
  <c r="C561" i="2"/>
  <c r="L560" i="2"/>
  <c r="C560" i="2"/>
  <c r="L559" i="2"/>
  <c r="C559" i="2"/>
  <c r="L558" i="2"/>
  <c r="C558" i="2"/>
  <c r="L557" i="2"/>
  <c r="C557" i="2"/>
  <c r="L556" i="2"/>
  <c r="C556" i="2"/>
  <c r="L555" i="2"/>
  <c r="C555" i="2"/>
  <c r="L554" i="2"/>
  <c r="C554" i="2"/>
  <c r="L553" i="2"/>
  <c r="C553" i="2"/>
  <c r="L552" i="2"/>
  <c r="C552" i="2"/>
  <c r="L551" i="2"/>
  <c r="C551" i="2"/>
  <c r="L550" i="2"/>
  <c r="C550" i="2"/>
  <c r="L549" i="2"/>
  <c r="C549" i="2"/>
  <c r="L548" i="2"/>
  <c r="C548" i="2"/>
  <c r="L547" i="2"/>
  <c r="C547" i="2"/>
  <c r="L546" i="2"/>
  <c r="C546" i="2"/>
  <c r="L545" i="2"/>
  <c r="C545" i="2"/>
  <c r="L544" i="2"/>
  <c r="C544" i="2"/>
  <c r="L543" i="2"/>
  <c r="C543" i="2"/>
  <c r="L542" i="2"/>
  <c r="C542" i="2"/>
  <c r="L541" i="2"/>
  <c r="C541" i="2"/>
  <c r="L540" i="2"/>
  <c r="C540" i="2"/>
  <c r="L539" i="2"/>
  <c r="C539" i="2"/>
  <c r="L538" i="2"/>
  <c r="C538" i="2"/>
  <c r="L537" i="2"/>
  <c r="C537" i="2"/>
  <c r="L536" i="2"/>
  <c r="C536" i="2"/>
  <c r="L535" i="2"/>
  <c r="C535" i="2"/>
  <c r="L534" i="2"/>
  <c r="C534" i="2"/>
  <c r="L533" i="2"/>
  <c r="C533" i="2"/>
  <c r="L532" i="2"/>
  <c r="C532" i="2"/>
  <c r="L531" i="2"/>
  <c r="C531" i="2"/>
  <c r="L530" i="2"/>
  <c r="C530" i="2"/>
  <c r="L529" i="2"/>
  <c r="C529" i="2"/>
  <c r="L528" i="2"/>
  <c r="C528" i="2"/>
  <c r="L527" i="2"/>
  <c r="C527" i="2"/>
  <c r="L526" i="2"/>
  <c r="C526" i="2"/>
  <c r="L525" i="2"/>
  <c r="C525" i="2"/>
  <c r="L524" i="2"/>
  <c r="C524" i="2"/>
  <c r="L523" i="2"/>
  <c r="C523" i="2"/>
  <c r="L522" i="2"/>
  <c r="C522" i="2"/>
  <c r="L521" i="2"/>
  <c r="C521" i="2"/>
  <c r="L520" i="2"/>
  <c r="C520" i="2"/>
  <c r="L519" i="2"/>
  <c r="C519" i="2"/>
  <c r="L518" i="2"/>
  <c r="C518" i="2"/>
  <c r="L517" i="2"/>
  <c r="C517" i="2"/>
  <c r="L516" i="2"/>
  <c r="C516" i="2"/>
  <c r="L515" i="2"/>
  <c r="C515" i="2"/>
  <c r="L514" i="2"/>
  <c r="C514" i="2"/>
  <c r="L513" i="2"/>
  <c r="C513" i="2"/>
  <c r="L512" i="2"/>
  <c r="C512" i="2"/>
  <c r="L511" i="2"/>
  <c r="C511" i="2"/>
  <c r="L510" i="2"/>
  <c r="C510" i="2"/>
  <c r="L509" i="2"/>
  <c r="C509" i="2"/>
  <c r="L508" i="2"/>
  <c r="C508" i="2"/>
  <c r="L507" i="2"/>
  <c r="C507" i="2"/>
  <c r="L506" i="2"/>
  <c r="C506" i="2"/>
  <c r="L505" i="2"/>
  <c r="C505" i="2"/>
  <c r="L504" i="2"/>
  <c r="C504" i="2"/>
  <c r="L503" i="2"/>
  <c r="C503" i="2"/>
  <c r="L502" i="2"/>
  <c r="C502" i="2"/>
  <c r="L501" i="2"/>
  <c r="C501" i="2"/>
  <c r="L500" i="2"/>
  <c r="C500" i="2"/>
  <c r="L499" i="2"/>
  <c r="C499" i="2"/>
  <c r="L498" i="2"/>
  <c r="C498" i="2"/>
  <c r="L497" i="2"/>
  <c r="C497" i="2"/>
  <c r="L496" i="2"/>
  <c r="C496" i="2"/>
  <c r="L495" i="2"/>
  <c r="C495" i="2"/>
  <c r="L494" i="2"/>
  <c r="C494" i="2"/>
  <c r="L493" i="2"/>
  <c r="C493" i="2"/>
  <c r="L492" i="2"/>
  <c r="C492" i="2"/>
  <c r="L491" i="2"/>
  <c r="C491" i="2"/>
  <c r="L490" i="2"/>
  <c r="C490" i="2"/>
  <c r="L489" i="2"/>
  <c r="C489" i="2"/>
  <c r="L488" i="2"/>
  <c r="C488" i="2"/>
  <c r="L487" i="2"/>
  <c r="C487" i="2"/>
  <c r="L486" i="2"/>
  <c r="C486" i="2"/>
  <c r="L485" i="2"/>
  <c r="C485" i="2"/>
  <c r="L484" i="2"/>
  <c r="C484" i="2"/>
  <c r="L483" i="2"/>
  <c r="C483" i="2"/>
  <c r="L482" i="2"/>
  <c r="C482" i="2"/>
  <c r="L481" i="2"/>
  <c r="C481" i="2"/>
  <c r="L480" i="2"/>
  <c r="C480" i="2"/>
  <c r="L479" i="2"/>
  <c r="C479" i="2"/>
  <c r="L478" i="2"/>
  <c r="C478" i="2"/>
  <c r="L477" i="2"/>
  <c r="C477" i="2"/>
  <c r="L476" i="2"/>
  <c r="C476" i="2"/>
  <c r="L475" i="2"/>
  <c r="C475" i="2"/>
  <c r="L474" i="2"/>
  <c r="C474" i="2"/>
  <c r="L473" i="2"/>
  <c r="C473" i="2"/>
  <c r="L472" i="2"/>
  <c r="C472" i="2"/>
  <c r="L471" i="2"/>
  <c r="C471" i="2"/>
  <c r="L470" i="2"/>
  <c r="C470" i="2"/>
  <c r="L469" i="2"/>
  <c r="C469" i="2"/>
  <c r="L468" i="2"/>
  <c r="C468" i="2"/>
  <c r="L467" i="2"/>
  <c r="C467" i="2"/>
  <c r="L466" i="2"/>
  <c r="C466" i="2"/>
  <c r="L465" i="2"/>
  <c r="C465" i="2"/>
  <c r="L464" i="2"/>
  <c r="C464" i="2"/>
  <c r="L463" i="2"/>
  <c r="C463" i="2"/>
  <c r="L462" i="2"/>
  <c r="C462" i="2"/>
  <c r="L461" i="2"/>
  <c r="C461" i="2"/>
  <c r="L460" i="2"/>
  <c r="C460" i="2"/>
  <c r="L459" i="2"/>
  <c r="C459" i="2"/>
  <c r="L458" i="2"/>
  <c r="C458" i="2"/>
  <c r="L457" i="2"/>
  <c r="C457" i="2"/>
  <c r="L456" i="2"/>
  <c r="C456" i="2"/>
  <c r="L455" i="2"/>
  <c r="C455" i="2"/>
  <c r="L454" i="2"/>
  <c r="C454" i="2"/>
  <c r="L453" i="2"/>
  <c r="C453" i="2"/>
  <c r="L452" i="2"/>
  <c r="C452" i="2"/>
  <c r="L451" i="2"/>
  <c r="C451" i="2"/>
  <c r="L450" i="2"/>
  <c r="C450" i="2"/>
  <c r="L449" i="2"/>
  <c r="C449" i="2"/>
  <c r="L448" i="2"/>
  <c r="C448" i="2"/>
  <c r="L447" i="2"/>
  <c r="C447" i="2"/>
  <c r="L446" i="2"/>
  <c r="C446" i="2"/>
  <c r="L445" i="2"/>
  <c r="C445" i="2"/>
  <c r="L444" i="2"/>
  <c r="C444" i="2"/>
  <c r="L443" i="2"/>
  <c r="C443" i="2"/>
  <c r="L442" i="2"/>
  <c r="C442" i="2"/>
  <c r="L441" i="2"/>
  <c r="C441" i="2"/>
  <c r="L440" i="2"/>
  <c r="C440" i="2"/>
  <c r="L439" i="2"/>
  <c r="C439" i="2"/>
  <c r="L438" i="2"/>
  <c r="C438" i="2"/>
  <c r="L437" i="2"/>
  <c r="C437" i="2"/>
  <c r="L436" i="2"/>
  <c r="C436" i="2"/>
  <c r="L435" i="2"/>
  <c r="C435" i="2"/>
  <c r="L434" i="2"/>
  <c r="C434" i="2"/>
  <c r="L433" i="2"/>
  <c r="C433" i="2"/>
  <c r="L432" i="2"/>
  <c r="C432" i="2"/>
  <c r="L431" i="2"/>
  <c r="C431" i="2"/>
  <c r="L430" i="2"/>
  <c r="C430" i="2"/>
  <c r="L429" i="2"/>
  <c r="C429" i="2"/>
  <c r="L428" i="2"/>
  <c r="C428" i="2"/>
  <c r="L427" i="2"/>
  <c r="C427" i="2"/>
  <c r="L426" i="2"/>
  <c r="C426" i="2"/>
  <c r="L425" i="2"/>
  <c r="C425" i="2"/>
  <c r="L424" i="2"/>
  <c r="C424" i="2"/>
  <c r="L423" i="2"/>
  <c r="C423" i="2"/>
  <c r="L422" i="2"/>
  <c r="C422" i="2"/>
  <c r="L421" i="2"/>
  <c r="C421" i="2"/>
  <c r="L420" i="2"/>
  <c r="C420" i="2"/>
  <c r="L419" i="2"/>
  <c r="C419" i="2"/>
  <c r="L418" i="2"/>
  <c r="C418" i="2"/>
  <c r="L417" i="2"/>
  <c r="C417" i="2"/>
  <c r="L416" i="2"/>
  <c r="C416" i="2"/>
  <c r="L415" i="2"/>
  <c r="C415" i="2"/>
  <c r="L414" i="2"/>
  <c r="C414" i="2"/>
  <c r="L413" i="2"/>
  <c r="C413" i="2"/>
  <c r="L412" i="2"/>
  <c r="C412" i="2"/>
  <c r="L411" i="2"/>
  <c r="C411" i="2"/>
  <c r="L410" i="2"/>
  <c r="C410" i="2"/>
  <c r="L409" i="2"/>
  <c r="C409" i="2"/>
  <c r="L408" i="2"/>
  <c r="C408" i="2"/>
  <c r="L407" i="2"/>
  <c r="C407" i="2"/>
  <c r="L406" i="2"/>
  <c r="C406" i="2"/>
  <c r="L405" i="2"/>
  <c r="C405" i="2"/>
  <c r="L404" i="2"/>
  <c r="C404" i="2"/>
  <c r="L403" i="2"/>
  <c r="C403" i="2"/>
  <c r="L402" i="2"/>
  <c r="C402" i="2"/>
  <c r="L401" i="2"/>
  <c r="C401" i="2"/>
  <c r="L400" i="2"/>
  <c r="C400" i="2"/>
  <c r="L399" i="2"/>
  <c r="C399" i="2"/>
  <c r="L398" i="2"/>
  <c r="C398" i="2"/>
  <c r="L397" i="2"/>
  <c r="C397" i="2"/>
  <c r="L396" i="2"/>
  <c r="C396" i="2"/>
  <c r="L395" i="2"/>
  <c r="C395" i="2"/>
  <c r="L394" i="2"/>
  <c r="C394" i="2"/>
  <c r="L393" i="2"/>
  <c r="C393" i="2"/>
  <c r="L392" i="2"/>
  <c r="C392" i="2"/>
  <c r="L391" i="2"/>
  <c r="C391" i="2"/>
  <c r="L390" i="2"/>
  <c r="C390" i="2"/>
  <c r="L389" i="2"/>
  <c r="C389" i="2"/>
  <c r="L388" i="2"/>
  <c r="C388" i="2"/>
  <c r="L387" i="2"/>
  <c r="C387" i="2"/>
  <c r="L386" i="2"/>
  <c r="C386" i="2"/>
  <c r="L385" i="2"/>
  <c r="C385" i="2"/>
  <c r="L384" i="2"/>
  <c r="C384" i="2"/>
  <c r="L383" i="2"/>
  <c r="C383" i="2"/>
  <c r="L382" i="2"/>
  <c r="C382" i="2"/>
  <c r="L381" i="2"/>
  <c r="C381" i="2"/>
  <c r="L380" i="2"/>
  <c r="C380" i="2"/>
  <c r="L379" i="2"/>
  <c r="C379" i="2"/>
  <c r="L378" i="2"/>
  <c r="C378" i="2"/>
  <c r="L377" i="2"/>
  <c r="C377" i="2"/>
  <c r="L376" i="2"/>
  <c r="C376" i="2"/>
  <c r="L375" i="2"/>
  <c r="C375" i="2"/>
  <c r="L374" i="2"/>
  <c r="C374" i="2"/>
  <c r="L373" i="2"/>
  <c r="C373" i="2"/>
  <c r="L372" i="2"/>
  <c r="C372" i="2"/>
  <c r="L371" i="2"/>
  <c r="C371" i="2"/>
  <c r="L370" i="2"/>
  <c r="C370" i="2"/>
  <c r="L369" i="2"/>
  <c r="C369" i="2"/>
  <c r="L368" i="2"/>
  <c r="C368" i="2"/>
  <c r="L367" i="2"/>
  <c r="C367" i="2"/>
  <c r="L366" i="2"/>
  <c r="C366" i="2"/>
  <c r="L365" i="2"/>
  <c r="C365" i="2"/>
  <c r="L364" i="2"/>
  <c r="C364" i="2"/>
  <c r="L363" i="2"/>
  <c r="C363" i="2"/>
  <c r="L362" i="2"/>
  <c r="C362" i="2"/>
  <c r="L361" i="2"/>
  <c r="C361" i="2"/>
  <c r="L360" i="2"/>
  <c r="C360" i="2"/>
  <c r="L359" i="2"/>
  <c r="C359" i="2"/>
  <c r="L358" i="2"/>
  <c r="C358" i="2"/>
  <c r="L357" i="2"/>
  <c r="C357" i="2"/>
  <c r="L356" i="2"/>
  <c r="C356" i="2"/>
  <c r="L355" i="2"/>
  <c r="C355" i="2"/>
  <c r="L354" i="2"/>
  <c r="C354" i="2"/>
  <c r="L353" i="2"/>
  <c r="C353" i="2"/>
  <c r="L352" i="2"/>
  <c r="C352" i="2"/>
  <c r="L351" i="2"/>
  <c r="C351" i="2"/>
  <c r="L350" i="2"/>
  <c r="C350" i="2"/>
  <c r="L349" i="2"/>
  <c r="C349" i="2"/>
  <c r="L348" i="2"/>
  <c r="C348" i="2"/>
  <c r="L347" i="2"/>
  <c r="C347" i="2"/>
  <c r="L346" i="2"/>
  <c r="C346" i="2"/>
  <c r="L345" i="2"/>
  <c r="C345" i="2"/>
  <c r="L344" i="2"/>
  <c r="C344" i="2"/>
  <c r="L343" i="2"/>
  <c r="C343" i="2"/>
  <c r="L342" i="2"/>
  <c r="C342" i="2"/>
  <c r="L341" i="2"/>
  <c r="C341" i="2"/>
  <c r="L340" i="2"/>
  <c r="C340" i="2"/>
  <c r="L339" i="2"/>
  <c r="C339" i="2"/>
  <c r="L338" i="2"/>
  <c r="C338" i="2"/>
  <c r="L337" i="2"/>
  <c r="C337" i="2"/>
  <c r="L336" i="2"/>
  <c r="C336" i="2"/>
  <c r="L335" i="2"/>
  <c r="C335" i="2"/>
  <c r="L334" i="2"/>
  <c r="C334" i="2"/>
  <c r="L333" i="2"/>
  <c r="C333" i="2"/>
  <c r="L332" i="2"/>
  <c r="C332" i="2"/>
  <c r="L331" i="2"/>
  <c r="C331" i="2"/>
  <c r="L330" i="2"/>
  <c r="C330" i="2"/>
  <c r="L329" i="2"/>
  <c r="C329" i="2"/>
  <c r="L328" i="2"/>
  <c r="C328" i="2"/>
  <c r="L327" i="2"/>
  <c r="C327" i="2"/>
  <c r="L326" i="2"/>
  <c r="C326" i="2"/>
  <c r="L325" i="2"/>
  <c r="C325" i="2"/>
  <c r="L324" i="2"/>
  <c r="C324" i="2"/>
  <c r="L323" i="2"/>
  <c r="C323" i="2"/>
  <c r="L322" i="2"/>
  <c r="C322" i="2"/>
  <c r="L321" i="2"/>
  <c r="C321" i="2"/>
  <c r="L320" i="2"/>
  <c r="C320" i="2"/>
  <c r="L319" i="2"/>
  <c r="C319" i="2"/>
  <c r="L318" i="2"/>
  <c r="C318" i="2"/>
  <c r="L317" i="2"/>
  <c r="C317" i="2"/>
  <c r="L316" i="2"/>
  <c r="C316" i="2"/>
  <c r="L315" i="2"/>
  <c r="C315" i="2"/>
  <c r="L314" i="2"/>
  <c r="C314" i="2"/>
  <c r="L313" i="2"/>
  <c r="C313" i="2"/>
  <c r="L312" i="2"/>
  <c r="C312" i="2"/>
  <c r="L311" i="2"/>
  <c r="C311" i="2"/>
  <c r="L310" i="2"/>
  <c r="C310" i="2"/>
  <c r="L309" i="2"/>
  <c r="C309" i="2"/>
  <c r="L308" i="2"/>
  <c r="C308" i="2"/>
  <c r="L307" i="2"/>
  <c r="C307" i="2"/>
  <c r="L306" i="2"/>
  <c r="C306" i="2"/>
  <c r="L305" i="2"/>
  <c r="C305" i="2"/>
  <c r="L304" i="2"/>
  <c r="C304" i="2"/>
  <c r="L303" i="2"/>
  <c r="C303" i="2"/>
  <c r="L302" i="2"/>
  <c r="C302" i="2"/>
  <c r="L301" i="2"/>
  <c r="C301" i="2"/>
  <c r="L300" i="2"/>
  <c r="C300" i="2"/>
  <c r="L299" i="2"/>
  <c r="C299" i="2"/>
  <c r="L298" i="2"/>
  <c r="C298" i="2"/>
  <c r="L297" i="2"/>
  <c r="C297" i="2"/>
  <c r="L296" i="2"/>
  <c r="C296" i="2"/>
  <c r="L295" i="2"/>
  <c r="C295" i="2"/>
  <c r="L294" i="2"/>
  <c r="C294" i="2"/>
  <c r="L293" i="2"/>
  <c r="C293" i="2"/>
  <c r="L292" i="2"/>
  <c r="C292" i="2"/>
  <c r="L291" i="2"/>
  <c r="C291" i="2"/>
  <c r="L290" i="2"/>
  <c r="C290" i="2"/>
  <c r="L289" i="2"/>
  <c r="C289" i="2"/>
  <c r="L288" i="2"/>
  <c r="C288" i="2"/>
  <c r="L287" i="2"/>
  <c r="C287" i="2"/>
  <c r="L286" i="2"/>
  <c r="C286" i="2"/>
  <c r="L285" i="2"/>
  <c r="C285" i="2"/>
  <c r="L284" i="2"/>
  <c r="C284" i="2"/>
  <c r="L283" i="2"/>
  <c r="C283" i="2"/>
  <c r="L282" i="2"/>
  <c r="C282" i="2"/>
  <c r="L281" i="2"/>
  <c r="C281" i="2"/>
  <c r="L280" i="2"/>
  <c r="C280" i="2"/>
  <c r="L279" i="2"/>
  <c r="C279" i="2"/>
  <c r="L278" i="2"/>
  <c r="C278" i="2"/>
  <c r="L277" i="2"/>
  <c r="C277" i="2"/>
  <c r="L276" i="2"/>
  <c r="C276" i="2"/>
  <c r="L275" i="2"/>
  <c r="C275" i="2"/>
  <c r="L274" i="2"/>
  <c r="C274" i="2"/>
  <c r="L273" i="2"/>
  <c r="C273" i="2"/>
  <c r="L272" i="2"/>
  <c r="C272" i="2"/>
  <c r="L271" i="2"/>
  <c r="C271" i="2"/>
  <c r="L270" i="2"/>
  <c r="C270" i="2"/>
  <c r="L269" i="2"/>
  <c r="C269" i="2"/>
  <c r="L268" i="2"/>
  <c r="C268" i="2"/>
  <c r="L267" i="2"/>
  <c r="C267" i="2"/>
  <c r="L266" i="2"/>
  <c r="C266" i="2"/>
  <c r="L265" i="2"/>
  <c r="C265" i="2"/>
  <c r="L264" i="2"/>
  <c r="C264" i="2"/>
  <c r="L263" i="2"/>
  <c r="C263" i="2"/>
  <c r="L262" i="2"/>
  <c r="C262" i="2"/>
  <c r="L261" i="2"/>
  <c r="C261" i="2"/>
  <c r="L260" i="2"/>
  <c r="C260" i="2"/>
  <c r="L259" i="2"/>
  <c r="C259" i="2"/>
  <c r="L258" i="2"/>
  <c r="C258" i="2"/>
  <c r="L257" i="2"/>
  <c r="C257" i="2"/>
  <c r="L256" i="2"/>
  <c r="C256" i="2"/>
  <c r="L255" i="2"/>
  <c r="C255" i="2"/>
  <c r="L254" i="2"/>
  <c r="C254" i="2"/>
  <c r="L253" i="2"/>
  <c r="C253" i="2"/>
  <c r="L252" i="2"/>
  <c r="C252" i="2"/>
  <c r="L251" i="2"/>
  <c r="C251" i="2"/>
  <c r="L250" i="2"/>
  <c r="C250" i="2"/>
  <c r="L249" i="2"/>
  <c r="C249" i="2"/>
  <c r="L248" i="2"/>
  <c r="C248" i="2"/>
  <c r="L247" i="2"/>
  <c r="C247" i="2"/>
  <c r="L246" i="2"/>
  <c r="C246" i="2"/>
  <c r="L245" i="2"/>
  <c r="C245" i="2"/>
  <c r="L244" i="2"/>
  <c r="C244" i="2"/>
  <c r="L243" i="2"/>
  <c r="C243" i="2"/>
  <c r="L242" i="2"/>
  <c r="C242" i="2"/>
  <c r="L241" i="2"/>
  <c r="C241" i="2"/>
  <c r="L240" i="2"/>
  <c r="C240" i="2"/>
  <c r="L239" i="2"/>
  <c r="C239" i="2"/>
  <c r="L238" i="2"/>
  <c r="C238" i="2"/>
  <c r="L237" i="2"/>
  <c r="C237" i="2"/>
  <c r="L236" i="2"/>
  <c r="C236" i="2"/>
  <c r="L235" i="2"/>
  <c r="C235" i="2"/>
  <c r="L234" i="2"/>
  <c r="C234" i="2"/>
  <c r="L233" i="2"/>
  <c r="C233" i="2"/>
  <c r="L232" i="2"/>
  <c r="C232" i="2"/>
  <c r="L231" i="2"/>
  <c r="C231" i="2"/>
  <c r="L230" i="2"/>
  <c r="C230" i="2"/>
  <c r="L229" i="2"/>
  <c r="C229" i="2"/>
  <c r="L228" i="2"/>
  <c r="C228" i="2"/>
  <c r="L227" i="2"/>
  <c r="C227" i="2"/>
  <c r="L226" i="2"/>
  <c r="C226" i="2"/>
  <c r="L225" i="2"/>
  <c r="C225" i="2"/>
  <c r="L224" i="2"/>
  <c r="C224" i="2"/>
  <c r="L223" i="2"/>
  <c r="C223" i="2"/>
  <c r="L222" i="2"/>
  <c r="C222" i="2"/>
  <c r="L221" i="2"/>
  <c r="C221" i="2"/>
  <c r="L220" i="2"/>
  <c r="C220" i="2"/>
  <c r="L219" i="2"/>
  <c r="C219" i="2"/>
  <c r="L218" i="2"/>
  <c r="C218" i="2"/>
  <c r="L217" i="2"/>
  <c r="C217" i="2"/>
  <c r="L216" i="2"/>
  <c r="C216" i="2"/>
  <c r="L215" i="2"/>
  <c r="C215" i="2"/>
  <c r="L214" i="2"/>
  <c r="C214" i="2"/>
  <c r="L213" i="2"/>
  <c r="C213" i="2"/>
  <c r="L212" i="2"/>
  <c r="C212" i="2"/>
  <c r="L211" i="2"/>
  <c r="C211" i="2"/>
  <c r="L210" i="2"/>
  <c r="C210" i="2"/>
  <c r="L209" i="2"/>
  <c r="C209" i="2"/>
  <c r="L208" i="2"/>
  <c r="C208" i="2"/>
  <c r="L207" i="2"/>
  <c r="C207" i="2"/>
  <c r="L206" i="2"/>
  <c r="C206" i="2"/>
  <c r="L205" i="2"/>
  <c r="C205" i="2"/>
  <c r="L204" i="2"/>
  <c r="C204" i="2"/>
  <c r="L203" i="2"/>
  <c r="C203" i="2"/>
  <c r="L202" i="2"/>
  <c r="C202" i="2"/>
  <c r="L201" i="2"/>
  <c r="C201" i="2"/>
  <c r="L200" i="2"/>
  <c r="C200" i="2"/>
  <c r="L199" i="2"/>
  <c r="C199" i="2"/>
  <c r="L198" i="2"/>
  <c r="C198" i="2"/>
  <c r="L197" i="2"/>
  <c r="C197" i="2"/>
  <c r="L196" i="2"/>
  <c r="C196" i="2"/>
  <c r="L195" i="2"/>
  <c r="C195" i="2"/>
  <c r="L194" i="2"/>
  <c r="C194" i="2"/>
  <c r="L193" i="2"/>
  <c r="C193" i="2"/>
  <c r="L192" i="2"/>
  <c r="C192" i="2"/>
  <c r="L191" i="2"/>
  <c r="C191" i="2"/>
  <c r="L190" i="2"/>
  <c r="C190" i="2"/>
  <c r="L189" i="2"/>
  <c r="C189" i="2"/>
  <c r="L188" i="2"/>
  <c r="C188" i="2"/>
  <c r="L187" i="2"/>
  <c r="C187" i="2"/>
  <c r="L186" i="2"/>
  <c r="C186" i="2"/>
  <c r="L185" i="2"/>
  <c r="C185" i="2"/>
  <c r="L184" i="2"/>
  <c r="C184" i="2"/>
  <c r="L183" i="2"/>
  <c r="C183" i="2"/>
  <c r="L182" i="2"/>
  <c r="C182" i="2"/>
  <c r="L181" i="2"/>
  <c r="C181" i="2"/>
  <c r="L180" i="2"/>
  <c r="C180" i="2"/>
  <c r="L179" i="2"/>
  <c r="C179" i="2"/>
  <c r="L178" i="2"/>
  <c r="C178" i="2"/>
  <c r="L177" i="2"/>
  <c r="C177" i="2"/>
  <c r="L176" i="2"/>
  <c r="C176" i="2"/>
  <c r="L175" i="2"/>
  <c r="C175" i="2"/>
  <c r="L174" i="2"/>
  <c r="C174" i="2"/>
  <c r="L173" i="2"/>
  <c r="C173" i="2"/>
  <c r="L172" i="2"/>
  <c r="C172" i="2"/>
  <c r="L171" i="2"/>
  <c r="C171" i="2"/>
  <c r="L170" i="2"/>
  <c r="C170" i="2"/>
  <c r="L169" i="2"/>
  <c r="C169" i="2"/>
  <c r="L168" i="2"/>
  <c r="C168" i="2"/>
  <c r="L167" i="2"/>
  <c r="C167" i="2"/>
  <c r="L166" i="2"/>
  <c r="C166" i="2"/>
  <c r="L165" i="2"/>
  <c r="C165" i="2"/>
  <c r="L164" i="2"/>
  <c r="C164" i="2"/>
  <c r="L163" i="2"/>
  <c r="C163" i="2"/>
  <c r="L162" i="2"/>
  <c r="C162" i="2"/>
  <c r="L161" i="2"/>
  <c r="C161" i="2"/>
  <c r="L160" i="2"/>
  <c r="C160" i="2"/>
  <c r="L159" i="2"/>
  <c r="C159" i="2"/>
  <c r="L158" i="2"/>
  <c r="C158" i="2"/>
  <c r="L157" i="2"/>
  <c r="C157" i="2"/>
  <c r="L156" i="2"/>
  <c r="C156" i="2"/>
  <c r="L155" i="2"/>
  <c r="C155" i="2"/>
  <c r="L154" i="2"/>
  <c r="C154" i="2"/>
  <c r="L153" i="2"/>
  <c r="C153" i="2"/>
  <c r="L152" i="2"/>
  <c r="C152" i="2"/>
  <c r="L151" i="2"/>
  <c r="C151" i="2"/>
  <c r="L150" i="2"/>
  <c r="C150" i="2"/>
  <c r="L149" i="2"/>
  <c r="C149" i="2"/>
  <c r="L148" i="2"/>
  <c r="C148" i="2"/>
  <c r="L147" i="2"/>
  <c r="C147" i="2"/>
  <c r="L146" i="2"/>
  <c r="C146" i="2"/>
  <c r="L145" i="2"/>
  <c r="C145" i="2"/>
  <c r="L144" i="2"/>
  <c r="C144" i="2"/>
  <c r="L143" i="2"/>
  <c r="C143" i="2"/>
  <c r="L142" i="2"/>
  <c r="C142" i="2"/>
  <c r="L141" i="2"/>
  <c r="C141" i="2"/>
  <c r="L140" i="2"/>
  <c r="C140" i="2"/>
  <c r="L139" i="2"/>
  <c r="C139" i="2"/>
  <c r="L138" i="2"/>
  <c r="C138" i="2"/>
  <c r="L137" i="2"/>
  <c r="C137" i="2"/>
  <c r="L136" i="2"/>
  <c r="C136" i="2"/>
  <c r="L135" i="2"/>
  <c r="C135" i="2"/>
  <c r="L134" i="2"/>
  <c r="C134" i="2"/>
  <c r="L133" i="2"/>
  <c r="C133" i="2"/>
  <c r="L132" i="2"/>
  <c r="C132" i="2"/>
  <c r="L131" i="2"/>
  <c r="C131" i="2"/>
  <c r="L130" i="2"/>
  <c r="C130" i="2"/>
  <c r="L129" i="2"/>
  <c r="C129" i="2"/>
  <c r="L128" i="2"/>
  <c r="C128" i="2"/>
  <c r="L127" i="2"/>
  <c r="C127" i="2"/>
  <c r="L126" i="2"/>
  <c r="C126" i="2"/>
  <c r="L125" i="2"/>
  <c r="C125" i="2"/>
  <c r="L124" i="2"/>
  <c r="C124" i="2"/>
  <c r="L123" i="2"/>
  <c r="C123" i="2"/>
  <c r="L122" i="2"/>
  <c r="C122" i="2"/>
  <c r="L121" i="2"/>
  <c r="C121" i="2"/>
  <c r="L120" i="2"/>
  <c r="C120" i="2"/>
  <c r="L119" i="2"/>
  <c r="C119" i="2"/>
  <c r="L118" i="2"/>
  <c r="C118" i="2"/>
  <c r="L117" i="2"/>
  <c r="C117" i="2"/>
  <c r="L116" i="2"/>
  <c r="C116" i="2"/>
  <c r="L115" i="2"/>
  <c r="C115" i="2"/>
  <c r="L114" i="2"/>
  <c r="C114" i="2"/>
  <c r="L113" i="2"/>
  <c r="C113" i="2"/>
  <c r="L112" i="2"/>
  <c r="C112" i="2"/>
  <c r="L111" i="2"/>
  <c r="C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C80" i="2"/>
  <c r="L79" i="2"/>
  <c r="C79" i="2"/>
  <c r="L78" i="2"/>
  <c r="C78" i="2"/>
  <c r="L77" i="2"/>
  <c r="C77" i="2"/>
  <c r="L76" i="2"/>
  <c r="C76" i="2"/>
  <c r="L75" i="2"/>
  <c r="C75" i="2"/>
  <c r="L74" i="2"/>
  <c r="C74" i="2"/>
  <c r="L73" i="2"/>
  <c r="C73" i="2"/>
  <c r="L72" i="2"/>
  <c r="C72" i="2"/>
  <c r="L70" i="2"/>
  <c r="C70" i="2"/>
  <c r="L69" i="2"/>
  <c r="C69" i="2"/>
  <c r="L68" i="2"/>
  <c r="C68" i="2"/>
  <c r="L66" i="2"/>
  <c r="C66" i="2"/>
  <c r="L65" i="2"/>
  <c r="C65" i="2"/>
  <c r="L64" i="2"/>
  <c r="C64" i="2"/>
  <c r="L63" i="2"/>
  <c r="C63" i="2"/>
  <c r="L62" i="2"/>
  <c r="C62" i="2"/>
  <c r="L61" i="2"/>
  <c r="C61" i="2"/>
  <c r="L60" i="2"/>
  <c r="C60" i="2"/>
  <c r="L59" i="2"/>
  <c r="C59" i="2"/>
  <c r="L58" i="2"/>
  <c r="C58" i="2"/>
  <c r="L57" i="2"/>
  <c r="C57" i="2"/>
  <c r="L56" i="2"/>
  <c r="C56" i="2"/>
  <c r="L55" i="2"/>
  <c r="C55" i="2"/>
  <c r="L54" i="2"/>
  <c r="C54" i="2"/>
  <c r="L53" i="2"/>
  <c r="C53" i="2"/>
  <c r="L52" i="2"/>
  <c r="C52" i="2"/>
  <c r="L51" i="2"/>
  <c r="C51" i="2"/>
  <c r="L50" i="2"/>
  <c r="C50" i="2"/>
  <c r="L49" i="2"/>
  <c r="C49" i="2"/>
  <c r="L48" i="2"/>
  <c r="C48" i="2"/>
  <c r="L47" i="2"/>
  <c r="C47" i="2"/>
  <c r="L46" i="2"/>
  <c r="C46" i="2"/>
  <c r="L45" i="2"/>
  <c r="C45" i="2"/>
  <c r="L44" i="2"/>
  <c r="C44" i="2"/>
  <c r="L43" i="2"/>
  <c r="C43" i="2"/>
  <c r="L42" i="2"/>
  <c r="C42" i="2"/>
  <c r="L41" i="2"/>
  <c r="C41" i="2"/>
  <c r="L40" i="2"/>
  <c r="C40" i="2"/>
  <c r="L39" i="2"/>
  <c r="C39" i="2"/>
  <c r="L38" i="2"/>
  <c r="C38" i="2"/>
  <c r="L37" i="2"/>
  <c r="C37" i="2"/>
  <c r="L36" i="2"/>
  <c r="C36" i="2"/>
  <c r="L35" i="2"/>
  <c r="C35" i="2"/>
  <c r="L34" i="2"/>
  <c r="C34" i="2"/>
  <c r="L33" i="2"/>
  <c r="C33" i="2"/>
  <c r="L32" i="2"/>
  <c r="C32" i="2"/>
  <c r="L31" i="2"/>
  <c r="C31" i="2"/>
  <c r="L30" i="2"/>
  <c r="C30" i="2"/>
  <c r="L29" i="2"/>
  <c r="L28" i="2"/>
  <c r="C28" i="2"/>
  <c r="L27" i="2"/>
  <c r="C27" i="2"/>
  <c r="C25" i="2"/>
  <c r="C24" i="2"/>
  <c r="C21" i="2"/>
  <c r="C20" i="2"/>
  <c r="C19" i="2"/>
  <c r="C18" i="2"/>
  <c r="L17" i="2"/>
  <c r="C17" i="2"/>
  <c r="L16" i="2"/>
  <c r="C16" i="2"/>
  <c r="L14" i="2"/>
  <c r="C14" i="2"/>
  <c r="L12" i="2"/>
  <c r="C12" i="2"/>
  <c r="L11" i="2"/>
  <c r="L9" i="2"/>
  <c r="C9" i="2"/>
  <c r="F26" i="16"/>
  <c r="F25" i="16"/>
  <c r="F24" i="16"/>
  <c r="F23" i="16"/>
  <c r="F22" i="16"/>
  <c r="N6" i="18" s="1"/>
  <c r="F21" i="16"/>
  <c r="F20" i="16"/>
  <c r="K28" i="18" s="1"/>
  <c r="E24" i="17"/>
  <c r="E4" i="17"/>
  <c r="E5" i="17"/>
  <c r="E8" i="17"/>
  <c r="E19" i="17"/>
  <c r="E10" i="17"/>
  <c r="E20" i="17"/>
  <c r="E11" i="17"/>
  <c r="E7" i="17"/>
  <c r="E14" i="17"/>
  <c r="E6" i="17"/>
  <c r="E23" i="17"/>
  <c r="D31" i="18"/>
  <c r="D24" i="18"/>
  <c r="D32" i="18"/>
  <c r="D17" i="18"/>
  <c r="D35" i="18"/>
  <c r="D34" i="18"/>
  <c r="D11" i="18"/>
  <c r="D20" i="18"/>
  <c r="D12" i="18"/>
  <c r="E3" i="17"/>
  <c r="D6" i="18"/>
  <c r="D18" i="18"/>
  <c r="D27" i="18"/>
  <c r="D19" i="18"/>
  <c r="C43" i="18"/>
  <c r="D33" i="18"/>
  <c r="D21" i="18"/>
  <c r="D26" i="18"/>
  <c r="D7" i="18"/>
  <c r="D28" i="18"/>
  <c r="D25" i="18"/>
  <c r="Q24" i="17" l="1"/>
  <c r="R24" i="17" s="1"/>
  <c r="AI22" i="18"/>
  <c r="AC20" i="18"/>
  <c r="W5" i="18"/>
  <c r="H29" i="18"/>
  <c r="W33" i="18"/>
  <c r="E11" i="18"/>
  <c r="T21" i="18"/>
  <c r="K22" i="18"/>
  <c r="AL34" i="18"/>
  <c r="K29" i="18"/>
  <c r="N12" i="18"/>
  <c r="AF25" i="18"/>
  <c r="AF18" i="18"/>
  <c r="AL27" i="18"/>
  <c r="AI29" i="18"/>
  <c r="Q31" i="18"/>
  <c r="AI8" i="18"/>
  <c r="Z9" i="18"/>
  <c r="Z16" i="18"/>
  <c r="T28" i="18"/>
  <c r="H22" i="18"/>
  <c r="K15" i="18"/>
  <c r="AC34" i="18"/>
  <c r="AF32" i="18"/>
  <c r="H15" i="18"/>
  <c r="K8" i="18"/>
  <c r="Q24" i="18"/>
  <c r="AC13" i="18"/>
  <c r="AC6" i="18"/>
  <c r="T7" i="18"/>
  <c r="Z23" i="18"/>
  <c r="N33" i="18"/>
  <c r="E18" i="18"/>
  <c r="AI15" i="18"/>
  <c r="T14" i="18"/>
  <c r="E32" i="18"/>
  <c r="AL13" i="18"/>
  <c r="W12" i="18"/>
  <c r="W26" i="18"/>
  <c r="N26" i="18"/>
  <c r="W19" i="18"/>
  <c r="AF11" i="18"/>
  <c r="AL6" i="18"/>
  <c r="AL20" i="18"/>
  <c r="Z30" i="18"/>
  <c r="E25" i="18"/>
  <c r="N5" i="18"/>
  <c r="H8" i="18"/>
  <c r="Q17" i="18"/>
  <c r="AC27" i="18"/>
  <c r="Q10" i="18"/>
  <c r="N19" i="18"/>
  <c r="J9" i="16"/>
  <c r="E5" i="18" s="1"/>
  <c r="J23" i="16"/>
  <c r="AL28" i="18" s="1"/>
  <c r="J26" i="16"/>
  <c r="AL35" i="18"/>
  <c r="AI9" i="18"/>
  <c r="N20" i="18"/>
  <c r="N13" i="18"/>
  <c r="E19" i="18"/>
  <c r="AC28" i="18"/>
  <c r="K23" i="18"/>
  <c r="H23" i="18"/>
  <c r="AC14" i="18"/>
  <c r="AC21" i="18"/>
  <c r="Q11" i="18"/>
  <c r="T8" i="18"/>
  <c r="H9" i="18"/>
  <c r="T29" i="18"/>
  <c r="W13" i="18"/>
  <c r="E12" i="18"/>
  <c r="AF12" i="18"/>
  <c r="Q25" i="18"/>
  <c r="W6" i="18"/>
  <c r="AF26" i="18"/>
  <c r="W20" i="18"/>
  <c r="AI23" i="18"/>
  <c r="T22" i="18"/>
  <c r="AL7" i="18"/>
  <c r="T15" i="18"/>
  <c r="W27" i="18"/>
  <c r="AL14" i="18"/>
  <c r="AF33" i="18"/>
  <c r="Z10" i="18"/>
  <c r="Z24" i="18"/>
  <c r="K30" i="18"/>
  <c r="AL21" i="18"/>
  <c r="AI16" i="18"/>
  <c r="Z17" i="18"/>
  <c r="Q18" i="18"/>
  <c r="E33" i="18"/>
  <c r="AC7" i="18"/>
  <c r="H30" i="18"/>
  <c r="H16" i="18"/>
  <c r="W34" i="18"/>
  <c r="K9" i="18"/>
  <c r="AF5" i="18"/>
  <c r="K16" i="18"/>
  <c r="Z31" i="18"/>
  <c r="AF19" i="18"/>
  <c r="AI30" i="18"/>
  <c r="N34" i="18"/>
  <c r="Q32" i="18"/>
  <c r="N27" i="18"/>
  <c r="E26" i="18"/>
  <c r="AL29" i="18"/>
  <c r="J14" i="16"/>
  <c r="Q5" i="18" s="1"/>
  <c r="J24" i="16"/>
  <c r="J18" i="16"/>
  <c r="T23" i="18" s="1"/>
  <c r="AF13" i="18"/>
  <c r="T9" i="18"/>
  <c r="W28" i="18"/>
  <c r="H10" i="18"/>
  <c r="E13" i="18"/>
  <c r="AI24" i="18"/>
  <c r="Q26" i="18"/>
  <c r="Z32" i="18"/>
  <c r="AL8" i="18"/>
  <c r="AC22" i="18"/>
  <c r="T30" i="18"/>
  <c r="Z18" i="18"/>
  <c r="H17" i="18"/>
  <c r="H24" i="18"/>
  <c r="N21" i="18"/>
  <c r="H31" i="18"/>
  <c r="AF27" i="18"/>
  <c r="E6" i="18"/>
  <c r="AI17" i="18"/>
  <c r="AL22" i="18"/>
  <c r="K17" i="18"/>
  <c r="W14" i="18"/>
  <c r="E34" i="18"/>
  <c r="J15" i="16"/>
  <c r="Q33" i="18" s="1"/>
  <c r="AL15" i="18"/>
  <c r="Q12" i="18"/>
  <c r="K10" i="18"/>
  <c r="AI31" i="18"/>
  <c r="W21" i="18"/>
  <c r="Q19" i="18"/>
  <c r="Z11" i="18"/>
  <c r="N14" i="18"/>
  <c r="AC15" i="18"/>
  <c r="W7" i="18"/>
  <c r="T16" i="18"/>
  <c r="AC8" i="18"/>
  <c r="W35" i="18"/>
  <c r="N28" i="18"/>
  <c r="E27" i="18"/>
  <c r="AI10" i="18"/>
  <c r="AF20" i="18"/>
  <c r="K24" i="18"/>
  <c r="AF34" i="18"/>
  <c r="AF6" i="18"/>
  <c r="AC29" i="18"/>
  <c r="K31" i="18"/>
  <c r="N7" i="18"/>
  <c r="Z25" i="18"/>
  <c r="E20" i="18"/>
  <c r="J19" i="16"/>
  <c r="Z19" i="18" s="1"/>
  <c r="J25" i="16"/>
  <c r="AL30" i="18" s="1"/>
  <c r="AL23" i="18"/>
  <c r="Z12" i="18"/>
  <c r="W22" i="18"/>
  <c r="AF28" i="18"/>
  <c r="K25" i="18"/>
  <c r="W29" i="18"/>
  <c r="AF21" i="18"/>
  <c r="AI25" i="18"/>
  <c r="AC23" i="18"/>
  <c r="Q6" i="18"/>
  <c r="N29" i="18"/>
  <c r="T17" i="18"/>
  <c r="T24" i="18"/>
  <c r="E28" i="18"/>
  <c r="N8" i="18"/>
  <c r="K11" i="18"/>
  <c r="T10" i="18"/>
  <c r="AF7" i="18"/>
  <c r="AL16" i="18"/>
  <c r="Q34" i="18"/>
  <c r="H11" i="18"/>
  <c r="Z26" i="18"/>
  <c r="Q20" i="18"/>
  <c r="H18" i="18"/>
  <c r="E21" i="18"/>
  <c r="H25" i="18"/>
  <c r="N15" i="18"/>
  <c r="Q13" i="18"/>
  <c r="AC16" i="18"/>
  <c r="AC9" i="18"/>
  <c r="Q27" i="18"/>
  <c r="H32" i="18"/>
  <c r="Z5" i="18"/>
  <c r="E35" i="18"/>
  <c r="AL9" i="18"/>
  <c r="K32" i="18"/>
  <c r="E7" i="18"/>
  <c r="AF14" i="18"/>
  <c r="AI11" i="18"/>
  <c r="W8" i="18"/>
  <c r="K18" i="18"/>
  <c r="AI32" i="18"/>
  <c r="AC30" i="18"/>
  <c r="T31" i="18"/>
  <c r="Z33" i="18"/>
  <c r="E14" i="18"/>
  <c r="AI18" i="18"/>
  <c r="AF35" i="18"/>
  <c r="N22" i="18"/>
  <c r="W15" i="18"/>
  <c r="J997" i="14"/>
  <c r="J985" i="14"/>
  <c r="J973" i="14"/>
  <c r="J961" i="14"/>
  <c r="J949" i="14"/>
  <c r="J937" i="14"/>
  <c r="J925" i="14"/>
  <c r="J913" i="14"/>
  <c r="J901" i="14"/>
  <c r="J889" i="14"/>
  <c r="J877" i="14"/>
  <c r="J865" i="14"/>
  <c r="J853" i="14"/>
  <c r="J841" i="14"/>
  <c r="J829" i="14"/>
  <c r="J817" i="14"/>
  <c r="J996" i="14"/>
  <c r="J984" i="14"/>
  <c r="J972" i="14"/>
  <c r="J960" i="14"/>
  <c r="J948" i="14"/>
  <c r="J936" i="14"/>
  <c r="J924" i="14"/>
  <c r="J912" i="14"/>
  <c r="J900" i="14"/>
  <c r="J888" i="14"/>
  <c r="J876" i="14"/>
  <c r="J864" i="14"/>
  <c r="J852" i="14"/>
  <c r="J840" i="14"/>
  <c r="J828" i="14"/>
  <c r="J992" i="14"/>
  <c r="J980" i="14"/>
  <c r="J968" i="14"/>
  <c r="J956" i="14"/>
  <c r="J944" i="14"/>
  <c r="J932" i="14"/>
  <c r="J920" i="14"/>
  <c r="J908" i="14"/>
  <c r="J896" i="14"/>
  <c r="J884" i="14"/>
  <c r="J872" i="14"/>
  <c r="J860" i="14"/>
  <c r="J848" i="14"/>
  <c r="J836" i="14"/>
  <c r="J824" i="14"/>
  <c r="J812" i="14"/>
  <c r="J800" i="14"/>
  <c r="J788" i="14"/>
  <c r="J776" i="14"/>
  <c r="J764" i="14"/>
  <c r="J752" i="14"/>
  <c r="J740" i="14"/>
  <c r="J728" i="14"/>
  <c r="J716" i="14"/>
  <c r="J704" i="14"/>
  <c r="J692" i="14"/>
  <c r="J680" i="14"/>
  <c r="J668" i="14"/>
  <c r="J656" i="14"/>
  <c r="J644" i="14"/>
  <c r="J632" i="14"/>
  <c r="J620" i="14"/>
  <c r="J608" i="14"/>
  <c r="J596" i="14"/>
  <c r="J584" i="14"/>
  <c r="J572" i="14"/>
  <c r="J560" i="14"/>
  <c r="J548" i="14"/>
  <c r="J536" i="14"/>
  <c r="J524" i="14"/>
  <c r="J512" i="14"/>
  <c r="J500" i="14"/>
  <c r="J488" i="14"/>
  <c r="J476" i="14"/>
  <c r="J464" i="14"/>
  <c r="J452" i="14"/>
  <c r="J440" i="14"/>
  <c r="J428" i="14"/>
  <c r="J416" i="14"/>
  <c r="J404" i="14"/>
  <c r="J392" i="14"/>
  <c r="J380" i="14"/>
  <c r="J368" i="14"/>
  <c r="J356" i="14"/>
  <c r="J344" i="14"/>
  <c r="J332" i="14"/>
  <c r="J320" i="14"/>
  <c r="J308" i="14"/>
  <c r="J296" i="14"/>
  <c r="J284" i="14"/>
  <c r="J272" i="14"/>
  <c r="J260" i="14"/>
  <c r="J248" i="14"/>
  <c r="J236" i="14"/>
  <c r="J224" i="14"/>
  <c r="J212" i="14"/>
  <c r="J200" i="14"/>
  <c r="J188" i="14"/>
  <c r="J176" i="14"/>
  <c r="J164" i="14"/>
  <c r="J152" i="14"/>
  <c r="J140" i="14"/>
  <c r="J128" i="14"/>
  <c r="J116" i="14"/>
  <c r="J104" i="14"/>
  <c r="J92" i="14"/>
  <c r="J80" i="14"/>
  <c r="J68" i="14"/>
  <c r="J56" i="14"/>
  <c r="J44" i="14"/>
  <c r="J32" i="14"/>
  <c r="J20" i="14"/>
  <c r="J8" i="14"/>
  <c r="J991" i="14"/>
  <c r="J979" i="14"/>
  <c r="J995" i="14"/>
  <c r="J977" i="14"/>
  <c r="J962" i="14"/>
  <c r="J945" i="14"/>
  <c r="J929" i="14"/>
  <c r="J914" i="14"/>
  <c r="J897" i="14"/>
  <c r="J881" i="14"/>
  <c r="J866" i="14"/>
  <c r="J849" i="14"/>
  <c r="J833" i="14"/>
  <c r="J818" i="14"/>
  <c r="J804" i="14"/>
  <c r="J791" i="14"/>
  <c r="J778" i="14"/>
  <c r="J765" i="14"/>
  <c r="J751" i="14"/>
  <c r="J738" i="14"/>
  <c r="J725" i="14"/>
  <c r="J712" i="14"/>
  <c r="J699" i="14"/>
  <c r="J686" i="14"/>
  <c r="J673" i="14"/>
  <c r="J660" i="14"/>
  <c r="J647" i="14"/>
  <c r="J634" i="14"/>
  <c r="J621" i="14"/>
  <c r="J607" i="14"/>
  <c r="J594" i="14"/>
  <c r="J581" i="14"/>
  <c r="J568" i="14"/>
  <c r="J555" i="14"/>
  <c r="J542" i="14"/>
  <c r="J529" i="14"/>
  <c r="J516" i="14"/>
  <c r="J503" i="14"/>
  <c r="J490" i="14"/>
  <c r="J477" i="14"/>
  <c r="J463" i="14"/>
  <c r="J450" i="14"/>
  <c r="J437" i="14"/>
  <c r="J424" i="14"/>
  <c r="J411" i="14"/>
  <c r="J398" i="14"/>
  <c r="J385" i="14"/>
  <c r="J372" i="14"/>
  <c r="J359" i="14"/>
  <c r="J346" i="14"/>
  <c r="J333" i="14"/>
  <c r="J319" i="14"/>
  <c r="J306" i="14"/>
  <c r="J994" i="14"/>
  <c r="J976" i="14"/>
  <c r="J959" i="14"/>
  <c r="J943" i="14"/>
  <c r="J928" i="14"/>
  <c r="J911" i="14"/>
  <c r="J895" i="14"/>
  <c r="J880" i="14"/>
  <c r="J863" i="14"/>
  <c r="J847" i="14"/>
  <c r="J832" i="14"/>
  <c r="J816" i="14"/>
  <c r="J803" i="14"/>
  <c r="J790" i="14"/>
  <c r="J777" i="14"/>
  <c r="J763" i="14"/>
  <c r="J750" i="14"/>
  <c r="J737" i="14"/>
  <c r="J724" i="14"/>
  <c r="J711" i="14"/>
  <c r="J698" i="14"/>
  <c r="J685" i="14"/>
  <c r="J672" i="14"/>
  <c r="J659" i="14"/>
  <c r="J646" i="14"/>
  <c r="J633" i="14"/>
  <c r="J619" i="14"/>
  <c r="J606" i="14"/>
  <c r="J593" i="14"/>
  <c r="J580" i="14"/>
  <c r="J567" i="14"/>
  <c r="J554" i="14"/>
  <c r="J541" i="14"/>
  <c r="J528" i="14"/>
  <c r="J515" i="14"/>
  <c r="J502" i="14"/>
  <c r="J489" i="14"/>
  <c r="J475" i="14"/>
  <c r="J462" i="14"/>
  <c r="J449" i="14"/>
  <c r="J436" i="14"/>
  <c r="J423" i="14"/>
  <c r="J410" i="14"/>
  <c r="J397" i="14"/>
  <c r="J384" i="14"/>
  <c r="J371" i="14"/>
  <c r="J358" i="14"/>
  <c r="J345" i="14"/>
  <c r="J331" i="14"/>
  <c r="J988" i="14"/>
  <c r="J970" i="14"/>
  <c r="J954" i="14"/>
  <c r="J939" i="14"/>
  <c r="J922" i="14"/>
  <c r="J906" i="14"/>
  <c r="J891" i="14"/>
  <c r="J874" i="14"/>
  <c r="J858" i="14"/>
  <c r="J843" i="14"/>
  <c r="J826" i="14"/>
  <c r="J811" i="14"/>
  <c r="J798" i="14"/>
  <c r="J785" i="14"/>
  <c r="J772" i="14"/>
  <c r="J759" i="14"/>
  <c r="J746" i="14"/>
  <c r="J733" i="14"/>
  <c r="J720" i="14"/>
  <c r="J707" i="14"/>
  <c r="J694" i="14"/>
  <c r="J681" i="14"/>
  <c r="J667" i="14"/>
  <c r="J654" i="14"/>
  <c r="J641" i="14"/>
  <c r="J628" i="14"/>
  <c r="J615" i="14"/>
  <c r="J602" i="14"/>
  <c r="J589" i="14"/>
  <c r="J576" i="14"/>
  <c r="J563" i="14"/>
  <c r="J550" i="14"/>
  <c r="J537" i="14"/>
  <c r="J523" i="14"/>
  <c r="J510" i="14"/>
  <c r="J497" i="14"/>
  <c r="J484" i="14"/>
  <c r="J471" i="14"/>
  <c r="J458" i="14"/>
  <c r="J445" i="14"/>
  <c r="J432" i="14"/>
  <c r="J419" i="14"/>
  <c r="J406" i="14"/>
  <c r="J393" i="14"/>
  <c r="J379" i="14"/>
  <c r="J366" i="14"/>
  <c r="J353" i="14"/>
  <c r="J340" i="14"/>
  <c r="J327" i="14"/>
  <c r="J314" i="14"/>
  <c r="J301" i="14"/>
  <c r="J288" i="14"/>
  <c r="J275" i="14"/>
  <c r="J262" i="14"/>
  <c r="J249" i="14"/>
  <c r="J235" i="14"/>
  <c r="J222" i="14"/>
  <c r="J209" i="14"/>
  <c r="J196" i="14"/>
  <c r="J183" i="14"/>
  <c r="J170" i="14"/>
  <c r="J157" i="14"/>
  <c r="J144" i="14"/>
  <c r="J131" i="14"/>
  <c r="J118" i="14"/>
  <c r="J105" i="14"/>
  <c r="J91" i="14"/>
  <c r="J78" i="14"/>
  <c r="J65" i="14"/>
  <c r="J52" i="14"/>
  <c r="J39" i="14"/>
  <c r="J26" i="14"/>
  <c r="J13" i="14"/>
  <c r="J987" i="14"/>
  <c r="J969" i="14"/>
  <c r="J953" i="14"/>
  <c r="J938" i="14"/>
  <c r="J921" i="14"/>
  <c r="J905" i="14"/>
  <c r="J890" i="14"/>
  <c r="J873" i="14"/>
  <c r="J857" i="14"/>
  <c r="J842" i="14"/>
  <c r="J825" i="14"/>
  <c r="J810" i="14"/>
  <c r="J797" i="14"/>
  <c r="J784" i="14"/>
  <c r="J771" i="14"/>
  <c r="J758" i="14"/>
  <c r="J745" i="14"/>
  <c r="J732" i="14"/>
  <c r="J719" i="14"/>
  <c r="J706" i="14"/>
  <c r="J693" i="14"/>
  <c r="J679" i="14"/>
  <c r="J666" i="14"/>
  <c r="J653" i="14"/>
  <c r="J640" i="14"/>
  <c r="J627" i="14"/>
  <c r="J614" i="14"/>
  <c r="J601" i="14"/>
  <c r="J588" i="14"/>
  <c r="J575" i="14"/>
  <c r="J562" i="14"/>
  <c r="J549" i="14"/>
  <c r="J535" i="14"/>
  <c r="J522" i="14"/>
  <c r="J509" i="14"/>
  <c r="J496" i="14"/>
  <c r="J483" i="14"/>
  <c r="J470" i="14"/>
  <c r="J457" i="14"/>
  <c r="J444" i="14"/>
  <c r="J431" i="14"/>
  <c r="J418" i="14"/>
  <c r="J405" i="14"/>
  <c r="J391" i="14"/>
  <c r="J378" i="14"/>
  <c r="J365" i="14"/>
  <c r="J352" i="14"/>
  <c r="J339" i="14"/>
  <c r="J326" i="14"/>
  <c r="J313" i="14"/>
  <c r="J300" i="14"/>
  <c r="J287" i="14"/>
  <c r="J274" i="14"/>
  <c r="J261" i="14"/>
  <c r="J247" i="14"/>
  <c r="J234" i="14"/>
  <c r="J221" i="14"/>
  <c r="J208" i="14"/>
  <c r="J195" i="14"/>
  <c r="J182" i="14"/>
  <c r="J169" i="14"/>
  <c r="J156" i="14"/>
  <c r="J143" i="14"/>
  <c r="J130" i="14"/>
  <c r="J117" i="14"/>
  <c r="J103" i="14"/>
  <c r="J90" i="14"/>
  <c r="J77" i="14"/>
  <c r="J64" i="14"/>
  <c r="J51" i="14"/>
  <c r="J38" i="14"/>
  <c r="J25" i="14"/>
  <c r="J12" i="14"/>
  <c r="J986" i="14"/>
  <c r="J967" i="14"/>
  <c r="J952" i="14"/>
  <c r="J935" i="14"/>
  <c r="J919" i="14"/>
  <c r="J904" i="14"/>
  <c r="J887" i="14"/>
  <c r="J871" i="14"/>
  <c r="J856" i="14"/>
  <c r="J839" i="14"/>
  <c r="J823" i="14"/>
  <c r="J809" i="14"/>
  <c r="J796" i="14"/>
  <c r="J783" i="14"/>
  <c r="J770" i="14"/>
  <c r="J757" i="14"/>
  <c r="J744" i="14"/>
  <c r="J731" i="14"/>
  <c r="J718" i="14"/>
  <c r="J705" i="14"/>
  <c r="J691" i="14"/>
  <c r="J678" i="14"/>
  <c r="J665" i="14"/>
  <c r="J652" i="14"/>
  <c r="J993" i="14"/>
  <c r="J964" i="14"/>
  <c r="J934" i="14"/>
  <c r="J909" i="14"/>
  <c r="J882" i="14"/>
  <c r="J854" i="14"/>
  <c r="J827" i="14"/>
  <c r="J802" i="14"/>
  <c r="J780" i="14"/>
  <c r="J756" i="14"/>
  <c r="J735" i="14"/>
  <c r="J713" i="14"/>
  <c r="J689" i="14"/>
  <c r="J669" i="14"/>
  <c r="J645" i="14"/>
  <c r="J625" i="14"/>
  <c r="J605" i="14"/>
  <c r="J586" i="14"/>
  <c r="J566" i="14"/>
  <c r="J546" i="14"/>
  <c r="J527" i="14"/>
  <c r="J507" i="14"/>
  <c r="J487" i="14"/>
  <c r="J468" i="14"/>
  <c r="J448" i="14"/>
  <c r="J429" i="14"/>
  <c r="J409" i="14"/>
  <c r="J389" i="14"/>
  <c r="J370" i="14"/>
  <c r="J350" i="14"/>
  <c r="J330" i="14"/>
  <c r="J312" i="14"/>
  <c r="J295" i="14"/>
  <c r="J280" i="14"/>
  <c r="J265" i="14"/>
  <c r="J250" i="14"/>
  <c r="J232" i="14"/>
  <c r="J217" i="14"/>
  <c r="J202" i="14"/>
  <c r="J186" i="14"/>
  <c r="J171" i="14"/>
  <c r="J154" i="14"/>
  <c r="J138" i="14"/>
  <c r="J123" i="14"/>
  <c r="J108" i="14"/>
  <c r="J93" i="14"/>
  <c r="J75" i="14"/>
  <c r="J60" i="14"/>
  <c r="J45" i="14"/>
  <c r="J29" i="14"/>
  <c r="J14" i="14"/>
  <c r="J821" i="14"/>
  <c r="J754" i="14"/>
  <c r="J709" i="14"/>
  <c r="J663" i="14"/>
  <c r="J623" i="14"/>
  <c r="J583" i="14"/>
  <c r="J544" i="14"/>
  <c r="J505" i="14"/>
  <c r="J466" i="14"/>
  <c r="J426" i="14"/>
  <c r="J387" i="14"/>
  <c r="J348" i="14"/>
  <c r="J310" i="14"/>
  <c r="J278" i="14"/>
  <c r="J245" i="14"/>
  <c r="J215" i="14"/>
  <c r="J184" i="14"/>
  <c r="J151" i="14"/>
  <c r="J121" i="14"/>
  <c r="J88" i="14"/>
  <c r="J58" i="14"/>
  <c r="J27" i="14"/>
  <c r="J983" i="14"/>
  <c r="J930" i="14"/>
  <c r="J875" i="14"/>
  <c r="J820" i="14"/>
  <c r="J774" i="14"/>
  <c r="J729" i="14"/>
  <c r="J990" i="14"/>
  <c r="J963" i="14"/>
  <c r="J933" i="14"/>
  <c r="J907" i="14"/>
  <c r="J879" i="14"/>
  <c r="J851" i="14"/>
  <c r="J822" i="14"/>
  <c r="J801" i="14"/>
  <c r="J779" i="14"/>
  <c r="J755" i="14"/>
  <c r="J734" i="14"/>
  <c r="J710" i="14"/>
  <c r="J688" i="14"/>
  <c r="J664" i="14"/>
  <c r="J643" i="14"/>
  <c r="J624" i="14"/>
  <c r="J604" i="14"/>
  <c r="J585" i="14"/>
  <c r="J565" i="14"/>
  <c r="J545" i="14"/>
  <c r="J526" i="14"/>
  <c r="J506" i="14"/>
  <c r="J486" i="14"/>
  <c r="J467" i="14"/>
  <c r="J447" i="14"/>
  <c r="J427" i="14"/>
  <c r="J408" i="14"/>
  <c r="J388" i="14"/>
  <c r="J369" i="14"/>
  <c r="J349" i="14"/>
  <c r="J329" i="14"/>
  <c r="J311" i="14"/>
  <c r="J294" i="14"/>
  <c r="J279" i="14"/>
  <c r="J264" i="14"/>
  <c r="J246" i="14"/>
  <c r="J231" i="14"/>
  <c r="J216" i="14"/>
  <c r="J201" i="14"/>
  <c r="J185" i="14"/>
  <c r="J168" i="14"/>
  <c r="J153" i="14"/>
  <c r="J137" i="14"/>
  <c r="J122" i="14"/>
  <c r="J107" i="14"/>
  <c r="J89" i="14"/>
  <c r="J74" i="14"/>
  <c r="J59" i="14"/>
  <c r="J43" i="14"/>
  <c r="J28" i="14"/>
  <c r="J11" i="14"/>
  <c r="J989" i="14"/>
  <c r="J958" i="14"/>
  <c r="J931" i="14"/>
  <c r="J903" i="14"/>
  <c r="J878" i="14"/>
  <c r="J850" i="14"/>
  <c r="J799" i="14"/>
  <c r="J775" i="14"/>
  <c r="J730" i="14"/>
  <c r="J687" i="14"/>
  <c r="J642" i="14"/>
  <c r="J603" i="14"/>
  <c r="J564" i="14"/>
  <c r="J525" i="14"/>
  <c r="J485" i="14"/>
  <c r="J446" i="14"/>
  <c r="J407" i="14"/>
  <c r="J367" i="14"/>
  <c r="J328" i="14"/>
  <c r="J293" i="14"/>
  <c r="J263" i="14"/>
  <c r="J230" i="14"/>
  <c r="J199" i="14"/>
  <c r="J167" i="14"/>
  <c r="J136" i="14"/>
  <c r="J106" i="14"/>
  <c r="J73" i="14"/>
  <c r="J42" i="14"/>
  <c r="J10" i="14"/>
  <c r="J957" i="14"/>
  <c r="J902" i="14"/>
  <c r="J846" i="14"/>
  <c r="J795" i="14"/>
  <c r="J753" i="14"/>
  <c r="J981" i="14"/>
  <c r="J951" i="14"/>
  <c r="J926" i="14"/>
  <c r="J898" i="14"/>
  <c r="J869" i="14"/>
  <c r="J844" i="14"/>
  <c r="J815" i="14"/>
  <c r="J793" i="14"/>
  <c r="J769" i="14"/>
  <c r="J748" i="14"/>
  <c r="J726" i="14"/>
  <c r="J702" i="14"/>
  <c r="J682" i="14"/>
  <c r="J658" i="14"/>
  <c r="J637" i="14"/>
  <c r="J617" i="14"/>
  <c r="J598" i="14"/>
  <c r="J578" i="14"/>
  <c r="J558" i="14"/>
  <c r="J539" i="14"/>
  <c r="J519" i="14"/>
  <c r="J499" i="14"/>
  <c r="J480" i="14"/>
  <c r="J460" i="14"/>
  <c r="J441" i="14"/>
  <c r="J421" i="14"/>
  <c r="J401" i="14"/>
  <c r="J382" i="14"/>
  <c r="J362" i="14"/>
  <c r="J342" i="14"/>
  <c r="J323" i="14"/>
  <c r="J305" i="14"/>
  <c r="J290" i="14"/>
  <c r="J273" i="14"/>
  <c r="J257" i="14"/>
  <c r="J242" i="14"/>
  <c r="J227" i="14"/>
  <c r="J211" i="14"/>
  <c r="J194" i="14"/>
  <c r="J179" i="14"/>
  <c r="J163" i="14"/>
  <c r="J148" i="14"/>
  <c r="J133" i="14"/>
  <c r="J115" i="14"/>
  <c r="J100" i="14"/>
  <c r="J85" i="14"/>
  <c r="J70" i="14"/>
  <c r="J54" i="14"/>
  <c r="J37" i="14"/>
  <c r="J22" i="14"/>
  <c r="J6" i="14"/>
  <c r="J978" i="14"/>
  <c r="J950" i="14"/>
  <c r="J923" i="14"/>
  <c r="J894" i="14"/>
  <c r="J868" i="14"/>
  <c r="J838" i="14"/>
  <c r="J814" i="14"/>
  <c r="J792" i="14"/>
  <c r="J768" i="14"/>
  <c r="J747" i="14"/>
  <c r="J723" i="14"/>
  <c r="J701" i="14"/>
  <c r="J677" i="14"/>
  <c r="J657" i="14"/>
  <c r="J636" i="14"/>
  <c r="J616" i="14"/>
  <c r="J597" i="14"/>
  <c r="J577" i="14"/>
  <c r="J557" i="14"/>
  <c r="J538" i="14"/>
  <c r="J518" i="14"/>
  <c r="J498" i="14"/>
  <c r="J479" i="14"/>
  <c r="J459" i="14"/>
  <c r="J439" i="14"/>
  <c r="J420" i="14"/>
  <c r="J400" i="14"/>
  <c r="J381" i="14"/>
  <c r="J361" i="14"/>
  <c r="J341" i="14"/>
  <c r="J322" i="14"/>
  <c r="J304" i="14"/>
  <c r="J289" i="14"/>
  <c r="J271" i="14"/>
  <c r="J256" i="14"/>
  <c r="J241" i="14"/>
  <c r="J226" i="14"/>
  <c r="J210" i="14"/>
  <c r="J193" i="14"/>
  <c r="J178" i="14"/>
  <c r="J162" i="14"/>
  <c r="J147" i="14"/>
  <c r="J132" i="14"/>
  <c r="J114" i="14"/>
  <c r="J99" i="14"/>
  <c r="J84" i="14"/>
  <c r="J69" i="14"/>
  <c r="J53" i="14"/>
  <c r="J36" i="14"/>
  <c r="J21" i="14"/>
  <c r="J5" i="14"/>
  <c r="J975" i="14"/>
  <c r="J947" i="14"/>
  <c r="J918" i="14"/>
  <c r="J893" i="14"/>
  <c r="J867" i="14"/>
  <c r="J837" i="14"/>
  <c r="J813" i="14"/>
  <c r="J789" i="14"/>
  <c r="J767" i="14"/>
  <c r="J743" i="14"/>
  <c r="J722" i="14"/>
  <c r="J700" i="14"/>
  <c r="J676" i="14"/>
  <c r="J655" i="14"/>
  <c r="J635" i="14"/>
  <c r="J613" i="14"/>
  <c r="J595" i="14"/>
  <c r="J574" i="14"/>
  <c r="J556" i="14"/>
  <c r="J534" i="14"/>
  <c r="J517" i="14"/>
  <c r="J495" i="14"/>
  <c r="J478" i="14"/>
  <c r="J456" i="14"/>
  <c r="J438" i="14"/>
  <c r="J417" i="14"/>
  <c r="J399" i="14"/>
  <c r="J377" i="14"/>
  <c r="J360" i="14"/>
  <c r="J338" i="14"/>
  <c r="J321" i="14"/>
  <c r="J303" i="14"/>
  <c r="J286" i="14"/>
  <c r="J270" i="14"/>
  <c r="J255" i="14"/>
  <c r="J240" i="14"/>
  <c r="J225" i="14"/>
  <c r="J207" i="14"/>
  <c r="J192" i="14"/>
  <c r="J177" i="14"/>
  <c r="J161" i="14"/>
  <c r="J146" i="14"/>
  <c r="J129" i="14"/>
  <c r="J113" i="14"/>
  <c r="J98" i="14"/>
  <c r="J83" i="14"/>
  <c r="J67" i="14"/>
  <c r="J50" i="14"/>
  <c r="J35" i="14"/>
  <c r="J19" i="14"/>
  <c r="J4" i="14"/>
  <c r="J974" i="14"/>
  <c r="J946" i="14"/>
  <c r="J917" i="14"/>
  <c r="J892" i="14"/>
  <c r="J862" i="14"/>
  <c r="J835" i="14"/>
  <c r="J808" i="14"/>
  <c r="J787" i="14"/>
  <c r="J766" i="14"/>
  <c r="J742" i="14"/>
  <c r="J721" i="14"/>
  <c r="J697" i="14"/>
  <c r="J675" i="14"/>
  <c r="J651" i="14"/>
  <c r="J631" i="14"/>
  <c r="J612" i="14"/>
  <c r="J592" i="14"/>
  <c r="J573" i="14"/>
  <c r="J553" i="14"/>
  <c r="J533" i="14"/>
  <c r="J514" i="14"/>
  <c r="J494" i="14"/>
  <c r="J474" i="14"/>
  <c r="J455" i="14"/>
  <c r="J435" i="14"/>
  <c r="J415" i="14"/>
  <c r="J396" i="14"/>
  <c r="J376" i="14"/>
  <c r="J357" i="14"/>
  <c r="J337" i="14"/>
  <c r="J318" i="14"/>
  <c r="J302" i="14"/>
  <c r="J285" i="14"/>
  <c r="J269" i="14"/>
  <c r="J254" i="14"/>
  <c r="J239" i="14"/>
  <c r="J223" i="14"/>
  <c r="J206" i="14"/>
  <c r="J191" i="14"/>
  <c r="J175" i="14"/>
  <c r="J160" i="14"/>
  <c r="J145" i="14"/>
  <c r="J127" i="14"/>
  <c r="J112" i="14"/>
  <c r="J97" i="14"/>
  <c r="J82" i="14"/>
  <c r="J66" i="14"/>
  <c r="J49" i="14"/>
  <c r="J34" i="14"/>
  <c r="J18" i="14"/>
  <c r="J3" i="14"/>
  <c r="J971" i="14"/>
  <c r="J942" i="14"/>
  <c r="J916" i="14"/>
  <c r="J886" i="14"/>
  <c r="J861" i="14"/>
  <c r="J834" i="14"/>
  <c r="J807" i="14"/>
  <c r="J786" i="14"/>
  <c r="J762" i="14"/>
  <c r="J741" i="14"/>
  <c r="J717" i="14"/>
  <c r="J696" i="14"/>
  <c r="J674" i="14"/>
  <c r="J650" i="14"/>
  <c r="J982" i="14"/>
  <c r="J870" i="14"/>
  <c r="J773" i="14"/>
  <c r="J690" i="14"/>
  <c r="J629" i="14"/>
  <c r="J582" i="14"/>
  <c r="J532" i="14"/>
  <c r="J491" i="14"/>
  <c r="J442" i="14"/>
  <c r="J394" i="14"/>
  <c r="J347" i="14"/>
  <c r="J299" i="14"/>
  <c r="J266" i="14"/>
  <c r="J228" i="14"/>
  <c r="J189" i="14"/>
  <c r="J150" i="14"/>
  <c r="J111" i="14"/>
  <c r="J76" i="14"/>
  <c r="J40" i="14"/>
  <c r="J482" i="14"/>
  <c r="J434" i="14"/>
  <c r="J343" i="14"/>
  <c r="J298" i="14"/>
  <c r="J259" i="14"/>
  <c r="J187" i="14"/>
  <c r="J149" i="14"/>
  <c r="J110" i="14"/>
  <c r="J33" i="14"/>
  <c r="J965" i="14"/>
  <c r="J760" i="14"/>
  <c r="J683" i="14"/>
  <c r="J622" i="14"/>
  <c r="J481" i="14"/>
  <c r="J433" i="14"/>
  <c r="J386" i="14"/>
  <c r="J297" i="14"/>
  <c r="J258" i="14"/>
  <c r="J219" i="14"/>
  <c r="J142" i="14"/>
  <c r="J109" i="14"/>
  <c r="J31" i="14"/>
  <c r="J955" i="14"/>
  <c r="J845" i="14"/>
  <c r="J671" i="14"/>
  <c r="J618" i="14"/>
  <c r="J521" i="14"/>
  <c r="J430" i="14"/>
  <c r="J383" i="14"/>
  <c r="J335" i="14"/>
  <c r="J218" i="14"/>
  <c r="J180" i="14"/>
  <c r="J141" i="14"/>
  <c r="J30" i="14"/>
  <c r="J941" i="14"/>
  <c r="J739" i="14"/>
  <c r="J611" i="14"/>
  <c r="J569" i="14"/>
  <c r="J520" i="14"/>
  <c r="J375" i="14"/>
  <c r="J334" i="14"/>
  <c r="J252" i="14"/>
  <c r="J174" i="14"/>
  <c r="J139" i="14"/>
  <c r="J62" i="14"/>
  <c r="J940" i="14"/>
  <c r="J830" i="14"/>
  <c r="J662" i="14"/>
  <c r="J561" i="14"/>
  <c r="J513" i="14"/>
  <c r="J422" i="14"/>
  <c r="J374" i="14"/>
  <c r="J283" i="14"/>
  <c r="J213" i="14"/>
  <c r="J135" i="14"/>
  <c r="J96" i="14"/>
  <c r="J23" i="14"/>
  <c r="J927" i="14"/>
  <c r="J661" i="14"/>
  <c r="J609" i="14"/>
  <c r="J559" i="14"/>
  <c r="J465" i="14"/>
  <c r="J373" i="14"/>
  <c r="J324" i="14"/>
  <c r="J205" i="14"/>
  <c r="J172" i="14"/>
  <c r="J134" i="14"/>
  <c r="J17" i="14"/>
  <c r="J915" i="14"/>
  <c r="J715" i="14"/>
  <c r="J600" i="14"/>
  <c r="J552" i="14"/>
  <c r="J508" i="14"/>
  <c r="J364" i="14"/>
  <c r="J317" i="14"/>
  <c r="J281" i="14"/>
  <c r="J166" i="14"/>
  <c r="J126" i="14"/>
  <c r="J94" i="14"/>
  <c r="J910" i="14"/>
  <c r="J805" i="14"/>
  <c r="J599" i="14"/>
  <c r="J551" i="14"/>
  <c r="J504" i="14"/>
  <c r="J412" i="14"/>
  <c r="J316" i="14"/>
  <c r="J277" i="14"/>
  <c r="J203" i="14"/>
  <c r="J125" i="14"/>
  <c r="J87" i="14"/>
  <c r="J15" i="14"/>
  <c r="J794" i="14"/>
  <c r="J708" i="14"/>
  <c r="J591" i="14"/>
  <c r="J501" i="14"/>
  <c r="J453" i="14"/>
  <c r="J355" i="14"/>
  <c r="J276" i="14"/>
  <c r="J237" i="14"/>
  <c r="J159" i="14"/>
  <c r="J86" i="14"/>
  <c r="J9" i="14"/>
  <c r="J885" i="14"/>
  <c r="J703" i="14"/>
  <c r="J590" i="14"/>
  <c r="J543" i="14"/>
  <c r="J451" i="14"/>
  <c r="J354" i="14"/>
  <c r="J309" i="14"/>
  <c r="J233" i="14"/>
  <c r="J158" i="14"/>
  <c r="J120" i="14"/>
  <c r="J46" i="14"/>
  <c r="J883" i="14"/>
  <c r="J781" i="14"/>
  <c r="J630" i="14"/>
  <c r="J540" i="14"/>
  <c r="J492" i="14"/>
  <c r="J395" i="14"/>
  <c r="J307" i="14"/>
  <c r="J267" i="14"/>
  <c r="J190" i="14"/>
  <c r="J119" i="14"/>
  <c r="J79" i="14"/>
  <c r="J966" i="14"/>
  <c r="J859" i="14"/>
  <c r="J761" i="14"/>
  <c r="J684" i="14"/>
  <c r="J626" i="14"/>
  <c r="J579" i="14"/>
  <c r="J531" i="14"/>
  <c r="J390" i="14"/>
  <c r="J220" i="14"/>
  <c r="J72" i="14"/>
  <c r="J855" i="14"/>
  <c r="J530" i="14"/>
  <c r="J336" i="14"/>
  <c r="J181" i="14"/>
  <c r="J71" i="14"/>
  <c r="J749" i="14"/>
  <c r="J473" i="14"/>
  <c r="J292" i="14"/>
  <c r="J102" i="14"/>
  <c r="J831" i="14"/>
  <c r="J472" i="14"/>
  <c r="J291" i="14"/>
  <c r="J101" i="14"/>
  <c r="J736" i="14"/>
  <c r="J469" i="14"/>
  <c r="J251" i="14"/>
  <c r="J61" i="14"/>
  <c r="J727" i="14"/>
  <c r="J414" i="14"/>
  <c r="J244" i="14"/>
  <c r="J57" i="14"/>
  <c r="J649" i="14"/>
  <c r="J461" i="14"/>
  <c r="J243" i="14"/>
  <c r="J55" i="14"/>
  <c r="J714" i="14"/>
  <c r="J454" i="14"/>
  <c r="J238" i="14"/>
  <c r="J48" i="14"/>
  <c r="J639" i="14"/>
  <c r="J403" i="14"/>
  <c r="J198" i="14"/>
  <c r="J47" i="14"/>
  <c r="J638" i="14"/>
  <c r="J402" i="14"/>
  <c r="J197" i="14"/>
  <c r="J7" i="14"/>
  <c r="J587" i="14"/>
  <c r="J351" i="14"/>
  <c r="J155" i="14"/>
  <c r="J571" i="14"/>
  <c r="J570" i="14"/>
  <c r="J253" i="14"/>
  <c r="J63" i="14"/>
  <c r="J670" i="14"/>
  <c r="J425" i="14"/>
  <c r="J214" i="14"/>
  <c r="J24" i="14"/>
  <c r="J610" i="14"/>
  <c r="J325" i="14"/>
  <c r="J173" i="14"/>
  <c r="J819" i="14"/>
  <c r="J511" i="14"/>
  <c r="J282" i="14"/>
  <c r="J95" i="14"/>
  <c r="J806" i="14"/>
  <c r="J413" i="14"/>
  <c r="J204" i="14"/>
  <c r="J16" i="14"/>
  <c r="J648" i="14"/>
  <c r="J363" i="14"/>
  <c r="J165" i="14"/>
  <c r="J899" i="14"/>
  <c r="J547" i="14"/>
  <c r="J315" i="14"/>
  <c r="J124" i="14"/>
  <c r="J782" i="14"/>
  <c r="J493" i="14"/>
  <c r="J268" i="14"/>
  <c r="J81" i="14"/>
  <c r="J695" i="14"/>
  <c r="J443" i="14"/>
  <c r="J229" i="14"/>
  <c r="J41" i="14"/>
  <c r="J21" i="16"/>
  <c r="AI5" i="18" s="1"/>
  <c r="AC31" i="18"/>
  <c r="AI26" i="18"/>
  <c r="W9" i="18"/>
  <c r="W16" i="18"/>
  <c r="Q35" i="18"/>
  <c r="N9" i="18"/>
  <c r="AC10" i="18"/>
  <c r="AL31" i="18"/>
  <c r="Z20" i="18"/>
  <c r="N30" i="18"/>
  <c r="Q7" i="18"/>
  <c r="AC24" i="18"/>
  <c r="H19" i="18"/>
  <c r="W23" i="18"/>
  <c r="Z34" i="18"/>
  <c r="AL10" i="18"/>
  <c r="T18" i="18"/>
  <c r="E15" i="18"/>
  <c r="AI19" i="18"/>
  <c r="K5" i="18"/>
  <c r="H5" i="18"/>
  <c r="T25" i="18"/>
  <c r="K19" i="18"/>
  <c r="T32" i="18"/>
  <c r="E8" i="18"/>
  <c r="AF29" i="18"/>
  <c r="AF22" i="18"/>
  <c r="AF8" i="18"/>
  <c r="N23" i="18"/>
  <c r="AI33" i="18"/>
  <c r="AC17" i="18"/>
  <c r="AL24" i="18"/>
  <c r="Q14" i="18"/>
  <c r="K26" i="18"/>
  <c r="Q28" i="18"/>
  <c r="AF15" i="18"/>
  <c r="AL17" i="18"/>
  <c r="Z27" i="18"/>
  <c r="H12" i="18"/>
  <c r="K33" i="18"/>
  <c r="Z6" i="18"/>
  <c r="T11" i="18"/>
  <c r="N16" i="18"/>
  <c r="AI12" i="18"/>
  <c r="Z13" i="18"/>
  <c r="K12" i="18"/>
  <c r="Q21" i="18"/>
  <c r="E29" i="18"/>
  <c r="E22" i="18"/>
  <c r="W30" i="18"/>
  <c r="H26" i="18"/>
  <c r="AL32" i="18"/>
  <c r="J20" i="16"/>
  <c r="AF30" i="18" s="1"/>
  <c r="AF16" i="18"/>
  <c r="AI13" i="18"/>
  <c r="K13" i="18"/>
  <c r="K6" i="18"/>
  <c r="W24" i="18"/>
  <c r="W31" i="18"/>
  <c r="E23" i="18"/>
  <c r="E16" i="18"/>
  <c r="AI34" i="18"/>
  <c r="Z35" i="18"/>
  <c r="T19" i="18"/>
  <c r="AI27" i="18"/>
  <c r="E30" i="18"/>
  <c r="AF9" i="18"/>
  <c r="AI20" i="18"/>
  <c r="Z28" i="18"/>
  <c r="W10" i="18"/>
  <c r="T33" i="18"/>
  <c r="Z14" i="18"/>
  <c r="J12" i="16"/>
  <c r="N24" i="18" s="1"/>
  <c r="AC25" i="18"/>
  <c r="Q15" i="18"/>
  <c r="K20" i="18"/>
  <c r="J16" i="16"/>
  <c r="T12" i="18" s="1"/>
  <c r="T5" i="18"/>
  <c r="N31" i="18"/>
  <c r="Q29" i="18"/>
  <c r="J11" i="16"/>
  <c r="Z7" i="18"/>
  <c r="AC32" i="18"/>
  <c r="AL25" i="18"/>
  <c r="AC18" i="18"/>
  <c r="T26" i="18"/>
  <c r="H20" i="18"/>
  <c r="Q8" i="18"/>
  <c r="AL11" i="18"/>
  <c r="W17" i="18"/>
  <c r="N10" i="18"/>
  <c r="H6" i="18"/>
  <c r="Q22" i="18"/>
  <c r="AL18" i="18"/>
  <c r="Z21" i="18"/>
  <c r="K34" i="18"/>
  <c r="H27" i="18"/>
  <c r="H13" i="18"/>
  <c r="E9" i="18"/>
  <c r="AC11" i="18"/>
  <c r="AI6" i="18"/>
  <c r="K27" i="18"/>
  <c r="AF23" i="18"/>
  <c r="L4" i="2"/>
  <c r="J10" i="16"/>
  <c r="E10" i="18" s="1"/>
  <c r="J22" i="16"/>
  <c r="J13" i="16"/>
  <c r="N25" i="18" s="1"/>
  <c r="AL12" i="18"/>
  <c r="AL19" i="18"/>
  <c r="Z15" i="18"/>
  <c r="Q9" i="18"/>
  <c r="E17" i="18"/>
  <c r="J17" i="16"/>
  <c r="T13" i="18" s="1"/>
  <c r="AF31" i="18"/>
  <c r="Z29" i="18"/>
  <c r="K14" i="18"/>
  <c r="N32" i="18"/>
  <c r="AL26" i="18"/>
  <c r="E31" i="18"/>
  <c r="K7" i="18"/>
  <c r="AF24" i="18"/>
  <c r="W32" i="18"/>
  <c r="T34" i="18"/>
  <c r="T27" i="18"/>
  <c r="AF10" i="18"/>
  <c r="AC5" i="18"/>
  <c r="T6" i="18"/>
  <c r="Z22" i="18"/>
  <c r="AC33" i="18"/>
  <c r="AL33" i="18"/>
  <c r="H28" i="18"/>
  <c r="W11" i="18"/>
  <c r="N11" i="18"/>
  <c r="N18" i="18"/>
  <c r="H21" i="18"/>
  <c r="K21" i="18"/>
  <c r="T20" i="18"/>
  <c r="E24" i="18"/>
  <c r="AC26" i="18"/>
  <c r="Q16" i="18"/>
  <c r="H14" i="18"/>
  <c r="H7" i="18"/>
  <c r="Z8" i="18"/>
  <c r="AF17" i="18"/>
  <c r="AC19" i="18"/>
  <c r="AI21" i="18"/>
  <c r="W25" i="18"/>
  <c r="Q30" i="18"/>
  <c r="W18" i="18"/>
  <c r="AL5" i="18"/>
  <c r="AI28" i="18"/>
  <c r="AI14" i="18"/>
  <c r="AI7" i="18"/>
  <c r="Q23" i="18"/>
  <c r="K35" i="18"/>
  <c r="AC12" i="18"/>
  <c r="Q27" i="17"/>
  <c r="R27" i="17" s="1"/>
  <c r="Q32" i="17"/>
  <c r="R32" i="17" s="1"/>
  <c r="Q29" i="17"/>
  <c r="R29" i="17" s="1"/>
  <c r="Q31" i="17"/>
  <c r="R31" i="17" s="1"/>
  <c r="Q30" i="17"/>
  <c r="R30" i="17" s="1"/>
  <c r="Q20" i="17"/>
  <c r="R20" i="17" s="1"/>
  <c r="L7" i="16"/>
  <c r="J7" i="16" s="1"/>
  <c r="Q23" i="17"/>
  <c r="R23" i="17" s="1"/>
  <c r="Q18" i="17"/>
  <c r="R18" i="17" s="1"/>
  <c r="N7" i="14"/>
  <c r="L51" i="18"/>
  <c r="AM51" i="18" s="1"/>
  <c r="N6" i="14"/>
  <c r="AD52" i="18"/>
  <c r="AM52" i="18" s="1"/>
  <c r="Q15" i="17"/>
  <c r="R15" i="17" s="1"/>
  <c r="AM43" i="18"/>
  <c r="Q26" i="17"/>
  <c r="R26" i="17" s="1"/>
  <c r="Q8" i="17"/>
  <c r="R8" i="17" s="1"/>
  <c r="Q9" i="17"/>
  <c r="R9" i="17" s="1"/>
  <c r="Q16" i="17"/>
  <c r="R16" i="17" s="1"/>
  <c r="Q19" i="17"/>
  <c r="R19" i="17" s="1"/>
  <c r="Q10" i="17"/>
  <c r="R10" i="17" s="1"/>
  <c r="Q5" i="17"/>
  <c r="R5" i="17" s="1"/>
  <c r="Q12" i="17"/>
  <c r="R12" i="17" s="1"/>
  <c r="Q14" i="17"/>
  <c r="R14" i="17" s="1"/>
  <c r="Q11" i="17"/>
  <c r="R11" i="17" s="1"/>
  <c r="Q4" i="17"/>
  <c r="R4" i="17" s="1"/>
  <c r="Q17" i="17"/>
  <c r="R17" i="17" s="1"/>
  <c r="Q13" i="17"/>
  <c r="R13" i="17" s="1"/>
  <c r="Q6" i="17"/>
  <c r="R6" i="17" s="1"/>
  <c r="Q7" i="17"/>
  <c r="R7" i="17" s="1"/>
  <c r="AA48" i="18"/>
  <c r="AD50" i="18"/>
  <c r="AA46" i="18"/>
  <c r="R47" i="18"/>
  <c r="AD48" i="18"/>
  <c r="L47" i="18"/>
  <c r="Q3" i="17"/>
  <c r="R3" i="17" s="1"/>
  <c r="AK32" i="18"/>
  <c r="AK33" i="18"/>
  <c r="AK28" i="18"/>
  <c r="H7" i="16" l="1"/>
  <c r="N17" i="18"/>
  <c r="F39" i="18"/>
  <c r="U39" i="18"/>
  <c r="X39" i="18"/>
  <c r="AA39" i="18"/>
  <c r="N8" i="14"/>
  <c r="AA50" i="18"/>
  <c r="AA54" i="18" s="1"/>
  <c r="N10" i="14"/>
  <c r="U49" i="18"/>
  <c r="C50" i="18"/>
  <c r="F49" i="18"/>
  <c r="C49" i="18"/>
  <c r="F48" i="18"/>
  <c r="AG46" i="18"/>
  <c r="AG54" i="18" s="1"/>
  <c r="L50" i="18"/>
  <c r="I48" i="18"/>
  <c r="O47" i="18"/>
  <c r="O48" i="18"/>
  <c r="L49" i="18"/>
  <c r="L48" i="18"/>
  <c r="X49" i="18"/>
  <c r="I46" i="18"/>
  <c r="AG39" i="18"/>
  <c r="AD39" i="18"/>
  <c r="L39" i="18"/>
  <c r="O39" i="18"/>
  <c r="AJ39" i="18"/>
  <c r="R39" i="18"/>
  <c r="I39" i="18"/>
  <c r="L3" i="3"/>
  <c r="L3" i="13"/>
  <c r="L3" i="7"/>
  <c r="L3" i="6"/>
  <c r="L3" i="9"/>
  <c r="L3" i="11"/>
  <c r="L3" i="10"/>
  <c r="L3" i="12"/>
  <c r="L3" i="8"/>
  <c r="L3" i="4"/>
  <c r="L3" i="5"/>
  <c r="L5" i="5" l="1"/>
  <c r="L5" i="11"/>
  <c r="L5" i="3"/>
  <c r="L5" i="12"/>
  <c r="L5" i="4"/>
  <c r="L5" i="10"/>
  <c r="L5" i="7"/>
  <c r="L5" i="13"/>
  <c r="L5" i="9"/>
  <c r="L5" i="6"/>
  <c r="L5" i="8"/>
  <c r="AM50" i="18"/>
  <c r="C39" i="18" l="1"/>
  <c r="AM39" i="18" s="1"/>
  <c r="H4" i="16" s="1"/>
  <c r="L3" i="2"/>
  <c r="L5" i="2" l="1"/>
  <c r="AK31" i="18"/>
  <c r="F47" i="18" l="1"/>
  <c r="U46" i="18"/>
  <c r="U54" i="18" s="1"/>
  <c r="N5" i="14"/>
  <c r="C48" i="18"/>
  <c r="AM48" i="18" s="1"/>
  <c r="L46" i="18"/>
  <c r="L54" i="18" s="1"/>
  <c r="F46" i="18"/>
  <c r="C46" i="18"/>
  <c r="I47" i="18"/>
  <c r="R46" i="18" l="1"/>
  <c r="R54" i="18" s="1"/>
  <c r="F54" i="18"/>
  <c r="AM47" i="18"/>
  <c r="AD46" i="18" l="1"/>
  <c r="AD54" i="18" s="1"/>
  <c r="AJ46" i="18"/>
  <c r="AJ54" i="18" s="1"/>
  <c r="X46" i="18"/>
  <c r="X54" i="18" s="1"/>
  <c r="N3" i="14"/>
  <c r="O46" i="18"/>
  <c r="I49" i="18"/>
  <c r="AM49" i="18" s="1"/>
  <c r="AM46" i="18" l="1"/>
  <c r="J4" i="16" s="1"/>
  <c r="N4" i="16" s="1"/>
  <c r="N6" i="16" s="1"/>
  <c r="O54" i="18"/>
  <c r="I54" i="18"/>
  <c r="C54" i="18" l="1"/>
  <c r="AM54" i="18" s="1"/>
  <c r="R37" i="18" l="1"/>
  <c r="AG37" i="18"/>
  <c r="C37" i="18"/>
  <c r="C41" i="18" s="1"/>
  <c r="O37" i="18"/>
  <c r="I37" i="18"/>
  <c r="AJ37" i="18"/>
  <c r="AA37" i="18"/>
  <c r="L37" i="18"/>
  <c r="AD37" i="18"/>
  <c r="X37" i="18"/>
  <c r="U37" i="18"/>
  <c r="U41" i="18" l="1"/>
  <c r="U45" i="18"/>
  <c r="V55" i="18" s="1"/>
  <c r="X45" i="18"/>
  <c r="Y55" i="18" s="1"/>
  <c r="X41" i="18"/>
  <c r="AG41" i="18"/>
  <c r="AG45" i="18"/>
  <c r="AH55" i="18" s="1"/>
  <c r="AA45" i="18"/>
  <c r="AB55" i="18" s="1"/>
  <c r="AA41" i="18"/>
  <c r="AJ45" i="18"/>
  <c r="AK55" i="18" s="1"/>
  <c r="AJ41" i="18"/>
  <c r="AD45" i="18"/>
  <c r="AE55" i="18" s="1"/>
  <c r="AD41" i="18"/>
  <c r="I41" i="18"/>
  <c r="I45" i="18"/>
  <c r="J55" i="18" s="1"/>
  <c r="F45" i="18"/>
  <c r="G55" i="18" s="1"/>
  <c r="F41" i="18"/>
  <c r="C45" i="18"/>
  <c r="AM37" i="18"/>
  <c r="L41" i="18"/>
  <c r="L45" i="18"/>
  <c r="M55" i="18" s="1"/>
  <c r="O41" i="18"/>
  <c r="O45" i="18"/>
  <c r="P55" i="18" s="1"/>
  <c r="R41" i="18"/>
  <c r="R45" i="18"/>
  <c r="S55" i="18" s="1"/>
  <c r="AM45" i="18" l="1"/>
  <c r="AN55" i="18" s="1"/>
  <c r="D55" i="18"/>
  <c r="AM41" i="18"/>
  <c r="C56" i="18"/>
  <c r="L6" i="2"/>
  <c r="F56" i="18" l="1"/>
  <c r="L6" i="3"/>
  <c r="I56" i="18" l="1"/>
  <c r="L6" i="4"/>
  <c r="L56" i="18" l="1"/>
  <c r="L6" i="5"/>
  <c r="O56" i="18" l="1"/>
  <c r="L6" i="6"/>
  <c r="R56" i="18" l="1"/>
  <c r="L6" i="7"/>
  <c r="U56" i="18" l="1"/>
  <c r="L6" i="8"/>
  <c r="X56" i="18" l="1"/>
  <c r="L6" i="9"/>
  <c r="AA56" i="18" l="1"/>
  <c r="L6" i="10"/>
  <c r="AD56" i="18" l="1"/>
  <c r="L6" i="11"/>
  <c r="AG56" i="18" l="1"/>
  <c r="L6" i="12"/>
  <c r="AJ56" i="18" l="1"/>
  <c r="L6" i="13"/>
  <c r="AM56" i="18" l="1"/>
  <c r="L4" i="16" s="1"/>
</calcChain>
</file>

<file path=xl/sharedStrings.xml><?xml version="1.0" encoding="utf-8"?>
<sst xmlns="http://schemas.openxmlformats.org/spreadsheetml/2006/main" count="433" uniqueCount="131">
  <si>
    <t>Datum</t>
  </si>
  <si>
    <t>Projektname</t>
  </si>
  <si>
    <t>Arbeitspaket</t>
  </si>
  <si>
    <t>Leistungsbeschreibung</t>
  </si>
  <si>
    <t>Begin</t>
  </si>
  <si>
    <t>Ende</t>
  </si>
  <si>
    <t>Pause</t>
  </si>
  <si>
    <t>Stunden</t>
  </si>
  <si>
    <t>Urlaub</t>
  </si>
  <si>
    <t>Pflegeurlaub</t>
  </si>
  <si>
    <t>Krankenstand</t>
  </si>
  <si>
    <t>Beginn</t>
  </si>
  <si>
    <t>Ort</t>
  </si>
  <si>
    <t>Grund</t>
  </si>
  <si>
    <t>Hochzeit</t>
  </si>
  <si>
    <t>Umzug</t>
  </si>
  <si>
    <t>Zahnarzt</t>
  </si>
  <si>
    <t>Sterbefall</t>
  </si>
  <si>
    <t>U</t>
  </si>
  <si>
    <t>P</t>
  </si>
  <si>
    <t>K</t>
  </si>
  <si>
    <t>H</t>
  </si>
  <si>
    <t>Z</t>
  </si>
  <si>
    <t>S</t>
  </si>
  <si>
    <t>A</t>
  </si>
  <si>
    <t>Tag</t>
  </si>
  <si>
    <t>h</t>
  </si>
  <si>
    <t>Fr</t>
  </si>
  <si>
    <t>Sa</t>
  </si>
  <si>
    <t>Neujahr</t>
  </si>
  <si>
    <t>Heilige drei Könige</t>
  </si>
  <si>
    <t xml:space="preserve">Ostermontag </t>
  </si>
  <si>
    <t xml:space="preserve">Staatsfeiertag </t>
  </si>
  <si>
    <t xml:space="preserve">Christi Himmelfahrt </t>
  </si>
  <si>
    <t>Pfingstmontag</t>
  </si>
  <si>
    <t xml:space="preserve">Fronleichnam </t>
  </si>
  <si>
    <t xml:space="preserve">Mariä Himmelfahrt </t>
  </si>
  <si>
    <t xml:space="preserve">Nationalfeiertag </t>
  </si>
  <si>
    <t xml:space="preserve">Allerheiligen </t>
  </si>
  <si>
    <t xml:space="preserve">Mariä Empfängnis </t>
  </si>
  <si>
    <t>Heiliger Abend</t>
  </si>
  <si>
    <t xml:space="preserve">Christtag </t>
  </si>
  <si>
    <t xml:space="preserve">Stefanitag </t>
  </si>
  <si>
    <t xml:space="preserve">Silvester </t>
  </si>
  <si>
    <t>Mo</t>
  </si>
  <si>
    <t>Di</t>
  </si>
  <si>
    <t>Mi</t>
  </si>
  <si>
    <t>Do</t>
  </si>
  <si>
    <t>SOLL</t>
  </si>
  <si>
    <t>IST</t>
  </si>
  <si>
    <t>SALDO</t>
  </si>
  <si>
    <t>Pfingstsonntag</t>
  </si>
  <si>
    <t xml:space="preserve">Ostersonntag </t>
  </si>
  <si>
    <t>So</t>
  </si>
  <si>
    <t>##</t>
  </si>
  <si>
    <t>Name:</t>
  </si>
  <si>
    <t>Gesamt:</t>
  </si>
  <si>
    <t>Gearbeitet:</t>
  </si>
  <si>
    <t>Offen:</t>
  </si>
  <si>
    <t>Arbeitswoche:</t>
  </si>
  <si>
    <t>Firma:</t>
  </si>
  <si>
    <t>Urlaubsübertrag:</t>
  </si>
  <si>
    <t>Urlaubsanspruch:</t>
  </si>
  <si>
    <t>Feiertage:</t>
  </si>
  <si>
    <t>Jahr:</t>
  </si>
  <si>
    <t>GLEITZEIT</t>
  </si>
  <si>
    <t>Zeitaufzeichnung</t>
  </si>
  <si>
    <t>Monat:</t>
  </si>
  <si>
    <t>Organisation:</t>
  </si>
  <si>
    <t>Person:</t>
  </si>
  <si>
    <t>Saldo:</t>
  </si>
  <si>
    <t>Summe</t>
  </si>
  <si>
    <t>Zeitrahmen</t>
  </si>
  <si>
    <t>Saldo</t>
  </si>
  <si>
    <t>Jahresarbeitszeit:</t>
  </si>
  <si>
    <t>Gleitzeitübertrag:</t>
  </si>
  <si>
    <t>Palmsonntag</t>
  </si>
  <si>
    <t>URLAUB</t>
  </si>
  <si>
    <t>PFLEGEURLAUB</t>
  </si>
  <si>
    <t>KRANKENSTAND</t>
  </si>
  <si>
    <t>#</t>
  </si>
  <si>
    <t>ABWESENHEIT</t>
  </si>
  <si>
    <t>ARBEIT</t>
  </si>
  <si>
    <t>Arztbesuch</t>
  </si>
  <si>
    <t>ARZTBESUCH</t>
  </si>
  <si>
    <t>ZAHNARZT</t>
  </si>
  <si>
    <t>UMZUG</t>
  </si>
  <si>
    <t>HOCHZEIT</t>
  </si>
  <si>
    <t>STERBEFALL</t>
  </si>
  <si>
    <t>Urlaubssaldo:</t>
  </si>
  <si>
    <t>SUMME</t>
  </si>
  <si>
    <t>Kommentar</t>
  </si>
  <si>
    <t>Akronym</t>
  </si>
  <si>
    <t>Projektnamen:</t>
  </si>
  <si>
    <t>Arbeitspakete:</t>
  </si>
  <si>
    <t>Projekte</t>
  </si>
  <si>
    <t>Pakete</t>
  </si>
  <si>
    <t>Gleitzeitsaldo:</t>
  </si>
  <si>
    <t>Eintritt:</t>
  </si>
  <si>
    <t>Austritt:</t>
  </si>
  <si>
    <t>Fiktive Arbeitszeiten</t>
  </si>
  <si>
    <t>Kostenstelle</t>
  </si>
  <si>
    <t>Beleg</t>
  </si>
  <si>
    <t>Hinreise</t>
  </si>
  <si>
    <t>Ziel</t>
  </si>
  <si>
    <t>Rückreise</t>
  </si>
  <si>
    <t>Zweck</t>
  </si>
  <si>
    <t>Adresse</t>
  </si>
  <si>
    <t>Zeitpunkt</t>
  </si>
  <si>
    <t>V</t>
  </si>
  <si>
    <t>E</t>
  </si>
  <si>
    <t>G</t>
  </si>
  <si>
    <t>Beschreibung</t>
  </si>
  <si>
    <t>Nächtigung</t>
  </si>
  <si>
    <t>Land</t>
  </si>
  <si>
    <t>PLZ</t>
  </si>
  <si>
    <t>Straße</t>
  </si>
  <si>
    <t>Zeit</t>
  </si>
  <si>
    <t>Nr.</t>
  </si>
  <si>
    <t>Behördentermin</t>
  </si>
  <si>
    <t>T</t>
  </si>
  <si>
    <t>Research Institute AG &amp; Co KG</t>
  </si>
  <si>
    <t>FUE</t>
  </si>
  <si>
    <t>ADMIN</t>
  </si>
  <si>
    <t>AP0</t>
  </si>
  <si>
    <t>CSER</t>
  </si>
  <si>
    <t>Cyber-Security Escape Room</t>
  </si>
  <si>
    <t>Projektentwicklung Cyber-Security Escape Room - Einführung in Cybersicherheit; Grundlagen; Literaturliste lesen</t>
  </si>
  <si>
    <t>Lektüre von Literaturliste (vor allem wiki.atlaws.eu) und offizielle Dokumente (Recherche nach Übersichten)</t>
  </si>
  <si>
    <t>SEP</t>
  </si>
  <si>
    <t>Aya Helli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</si>
</sst>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€&quot;\ #,##0.00;[Red]\-&quot;€&quot;\ #,##0.00"/>
    <numFmt numFmtId="164" formatCode="[hh]&quot;:&quot;mm"/>
    <numFmt numFmtId="165" formatCode="dd&quot;.&quot;mm&quot;.&quot;yyyy"/>
    <numFmt numFmtId="166" formatCode="ddd"/>
    <numFmt numFmtId="167" formatCode="[h]:mm"/>
    <numFmt numFmtId="168" formatCode="dd/mm/yyyy;@"/>
    <numFmt numFmtId="169" formatCode="mmmm"/>
    <numFmt numFmtId="170" formatCode="0.0"/>
    <numFmt numFmtId="171" formatCode="00"/>
    <numFmt numFmtId="172" formatCode="0.00_ ;[Red]\-0.00\ "/>
    <numFmt numFmtId="173" formatCode="[hh]:mm"/>
    <numFmt numFmtId="174" formatCode="#,##0.00_ ;[Red]\-#,##0.00\ "/>
    <numFmt numFmtId="175" formatCode="0.0\ \k\m"/>
    <numFmt numFmtId="176" formatCode="#,##0.00\ \h\ \ \ \ \ _ ;[Red]\-#,##0.00\ \h\ \ \ \ \ \ "/>
    <numFmt numFmtId="177" formatCode="#,##0.00\ \h\ \ \ \ _ ;[Red]\-#,##0.00\ \h\ \ \ \ \ "/>
  </numFmts>
  <fonts count="3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8"/>
      <color rgb="FF44546A"/>
      <name val="Calibri Light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1"/>
      <color rgb="FFFFFFFF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3F3F76"/>
      <name val="Calibri"/>
      <family val="2"/>
    </font>
    <font>
      <b/>
      <sz val="11"/>
      <color rgb="FF0000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sz val="11"/>
      <color rgb="FF9C6500"/>
      <name val="Calibri"/>
      <family val="2"/>
    </font>
    <font>
      <sz val="11"/>
      <color rgb="FF9C0006"/>
      <name val="Calibri"/>
      <family val="2"/>
    </font>
    <font>
      <sz val="11"/>
      <color rgb="FFFA7D00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0"/>
      <color rgb="FF000000"/>
      <name val="Verdana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indexed="12"/>
      <name val="Arial"/>
      <family val="2"/>
    </font>
    <font>
      <sz val="14"/>
      <color indexed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sz val="14"/>
      <name val="Arial"/>
      <family val="2"/>
    </font>
    <font>
      <sz val="10"/>
      <color rgb="FF000000"/>
      <name val="Verdan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8EA9DB"/>
        <bgColor rgb="FF8EA9DB"/>
      </patternFill>
    </fill>
    <fill>
      <patternFill patternType="solid">
        <fgColor rgb="FFA9D08E"/>
        <bgColor rgb="FFA9D08E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C7CE"/>
        <bgColor rgb="FFFFC7CE"/>
      </patternFill>
    </fill>
    <fill>
      <patternFill patternType="solid">
        <fgColor rgb="FFD6DCE4"/>
        <bgColor rgb="FFD6DCE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rgb="FFFFFFCC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B9BD5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rgb="FF9BC2E6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13" fillId="28" borderId="0" applyNumberFormat="0" applyBorder="0" applyAlignment="0" applyProtection="0"/>
    <xf numFmtId="0" fontId="15" fillId="31" borderId="0" applyNumberFormat="0" applyBorder="0" applyAlignment="0" applyProtection="0"/>
    <xf numFmtId="0" fontId="14" fillId="29" borderId="0" applyNumberFormat="0" applyBorder="0" applyAlignment="0" applyProtection="0"/>
    <xf numFmtId="0" fontId="10" fillId="27" borderId="1" applyNumberFormat="0" applyAlignment="0" applyProtection="0"/>
    <xf numFmtId="0" fontId="8" fillId="26" borderId="2" applyNumberFormat="0" applyAlignment="0" applyProtection="0"/>
    <xf numFmtId="0" fontId="9" fillId="26" borderId="1" applyNumberFormat="0" applyAlignment="0" applyProtection="0"/>
    <xf numFmtId="0" fontId="16" fillId="0" borderId="3" applyNumberFormat="0" applyFill="0" applyAlignment="0" applyProtection="0"/>
    <xf numFmtId="0" fontId="18" fillId="22" borderId="4" applyNumberFormat="0" applyAlignment="0" applyProtection="0"/>
    <xf numFmtId="0" fontId="17" fillId="0" borderId="0" applyNumberFormat="0" applyFill="0" applyBorder="0" applyAlignment="0" applyProtection="0"/>
    <xf numFmtId="0" fontId="2" fillId="30" borderId="5" applyNumberFormat="0" applyFont="0" applyAlignment="0" applyProtection="0"/>
    <xf numFmtId="0" fontId="12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7" fillId="20" borderId="0" applyNumberFormat="0" applyBorder="0" applyAlignment="0" applyProtection="0"/>
    <xf numFmtId="0" fontId="2" fillId="2" borderId="0" applyNumberFormat="0" applyFont="0" applyBorder="0" applyAlignment="0" applyProtection="0"/>
    <xf numFmtId="0" fontId="2" fillId="8" borderId="0" applyNumberFormat="0" applyFon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2" fillId="3" borderId="0" applyNumberFormat="0" applyFont="0" applyBorder="0" applyAlignment="0" applyProtection="0"/>
    <xf numFmtId="0" fontId="2" fillId="9" borderId="0" applyNumberFormat="0" applyFont="0" applyBorder="0" applyAlignment="0" applyProtection="0"/>
    <xf numFmtId="0" fontId="7" fillId="15" borderId="0" applyNumberFormat="0" applyBorder="0" applyAlignment="0" applyProtection="0"/>
    <xf numFmtId="0" fontId="7" fillId="22" borderId="0" applyNumberFormat="0" applyBorder="0" applyAlignment="0" applyProtection="0"/>
    <xf numFmtId="0" fontId="2" fillId="4" borderId="0" applyNumberFormat="0" applyFont="0" applyBorder="0" applyAlignment="0" applyProtection="0"/>
    <xf numFmtId="0" fontId="2" fillId="10" borderId="0" applyNumberFormat="0" applyFon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2" fillId="5" borderId="0" applyNumberFormat="0" applyFont="0" applyBorder="0" applyAlignment="0" applyProtection="0"/>
    <xf numFmtId="0" fontId="2" fillId="11" borderId="0" applyNumberFormat="0" applyFont="0" applyBorder="0" applyAlignment="0" applyProtection="0"/>
    <xf numFmtId="0" fontId="7" fillId="17" borderId="0" applyNumberFormat="0" applyBorder="0" applyAlignment="0" applyProtection="0"/>
    <xf numFmtId="0" fontId="7" fillId="24" borderId="0" applyNumberFormat="0" applyBorder="0" applyAlignment="0" applyProtection="0"/>
    <xf numFmtId="0" fontId="2" fillId="6" borderId="0" applyNumberFormat="0" applyFont="0" applyBorder="0" applyAlignment="0" applyProtection="0"/>
    <xf numFmtId="0" fontId="2" fillId="12" borderId="0" applyNumberFormat="0" applyFont="0" applyBorder="0" applyAlignment="0" applyProtection="0"/>
    <xf numFmtId="0" fontId="7" fillId="18" borderId="0" applyNumberFormat="0" applyBorder="0" applyAlignment="0" applyProtection="0"/>
    <xf numFmtId="0" fontId="7" fillId="25" borderId="0" applyNumberFormat="0" applyBorder="0" applyAlignment="0" applyProtection="0"/>
    <xf numFmtId="0" fontId="2" fillId="7" borderId="0" applyNumberFormat="0" applyFont="0" applyBorder="0" applyAlignment="0" applyProtection="0"/>
    <xf numFmtId="0" fontId="2" fillId="13" borderId="0" applyNumberFormat="0" applyFont="0" applyBorder="0" applyAlignment="0" applyProtection="0"/>
    <xf numFmtId="0" fontId="7" fillId="19" borderId="0" applyNumberFormat="0" applyBorder="0" applyAlignment="0" applyProtection="0"/>
    <xf numFmtId="0" fontId="30" fillId="0" borderId="0"/>
    <xf numFmtId="0" fontId="1" fillId="0" borderId="0"/>
  </cellStyleXfs>
  <cellXfs count="135">
    <xf numFmtId="0" fontId="0" fillId="0" borderId="0" xfId="0"/>
    <xf numFmtId="0" fontId="0" fillId="32" borderId="10" xfId="0" applyFill="1" applyBorder="1"/>
    <xf numFmtId="0" fontId="0" fillId="32" borderId="11" xfId="0" applyFill="1" applyBorder="1"/>
    <xf numFmtId="0" fontId="0" fillId="32" borderId="10" xfId="0" applyFill="1" applyBorder="1" applyAlignment="1">
      <alignment horizontal="center"/>
    </xf>
    <xf numFmtId="0" fontId="0" fillId="32" borderId="10" xfId="0" applyFill="1" applyBorder="1" applyAlignment="1">
      <alignment horizontal="right"/>
    </xf>
    <xf numFmtId="164" fontId="19" fillId="0" borderId="10" xfId="0" applyNumberFormat="1" applyFont="1" applyBorder="1"/>
    <xf numFmtId="0" fontId="0" fillId="0" borderId="13" xfId="0" applyBorder="1"/>
    <xf numFmtId="0" fontId="20" fillId="33" borderId="15" xfId="0" applyFont="1" applyFill="1" applyBorder="1" applyAlignment="1" applyProtection="1">
      <alignment horizontal="center" vertical="center"/>
      <protection hidden="1"/>
    </xf>
    <xf numFmtId="14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3" fontId="27" fillId="36" borderId="16" xfId="0" applyNumberFormat="1" applyFont="1" applyFill="1" applyBorder="1" applyAlignment="1" applyProtection="1">
      <alignment horizontal="left" vertical="center"/>
      <protection hidden="1"/>
    </xf>
    <xf numFmtId="2" fontId="29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24" fillId="0" borderId="18" xfId="0" applyFont="1" applyBorder="1" applyAlignment="1" applyProtection="1">
      <alignment horizontal="center" vertical="center"/>
      <protection hidden="1"/>
    </xf>
    <xf numFmtId="0" fontId="26" fillId="35" borderId="17" xfId="0" applyFont="1" applyFill="1" applyBorder="1" applyAlignment="1" applyProtection="1">
      <alignment vertical="center"/>
      <protection hidden="1"/>
    </xf>
    <xf numFmtId="166" fontId="27" fillId="38" borderId="18" xfId="0" applyNumberFormat="1" applyFont="1" applyFill="1" applyBorder="1" applyAlignment="1" applyProtection="1">
      <alignment horizontal="left" vertical="center"/>
      <protection hidden="1"/>
    </xf>
    <xf numFmtId="166" fontId="27" fillId="36" borderId="18" xfId="0" applyNumberFormat="1" applyFont="1" applyFill="1" applyBorder="1" applyAlignment="1" applyProtection="1">
      <alignment horizontal="left" vertical="center"/>
      <protection hidden="1"/>
    </xf>
    <xf numFmtId="166" fontId="27" fillId="37" borderId="18" xfId="0" applyNumberFormat="1" applyFont="1" applyFill="1" applyBorder="1" applyAlignment="1" applyProtection="1">
      <alignment horizontal="left" vertical="center"/>
      <protection hidden="1"/>
    </xf>
    <xf numFmtId="173" fontId="28" fillId="33" borderId="17" xfId="0" applyNumberFormat="1" applyFont="1" applyFill="1" applyBorder="1" applyAlignment="1" applyProtection="1">
      <alignment horizontal="center" vertical="center"/>
      <protection hidden="1"/>
    </xf>
    <xf numFmtId="173" fontId="27" fillId="36" borderId="24" xfId="0" applyNumberFormat="1" applyFont="1" applyFill="1" applyBorder="1" applyAlignment="1" applyProtection="1">
      <alignment horizontal="center" vertical="center"/>
      <protection hidden="1"/>
    </xf>
    <xf numFmtId="173" fontId="27" fillId="37" borderId="24" xfId="0" applyNumberFormat="1" applyFont="1" applyFill="1" applyBorder="1" applyAlignment="1" applyProtection="1">
      <alignment horizontal="center" vertical="center"/>
      <protection hidden="1"/>
    </xf>
    <xf numFmtId="173" fontId="27" fillId="36" borderId="28" xfId="0" applyNumberFormat="1" applyFont="1" applyFill="1" applyBorder="1" applyAlignment="1" applyProtection="1">
      <alignment horizontal="left" vertical="center"/>
      <protection hidden="1"/>
    </xf>
    <xf numFmtId="173" fontId="27" fillId="36" borderId="29" xfId="0" applyNumberFormat="1" applyFont="1" applyFill="1" applyBorder="1" applyAlignment="1" applyProtection="1">
      <alignment horizontal="left" vertical="center"/>
      <protection hidden="1"/>
    </xf>
    <xf numFmtId="173" fontId="27" fillId="37" borderId="30" xfId="0" applyNumberFormat="1" applyFont="1" applyFill="1" applyBorder="1" applyAlignment="1" applyProtection="1">
      <alignment horizontal="left" vertical="center"/>
      <protection hidden="1"/>
    </xf>
    <xf numFmtId="173" fontId="27" fillId="37" borderId="31" xfId="0" applyNumberFormat="1" applyFont="1" applyFill="1" applyBorder="1" applyAlignment="1" applyProtection="1">
      <alignment horizontal="left" vertical="center"/>
      <protection hidden="1"/>
    </xf>
    <xf numFmtId="173" fontId="27" fillId="37" borderId="32" xfId="0" applyNumberFormat="1" applyFont="1" applyFill="1" applyBorder="1" applyAlignment="1" applyProtection="1">
      <alignment horizontal="left" vertical="center"/>
      <protection hidden="1"/>
    </xf>
    <xf numFmtId="166" fontId="0" fillId="0" borderId="12" xfId="0" applyNumberFormat="1" applyBorder="1" applyAlignment="1">
      <alignment horizontal="center"/>
    </xf>
    <xf numFmtId="168" fontId="0" fillId="0" borderId="12" xfId="0" applyNumberFormat="1" applyBorder="1"/>
    <xf numFmtId="174" fontId="0" fillId="0" borderId="13" xfId="0" applyNumberFormat="1" applyBorder="1"/>
    <xf numFmtId="0" fontId="0" fillId="32" borderId="13" xfId="0" applyFill="1" applyBorder="1" applyAlignment="1">
      <alignment horizontal="center"/>
    </xf>
    <xf numFmtId="0" fontId="0" fillId="32" borderId="13" xfId="0" applyFill="1" applyBorder="1" applyAlignment="1">
      <alignment horizontal="right"/>
    </xf>
    <xf numFmtId="0" fontId="22" fillId="0" borderId="0" xfId="0" applyFont="1" applyAlignment="1" applyProtection="1">
      <alignment vertical="center"/>
      <protection hidden="1"/>
    </xf>
    <xf numFmtId="164" fontId="20" fillId="33" borderId="0" xfId="0" applyNumberFormat="1" applyFont="1" applyFill="1" applyAlignment="1" applyProtection="1">
      <alignment horizontal="center" vertical="center"/>
      <protection hidden="1"/>
    </xf>
    <xf numFmtId="167" fontId="20" fillId="34" borderId="0" xfId="0" applyNumberFormat="1" applyFont="1" applyFill="1" applyAlignment="1" applyProtection="1">
      <alignment horizontal="center" vertical="center"/>
      <protection hidden="1"/>
    </xf>
    <xf numFmtId="166" fontId="20" fillId="34" borderId="33" xfId="0" applyNumberFormat="1" applyFont="1" applyFill="1" applyBorder="1" applyAlignment="1" applyProtection="1">
      <alignment horizontal="left" vertical="center"/>
      <protection hidden="1"/>
    </xf>
    <xf numFmtId="171" fontId="22" fillId="33" borderId="34" xfId="0" applyNumberFormat="1" applyFont="1" applyFill="1" applyBorder="1" applyAlignment="1" applyProtection="1">
      <alignment horizontal="center" vertical="center"/>
      <protection hidden="1"/>
    </xf>
    <xf numFmtId="171" fontId="22" fillId="33" borderId="35" xfId="0" applyNumberFormat="1" applyFont="1" applyFill="1" applyBorder="1" applyAlignment="1" applyProtection="1">
      <alignment horizontal="center" vertical="center"/>
      <protection hidden="1"/>
    </xf>
    <xf numFmtId="0" fontId="25" fillId="33" borderId="13" xfId="0" applyFont="1" applyFill="1" applyBorder="1" applyAlignment="1" applyProtection="1">
      <alignment horizontal="center" vertical="center"/>
      <protection hidden="1"/>
    </xf>
    <xf numFmtId="2" fontId="0" fillId="0" borderId="0" xfId="0" applyNumberFormat="1"/>
    <xf numFmtId="0" fontId="0" fillId="32" borderId="13" xfId="0" applyFill="1" applyBorder="1"/>
    <xf numFmtId="166" fontId="29" fillId="0" borderId="13" xfId="0" applyNumberFormat="1" applyFont="1" applyBorder="1" applyAlignment="1">
      <alignment horizontal="center"/>
    </xf>
    <xf numFmtId="0" fontId="0" fillId="32" borderId="13" xfId="0" applyFill="1" applyBorder="1" applyProtection="1">
      <protection hidden="1"/>
    </xf>
    <xf numFmtId="165" fontId="11" fillId="0" borderId="13" xfId="0" applyNumberFormat="1" applyFont="1" applyBorder="1" applyProtection="1">
      <protection hidden="1"/>
    </xf>
    <xf numFmtId="166" fontId="20" fillId="34" borderId="37" xfId="0" applyNumberFormat="1" applyFont="1" applyFill="1" applyBorder="1" applyAlignment="1" applyProtection="1">
      <alignment horizontal="left" vertical="center"/>
      <protection hidden="1"/>
    </xf>
    <xf numFmtId="164" fontId="20" fillId="33" borderId="38" xfId="0" applyNumberFormat="1" applyFont="1" applyFill="1" applyBorder="1" applyAlignment="1" applyProtection="1">
      <alignment horizontal="center" vertical="center"/>
      <protection hidden="1"/>
    </xf>
    <xf numFmtId="174" fontId="0" fillId="0" borderId="0" xfId="0" applyNumberFormat="1"/>
    <xf numFmtId="2" fontId="22" fillId="0" borderId="0" xfId="0" applyNumberFormat="1" applyFont="1" applyAlignment="1" applyProtection="1">
      <alignment vertical="center"/>
      <protection hidden="1"/>
    </xf>
    <xf numFmtId="164" fontId="19" fillId="0" borderId="13" xfId="0" applyNumberFormat="1" applyFont="1" applyBorder="1" applyAlignment="1">
      <alignment horizontal="right"/>
    </xf>
    <xf numFmtId="165" fontId="32" fillId="0" borderId="18" xfId="0" applyNumberFormat="1" applyFont="1" applyBorder="1" applyAlignment="1">
      <alignment horizontal="center"/>
    </xf>
    <xf numFmtId="49" fontId="0" fillId="0" borderId="0" xfId="0" applyNumberFormat="1"/>
    <xf numFmtId="49" fontId="22" fillId="0" borderId="0" xfId="0" applyNumberFormat="1" applyFont="1" applyAlignment="1" applyProtection="1">
      <alignment vertical="center"/>
      <protection hidden="1"/>
    </xf>
    <xf numFmtId="0" fontId="32" fillId="0" borderId="13" xfId="0" applyFont="1" applyBorder="1" applyProtection="1">
      <protection hidden="1"/>
    </xf>
    <xf numFmtId="2" fontId="32" fillId="0" borderId="13" xfId="0" applyNumberFormat="1" applyFont="1" applyBorder="1" applyProtection="1">
      <protection hidden="1"/>
    </xf>
    <xf numFmtId="0" fontId="0" fillId="39" borderId="13" xfId="0" applyFill="1" applyBorder="1" applyProtection="1">
      <protection locked="0"/>
    </xf>
    <xf numFmtId="174" fontId="0" fillId="39" borderId="13" xfId="0" applyNumberFormat="1" applyFill="1" applyBorder="1" applyProtection="1">
      <protection locked="0"/>
    </xf>
    <xf numFmtId="171" fontId="0" fillId="39" borderId="12" xfId="0" applyNumberFormat="1" applyFill="1" applyBorder="1" applyProtection="1">
      <protection locked="0"/>
    </xf>
    <xf numFmtId="0" fontId="0" fillId="39" borderId="12" xfId="0" applyFill="1" applyBorder="1" applyProtection="1">
      <protection locked="0"/>
    </xf>
    <xf numFmtId="164" fontId="0" fillId="39" borderId="10" xfId="0" applyNumberFormat="1" applyFill="1" applyBorder="1" applyProtection="1">
      <protection locked="0"/>
    </xf>
    <xf numFmtId="165" fontId="29" fillId="39" borderId="13" xfId="0" applyNumberFormat="1" applyFont="1" applyFill="1" applyBorder="1" applyAlignment="1" applyProtection="1">
      <alignment horizontal="center"/>
      <protection locked="0"/>
    </xf>
    <xf numFmtId="0" fontId="0" fillId="39" borderId="13" xfId="0" applyFill="1" applyBorder="1"/>
    <xf numFmtId="164" fontId="29" fillId="39" borderId="13" xfId="0" applyNumberFormat="1" applyFont="1" applyFill="1" applyBorder="1" applyAlignment="1" applyProtection="1">
      <alignment horizontal="right"/>
      <protection locked="0"/>
    </xf>
    <xf numFmtId="0" fontId="32" fillId="39" borderId="13" xfId="0" applyFont="1" applyFill="1" applyBorder="1" applyProtection="1">
      <protection hidden="1"/>
    </xf>
    <xf numFmtId="164" fontId="0" fillId="39" borderId="13" xfId="0" applyNumberFormat="1" applyFill="1" applyBorder="1" applyProtection="1">
      <protection locked="0"/>
    </xf>
    <xf numFmtId="0" fontId="0" fillId="39" borderId="20" xfId="0" applyFill="1" applyBorder="1" applyAlignment="1">
      <alignment horizontal="right"/>
    </xf>
    <xf numFmtId="173" fontId="28" fillId="39" borderId="25" xfId="0" applyNumberFormat="1" applyFont="1" applyFill="1" applyBorder="1" applyAlignment="1" applyProtection="1">
      <alignment horizontal="center" vertical="center"/>
      <protection hidden="1"/>
    </xf>
    <xf numFmtId="173" fontId="28" fillId="39" borderId="26" xfId="0" applyNumberFormat="1" applyFont="1" applyFill="1" applyBorder="1" applyAlignment="1" applyProtection="1">
      <alignment horizontal="center" vertical="center"/>
      <protection hidden="1"/>
    </xf>
    <xf numFmtId="173" fontId="28" fillId="39" borderId="27" xfId="0" applyNumberFormat="1" applyFont="1" applyFill="1" applyBorder="1" applyAlignment="1" applyProtection="1">
      <alignment horizontal="center" vertical="center"/>
      <protection hidden="1"/>
    </xf>
    <xf numFmtId="2" fontId="28" fillId="33" borderId="20" xfId="0" applyNumberFormat="1" applyFont="1" applyFill="1" applyBorder="1" applyAlignment="1" applyProtection="1">
      <alignment horizontal="right" vertical="center"/>
      <protection hidden="1"/>
    </xf>
    <xf numFmtId="0" fontId="32" fillId="39" borderId="13" xfId="0" applyFont="1" applyFill="1" applyBorder="1"/>
    <xf numFmtId="0" fontId="20" fillId="33" borderId="40" xfId="0" applyFont="1" applyFill="1" applyBorder="1" applyAlignment="1" applyProtection="1">
      <alignment horizontal="center" vertical="center"/>
      <protection hidden="1"/>
    </xf>
    <xf numFmtId="0" fontId="20" fillId="33" borderId="36" xfId="0" applyFont="1" applyFill="1" applyBorder="1" applyAlignment="1" applyProtection="1">
      <alignment horizontal="center" vertical="center"/>
      <protection hidden="1"/>
    </xf>
    <xf numFmtId="176" fontId="23" fillId="33" borderId="15" xfId="0" applyNumberFormat="1" applyFont="1" applyFill="1" applyBorder="1" applyAlignment="1" applyProtection="1">
      <alignment horizontal="right" vertical="center"/>
      <protection hidden="1"/>
    </xf>
    <xf numFmtId="174" fontId="0" fillId="40" borderId="13" xfId="0" applyNumberFormat="1" applyFill="1" applyBorder="1"/>
    <xf numFmtId="0" fontId="20" fillId="33" borderId="13" xfId="0" applyFont="1" applyFill="1" applyBorder="1" applyAlignment="1" applyProtection="1">
      <alignment horizontal="center" vertical="center"/>
      <protection hidden="1"/>
    </xf>
    <xf numFmtId="0" fontId="0" fillId="32" borderId="13" xfId="0" applyFill="1" applyBorder="1" applyAlignment="1">
      <alignment horizontal="left"/>
    </xf>
    <xf numFmtId="0" fontId="0" fillId="39" borderId="23" xfId="0" applyFill="1" applyBorder="1" applyAlignment="1">
      <alignment horizontal="left"/>
    </xf>
    <xf numFmtId="0" fontId="0" fillId="39" borderId="21" xfId="0" applyFill="1" applyBorder="1" applyAlignment="1">
      <alignment horizontal="left"/>
    </xf>
    <xf numFmtId="0" fontId="0" fillId="39" borderId="22" xfId="0" applyFill="1" applyBorder="1" applyAlignment="1">
      <alignment horizontal="left"/>
    </xf>
    <xf numFmtId="2" fontId="28" fillId="33" borderId="13" xfId="0" applyNumberFormat="1" applyFont="1" applyFill="1" applyBorder="1" applyAlignment="1" applyProtection="1">
      <alignment horizontal="right" vertical="center"/>
      <protection hidden="1"/>
    </xf>
    <xf numFmtId="14" fontId="0" fillId="39" borderId="20" xfId="0" applyNumberFormat="1" applyFill="1" applyBorder="1" applyAlignment="1">
      <alignment horizontal="right"/>
    </xf>
    <xf numFmtId="14" fontId="28" fillId="33" borderId="13" xfId="0" applyNumberFormat="1" applyFont="1" applyFill="1" applyBorder="1" applyAlignment="1" applyProtection="1">
      <alignment horizontal="right" vertical="center"/>
      <protection hidden="1"/>
    </xf>
    <xf numFmtId="167" fontId="20" fillId="34" borderId="39" xfId="0" applyNumberFormat="1" applyFont="1" applyFill="1" applyBorder="1" applyAlignment="1" applyProtection="1">
      <alignment horizontal="center" vertical="center"/>
      <protection hidden="1"/>
    </xf>
    <xf numFmtId="0" fontId="0" fillId="38" borderId="18" xfId="0" applyFill="1" applyBorder="1" applyAlignment="1">
      <alignment horizontal="left"/>
    </xf>
    <xf numFmtId="0" fontId="0" fillId="38" borderId="17" xfId="0" applyFill="1" applyBorder="1" applyAlignment="1">
      <alignment horizontal="left"/>
    </xf>
    <xf numFmtId="2" fontId="0" fillId="39" borderId="20" xfId="0" applyNumberFormat="1" applyFill="1" applyBorder="1" applyAlignment="1">
      <alignment horizontal="right"/>
    </xf>
    <xf numFmtId="170" fontId="0" fillId="0" borderId="0" xfId="0" applyNumberFormat="1" applyAlignment="1">
      <alignment horizontal="left"/>
    </xf>
    <xf numFmtId="0" fontId="33" fillId="0" borderId="0" xfId="0" applyFont="1" applyAlignment="1">
      <alignment vertical="center" wrapText="1"/>
    </xf>
    <xf numFmtId="8" fontId="33" fillId="0" borderId="0" xfId="0" applyNumberFormat="1" applyFont="1" applyAlignment="1">
      <alignment vertical="center" wrapText="1"/>
    </xf>
    <xf numFmtId="8" fontId="34" fillId="0" borderId="0" xfId="0" applyNumberFormat="1" applyFont="1" applyAlignment="1">
      <alignment vertical="center" wrapText="1"/>
    </xf>
    <xf numFmtId="8" fontId="0" fillId="0" borderId="0" xfId="0" applyNumberFormat="1"/>
    <xf numFmtId="0" fontId="0" fillId="39" borderId="18" xfId="0" applyFill="1" applyBorder="1" applyAlignment="1" applyProtection="1">
      <alignment horizontal="left"/>
      <protection locked="0"/>
    </xf>
    <xf numFmtId="0" fontId="0" fillId="39" borderId="19" xfId="0" applyFill="1" applyBorder="1" applyAlignment="1" applyProtection="1">
      <alignment horizontal="left"/>
      <protection locked="0"/>
    </xf>
    <xf numFmtId="0" fontId="0" fillId="39" borderId="17" xfId="0" applyFill="1" applyBorder="1" applyAlignment="1" applyProtection="1">
      <alignment horizontal="left"/>
      <protection locked="0"/>
    </xf>
    <xf numFmtId="0" fontId="0" fillId="32" borderId="41" xfId="0" applyFill="1" applyBorder="1"/>
    <xf numFmtId="14" fontId="32" fillId="39" borderId="13" xfId="0" applyNumberFormat="1" applyFont="1" applyFill="1" applyBorder="1"/>
    <xf numFmtId="1" fontId="32" fillId="39" borderId="13" xfId="0" applyNumberFormat="1" applyFont="1" applyFill="1" applyBorder="1"/>
    <xf numFmtId="164" fontId="32" fillId="39" borderId="13" xfId="0" applyNumberFormat="1" applyFont="1" applyFill="1" applyBorder="1"/>
    <xf numFmtId="20" fontId="32" fillId="39" borderId="13" xfId="0" applyNumberFormat="1" applyFont="1" applyFill="1" applyBorder="1"/>
    <xf numFmtId="175" fontId="32" fillId="39" borderId="13" xfId="0" applyNumberFormat="1" applyFont="1" applyFill="1" applyBorder="1"/>
    <xf numFmtId="0" fontId="1" fillId="32" borderId="14" xfId="43" applyFill="1" applyBorder="1"/>
    <xf numFmtId="0" fontId="1" fillId="32" borderId="11" xfId="43" applyFill="1" applyBorder="1"/>
    <xf numFmtId="0" fontId="1" fillId="32" borderId="13" xfId="43" applyFill="1" applyBorder="1"/>
    <xf numFmtId="0" fontId="1" fillId="0" borderId="0" xfId="43"/>
    <xf numFmtId="0" fontId="1" fillId="0" borderId="13" xfId="43" applyBorder="1"/>
    <xf numFmtId="14" fontId="1" fillId="39" borderId="12" xfId="43" applyNumberFormat="1" applyFill="1" applyBorder="1" applyProtection="1">
      <protection locked="0"/>
    </xf>
    <xf numFmtId="0" fontId="1" fillId="39" borderId="13" xfId="43" applyFill="1" applyBorder="1" applyProtection="1">
      <protection locked="0"/>
    </xf>
    <xf numFmtId="0" fontId="0" fillId="39" borderId="12" xfId="0" applyFill="1" applyBorder="1" applyAlignment="1" applyProtection="1">
      <alignment wrapText="1"/>
      <protection locked="0"/>
    </xf>
    <xf numFmtId="164" fontId="19" fillId="0" borderId="42" xfId="0" applyNumberFormat="1" applyFont="1" applyBorder="1"/>
    <xf numFmtId="0" fontId="0" fillId="39" borderId="13" xfId="0" applyFill="1" applyBorder="1" applyAlignment="1">
      <alignment vertical="center"/>
    </xf>
    <xf numFmtId="164" fontId="32" fillId="39" borderId="13" xfId="0" applyNumberFormat="1" applyFont="1" applyFill="1" applyBorder="1" applyAlignment="1">
      <alignment wrapText="1"/>
    </xf>
    <xf numFmtId="177" fontId="21" fillId="34" borderId="13" xfId="0" applyNumberFormat="1" applyFont="1" applyFill="1" applyBorder="1" applyAlignment="1" applyProtection="1">
      <alignment horizontal="right" vertical="center"/>
      <protection hidden="1"/>
    </xf>
    <xf numFmtId="0" fontId="31" fillId="35" borderId="19" xfId="0" applyFont="1" applyFill="1" applyBorder="1" applyAlignment="1" applyProtection="1">
      <alignment horizontal="center" vertical="center"/>
      <protection hidden="1"/>
    </xf>
    <xf numFmtId="169" fontId="25" fillId="33" borderId="13" xfId="0" applyNumberFormat="1" applyFont="1" applyFill="1" applyBorder="1" applyAlignment="1" applyProtection="1">
      <alignment horizontal="center" vertical="center"/>
      <protection hidden="1"/>
    </xf>
    <xf numFmtId="169" fontId="25" fillId="33" borderId="18" xfId="0" applyNumberFormat="1" applyFont="1" applyFill="1" applyBorder="1" applyAlignment="1" applyProtection="1">
      <alignment horizontal="center" vertical="center"/>
      <protection hidden="1"/>
    </xf>
    <xf numFmtId="169" fontId="25" fillId="33" borderId="19" xfId="0" applyNumberFormat="1" applyFont="1" applyFill="1" applyBorder="1" applyAlignment="1" applyProtection="1">
      <alignment horizontal="center" vertical="center"/>
      <protection hidden="1"/>
    </xf>
    <xf numFmtId="169" fontId="25" fillId="33" borderId="17" xfId="0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2" borderId="18" xfId="0" applyFill="1" applyBorder="1" applyAlignment="1">
      <alignment horizontal="center"/>
    </xf>
    <xf numFmtId="0" fontId="0" fillId="32" borderId="19" xfId="0" applyFill="1" applyBorder="1" applyAlignment="1">
      <alignment horizontal="center"/>
    </xf>
    <xf numFmtId="0" fontId="0" fillId="32" borderId="17" xfId="0" applyFill="1" applyBorder="1" applyAlignment="1">
      <alignment horizontal="center"/>
    </xf>
    <xf numFmtId="0" fontId="0" fillId="32" borderId="41" xfId="0" applyFill="1" applyBorder="1" applyAlignment="1">
      <alignment horizontal="center"/>
    </xf>
    <xf numFmtId="0" fontId="0" fillId="32" borderId="34" xfId="0" applyFill="1" applyBorder="1" applyAlignment="1">
      <alignment horizontal="center"/>
    </xf>
    <xf numFmtId="0" fontId="0" fillId="32" borderId="35" xfId="0" applyFill="1" applyBorder="1" applyAlignment="1">
      <alignment horizontal="center"/>
    </xf>
    <xf numFmtId="0" fontId="0" fillId="39" borderId="18" xfId="0" applyFill="1" applyBorder="1" applyAlignment="1" applyProtection="1">
      <alignment horizontal="left"/>
      <protection locked="0"/>
    </xf>
    <xf numFmtId="0" fontId="0" fillId="39" borderId="19" xfId="0" applyFill="1" applyBorder="1" applyAlignment="1" applyProtection="1">
      <alignment horizontal="left"/>
      <protection locked="0"/>
    </xf>
    <xf numFmtId="0" fontId="0" fillId="39" borderId="17" xfId="0" applyFill="1" applyBorder="1" applyAlignment="1" applyProtection="1">
      <alignment horizontal="left"/>
      <protection locked="0"/>
    </xf>
    <xf numFmtId="0" fontId="0" fillId="39" borderId="23" xfId="0" applyFill="1" applyBorder="1" applyAlignment="1">
      <alignment horizontal="left"/>
    </xf>
    <xf numFmtId="0" fontId="0" fillId="39" borderId="21" xfId="0" applyFill="1" applyBorder="1" applyAlignment="1">
      <alignment horizontal="left"/>
    </xf>
    <xf numFmtId="0" fontId="0" fillId="39" borderId="22" xfId="0" applyFill="1" applyBorder="1" applyAlignment="1">
      <alignment horizontal="left"/>
    </xf>
    <xf numFmtId="0" fontId="0" fillId="32" borderId="13" xfId="0" applyFill="1" applyBorder="1" applyAlignment="1">
      <alignment horizontal="left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. 2" xfId="42" xr:uid="{00000000-0005-0000-0000-000021000000}"/>
    <cellStyle name="Standard" xfId="0" builtinId="0" customBuiltin="1"/>
    <cellStyle name="Standard 3" xfId="43" xr:uid="{ECB40D8E-E429-45DA-9C64-28E1609AD9C5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3"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lightGrid">
          <fgColor theme="0"/>
          <bgColor theme="3" tint="0.39994506668294322"/>
        </patternFill>
      </fill>
    </dxf>
    <dxf>
      <fill>
        <patternFill patternType="lightGrid">
          <fgColor theme="0"/>
          <bgColor theme="3" tint="0.39991454817346722"/>
        </patternFill>
      </fill>
    </dxf>
    <dxf>
      <fill>
        <patternFill>
          <bgColor rgb="FFE4C9FF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EF4F6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E4C9FF"/>
      <color rgb="FFE2CFF1"/>
      <color rgb="FFCEF4F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1"/>
  <sheetViews>
    <sheetView showGridLines="0" topLeftCell="A13" workbookViewId="0">
      <selection activeCell="G58" sqref="G58"/>
    </sheetView>
  </sheetViews>
  <sheetFormatPr baseColWidth="10" defaultRowHeight="14.4" x14ac:dyDescent="0.3"/>
  <cols>
    <col min="1" max="1" width="2.5546875" customWidth="1"/>
    <col min="2" max="2" width="12.6640625" customWidth="1"/>
    <col min="3" max="3" width="3.5546875" customWidth="1"/>
    <col min="4" max="4" width="5.44140625" customWidth="1"/>
    <col min="5" max="5" width="4.33203125" customWidth="1"/>
    <col min="6" max="6" width="3.5546875" customWidth="1"/>
    <col min="7" max="7" width="5.44140625" customWidth="1"/>
    <col min="8" max="8" width="4" customWidth="1"/>
    <col min="9" max="9" width="3.5546875" customWidth="1"/>
    <col min="10" max="10" width="5.44140625" customWidth="1"/>
    <col min="11" max="11" width="4" customWidth="1"/>
    <col min="12" max="12" width="3.5546875" customWidth="1"/>
    <col min="13" max="13" width="5.44140625" customWidth="1"/>
    <col min="14" max="14" width="4" customWidth="1"/>
    <col min="15" max="15" width="3.5546875" customWidth="1"/>
    <col min="16" max="16" width="5.44140625" customWidth="1"/>
    <col min="17" max="17" width="4.33203125" customWidth="1"/>
    <col min="18" max="18" width="3.5546875" customWidth="1"/>
    <col min="19" max="19" width="5.44140625" customWidth="1"/>
    <col min="20" max="20" width="4" customWidth="1"/>
    <col min="21" max="21" width="3.5546875" customWidth="1"/>
    <col min="22" max="22" width="5.44140625" customWidth="1"/>
    <col min="23" max="23" width="4.33203125" customWidth="1"/>
    <col min="24" max="24" width="3.5546875" customWidth="1"/>
    <col min="25" max="25" width="5.44140625" customWidth="1"/>
    <col min="26" max="26" width="3.6640625" customWidth="1"/>
    <col min="27" max="27" width="3.5546875" customWidth="1"/>
    <col min="28" max="28" width="5.44140625" customWidth="1"/>
    <col min="29" max="29" width="4.33203125" customWidth="1"/>
    <col min="30" max="30" width="3.5546875" customWidth="1"/>
    <col min="31" max="31" width="5.44140625" customWidth="1"/>
    <col min="32" max="32" width="4.33203125" customWidth="1"/>
    <col min="33" max="33" width="3.5546875" customWidth="1"/>
    <col min="34" max="34" width="5.44140625" customWidth="1"/>
    <col min="35" max="35" width="4.33203125" customWidth="1"/>
    <col min="36" max="36" width="3.5546875" customWidth="1"/>
    <col min="37" max="37" width="5.44140625" customWidth="1"/>
    <col min="38" max="38" width="4.44140625" customWidth="1"/>
    <col min="39" max="39" width="12.6640625" customWidth="1"/>
    <col min="40" max="40" width="2.5546875" customWidth="1"/>
  </cols>
  <sheetData>
    <row r="1" spans="1:45" x14ac:dyDescent="0.3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</row>
    <row r="2" spans="1:45" ht="17.399999999999999" x14ac:dyDescent="0.3">
      <c r="A2" s="33"/>
      <c r="B2" s="15"/>
      <c r="C2" s="113" t="str">
        <f>"Jahresübersicht "&amp;Jahr&amp;" der Zeitaufzeichnung von "&amp;Stammdaten!$B$4&amp;" für "&amp;Stammdaten!$B$7</f>
        <v>Jahresübersicht 2025 der Zeitaufzeichnung von Aya Helli für Research Institute AG &amp; Co KG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6"/>
    </row>
    <row r="3" spans="1:45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</row>
    <row r="4" spans="1:45" x14ac:dyDescent="0.3">
      <c r="A4" s="33"/>
      <c r="B4" s="39" t="s">
        <v>25</v>
      </c>
      <c r="C4" s="114">
        <f>DATE(Jahr,COLUMN(C4)/3,1)</f>
        <v>45658</v>
      </c>
      <c r="D4" s="114"/>
      <c r="E4" s="114"/>
      <c r="F4" s="114">
        <f>DATE(Jahr,COLUMN(F4)/3,1)</f>
        <v>45689</v>
      </c>
      <c r="G4" s="114"/>
      <c r="H4" s="114"/>
      <c r="I4" s="114">
        <f>DATE(Jahr,COLUMN(I4)/3,1)</f>
        <v>45717</v>
      </c>
      <c r="J4" s="114"/>
      <c r="K4" s="114"/>
      <c r="L4" s="114">
        <f>DATE(Jahr,COLUMN(L4)/3,1)</f>
        <v>45748</v>
      </c>
      <c r="M4" s="114"/>
      <c r="N4" s="114"/>
      <c r="O4" s="114">
        <f>DATE(Jahr,COLUMN(O4)/3,1)</f>
        <v>45778</v>
      </c>
      <c r="P4" s="114"/>
      <c r="Q4" s="114"/>
      <c r="R4" s="114">
        <f>DATE(Jahr,COLUMN(R4)/3,1)</f>
        <v>45809</v>
      </c>
      <c r="S4" s="114"/>
      <c r="T4" s="114"/>
      <c r="U4" s="114">
        <f>DATE(Jahr,COLUMN(U4)/3,1)</f>
        <v>45839</v>
      </c>
      <c r="V4" s="114"/>
      <c r="W4" s="114"/>
      <c r="X4" s="114">
        <f>DATE(Jahr,COLUMN(X4)/3,1)</f>
        <v>45870</v>
      </c>
      <c r="Y4" s="114"/>
      <c r="Z4" s="114"/>
      <c r="AA4" s="114">
        <f>DATE(Jahr,COLUMN(AA4)/3,1)</f>
        <v>45901</v>
      </c>
      <c r="AB4" s="114"/>
      <c r="AC4" s="114"/>
      <c r="AD4" s="114">
        <f>DATE(Jahr,COLUMN(AD4)/3,1)</f>
        <v>45931</v>
      </c>
      <c r="AE4" s="114"/>
      <c r="AF4" s="114"/>
      <c r="AG4" s="114">
        <f>DATE(Jahr,COLUMN(AG4)/3,1)</f>
        <v>45962</v>
      </c>
      <c r="AH4" s="114"/>
      <c r="AI4" s="114"/>
      <c r="AJ4" s="115">
        <f>DATE(Jahr,COLUMN(AJ4)/3,1)</f>
        <v>45992</v>
      </c>
      <c r="AK4" s="116"/>
      <c r="AL4" s="117"/>
      <c r="AM4" s="39" t="s">
        <v>25</v>
      </c>
      <c r="AP4" s="8"/>
    </row>
    <row r="5" spans="1:45" x14ac:dyDescent="0.3">
      <c r="A5" s="33"/>
      <c r="B5" s="37">
        <v>1</v>
      </c>
      <c r="C5" s="36">
        <f t="shared" ref="C5:C35" si="0">DATE(Jahr,MONTH(C$4),$B5)</f>
        <v>45658</v>
      </c>
      <c r="D5" s="34">
        <f ca="1">IF($B5&gt;DAY(EOMONTH(C$4,0)),"",SUMIFS(INDIRECT(TEXT(C5,"MMM")&amp;"!$L$9:$L$999"),INDIRECT(TEXT(C5,"MMM")&amp;"!$B$9:$B$999"),C5)+SUMIFS(Abwesenheit!$J$3:$J$199,Abwesenheit!$D$3:$D$199,C5))</f>
        <v>0</v>
      </c>
      <c r="E5" s="35">
        <f>IF($B5&gt;DAY(EOMONTH(C$4,0)),"",IF(OR(C5&lt;IF(YEAR(Eintritt)&lt;Jahr,DATE(Jahr,1,1),Eintritt),C5&gt;IF(Austritt="",DATE(Jahr,12,31),Austritt)),0,IF(OR(ISERROR(VLOOKUP(C5,Stammdaten!$I$9:$J$26,2,FALSE)),SUMIFS(Stammdaten!$J$9:$J$26,Stammdaten!$I$9:$I$26,C5)=0),VLOOKUP(TEXT(C5,"TTT"),Stammdaten!$B$20:$F$26,5,FALSE),0)))</f>
        <v>0</v>
      </c>
      <c r="F5" s="36">
        <f t="shared" ref="F5:F35" si="1">DATE(Jahr,MONTH(F$4),$B5)</f>
        <v>45689</v>
      </c>
      <c r="G5" s="34">
        <f ca="1">IF($B5&gt;DAY(EOMONTH(F$4,0)),"",SUMIFS(INDIRECT(TEXT(F5,"MMM")&amp;"!$L$9:$L$999"),INDIRECT(TEXT(F5,"MMM")&amp;"!$B$9:$B$999"),F5)+SUMIFS(Abwesenheit!$J$3:$J$199,Abwesenheit!$D$3:$D$199,F5))</f>
        <v>0</v>
      </c>
      <c r="H5" s="35">
        <f>IF($B5&gt;DAY(EOMONTH(F$4,0)),"",IF(OR(F5&lt;IF(YEAR(Eintritt)&lt;Jahr,DATE(Jahr,1,1),Eintritt),F5&gt;IF(Austritt="",DATE(Jahr,12,31),Austritt)),0,IF(OR(ISERROR(VLOOKUP(F5,Stammdaten!$I$9:$J$26,2,FALSE)),SUMIFS(Stammdaten!$J$9:$J$26,Stammdaten!$I$9:$I$26,F5)=0),VLOOKUP(TEXT(F5,"TTT"),Stammdaten!$B$20:$F$26,5,FALSE),0)))</f>
        <v>0</v>
      </c>
      <c r="I5" s="36">
        <f t="shared" ref="I5:I35" si="2">DATE(Jahr,MONTH(I$4),$B5)</f>
        <v>45717</v>
      </c>
      <c r="J5" s="34">
        <f ca="1">IF($B5&gt;DAY(EOMONTH(I$4,0)),"",SUMIFS(INDIRECT(TEXT(I5,"MMM")&amp;"!$L$9:$L$999"),INDIRECT(TEXT(I5,"MMM")&amp;"!$B$9:$B$999"),I5)+SUMIFS(Abwesenheit!$J$3:$J$199,Abwesenheit!$D$3:$D$199,I5))</f>
        <v>0</v>
      </c>
      <c r="K5" s="35">
        <f>IF($B5&gt;DAY(EOMONTH(I$4,0)),"",IF(OR(I5&lt;IF(YEAR(Eintritt)&lt;Jahr,DATE(Jahr,1,1),Eintritt),I5&gt;IF(Austritt="",DATE(Jahr,12,31),Austritt)),0,IF(OR(ISERROR(VLOOKUP(I5,Stammdaten!$I$9:$J$26,2,FALSE)),SUMIFS(Stammdaten!$J$9:$J$26,Stammdaten!$I$9:$I$26,I5)=0),VLOOKUP(TEXT(I5,"TTT"),Stammdaten!$B$20:$F$26,5,FALSE),0)))</f>
        <v>0</v>
      </c>
      <c r="L5" s="36">
        <f t="shared" ref="L5:L35" si="3">DATE(Jahr,MONTH(L$4),$B5)</f>
        <v>45748</v>
      </c>
      <c r="M5" s="34">
        <f ca="1">IF($B5&gt;DAY(EOMONTH(L$4,0)),"",SUMIFS(INDIRECT(TEXT(L5,"MMM")&amp;"!$L$9:$L$999"),INDIRECT(TEXT(L5,"MMM")&amp;"!$B$9:$B$999"),L5)+SUMIFS(Abwesenheit!$J$3:$J$199,Abwesenheit!$D$3:$D$199,L5))</f>
        <v>0</v>
      </c>
      <c r="N5" s="35">
        <f>IF($B5&gt;DAY(EOMONTH(L$4,0)),"",IF(OR(L5&lt;IF(YEAR(Eintritt)&lt;Jahr,DATE(Jahr,1,1),Eintritt),L5&gt;IF(Austritt="",DATE(Jahr,12,31),Austritt)),0,IF(OR(ISERROR(VLOOKUP(L5,Stammdaten!$I$9:$J$26,2,FALSE)),SUMIFS(Stammdaten!$J$9:$J$26,Stammdaten!$I$9:$I$26,L5)=0),VLOOKUP(TEXT(L5,"TTT"),Stammdaten!$B$20:$F$26,5,FALSE),0)))</f>
        <v>0</v>
      </c>
      <c r="O5" s="36">
        <f t="shared" ref="O5:O35" si="4">DATE(Jahr,MONTH(O$4),$B5)</f>
        <v>45778</v>
      </c>
      <c r="P5" s="34">
        <f ca="1">IF($B5&gt;DAY(EOMONTH(O$4,0)),"",SUMIFS(INDIRECT(TEXT(O5,"MMM")&amp;"!$L$9:$L$999"),INDIRECT(TEXT(O5,"MMM")&amp;"!$B$9:$B$999"),O5)+SUMIFS(Abwesenheit!$J$3:$J$199,Abwesenheit!$D$3:$D$199,O5))</f>
        <v>0</v>
      </c>
      <c r="Q5" s="35">
        <f>IF($B5&gt;DAY(EOMONTH(O$4,0)),"",IF(OR(O5&lt;IF(YEAR(Eintritt)&lt;Jahr,DATE(Jahr,1,1),Eintritt),O5&gt;IF(Austritt="",DATE(Jahr,12,31),Austritt)),0,IF(OR(ISERROR(VLOOKUP(O5,Stammdaten!$I$9:$J$26,2,FALSE)),SUMIFS(Stammdaten!$J$9:$J$26,Stammdaten!$I$9:$I$26,O5)=0),VLOOKUP(TEXT(O5,"TTT"),Stammdaten!$B$20:$F$26,5,FALSE),0)))</f>
        <v>0</v>
      </c>
      <c r="R5" s="36">
        <f t="shared" ref="R5:R35" si="5">DATE(Jahr,MONTH(R$4),$B5)</f>
        <v>45809</v>
      </c>
      <c r="S5" s="34">
        <f ca="1">IF($B5&gt;DAY(EOMONTH(R$4,0)),"",SUMIFS(INDIRECT(TEXT(R5,"MMM")&amp;"!$L$9:$L$999"),INDIRECT(TEXT(R5,"MMM")&amp;"!$B$9:$B$999"),R5)+SUMIFS(Abwesenheit!$J$3:$J$199,Abwesenheit!$D$3:$D$199,R5))</f>
        <v>0</v>
      </c>
      <c r="T5" s="35">
        <f>IF($B5&gt;DAY(EOMONTH(R$4,0)),"",IF(OR(R5&lt;IF(YEAR(Eintritt)&lt;Jahr,DATE(Jahr,1,1),Eintritt),R5&gt;IF(Austritt="",DATE(Jahr,12,31),Austritt)),0,IF(OR(ISERROR(VLOOKUP(R5,Stammdaten!$I$9:$J$26,2,FALSE)),SUMIFS(Stammdaten!$J$9:$J$26,Stammdaten!$I$9:$I$26,R5)=0),VLOOKUP(TEXT(R5,"TTT"),Stammdaten!$B$20:$F$26,5,FALSE),0)))</f>
        <v>0</v>
      </c>
      <c r="U5" s="36">
        <f t="shared" ref="U5:U35" si="6">DATE(Jahr,MONTH(U$4),$B5)</f>
        <v>45839</v>
      </c>
      <c r="V5" s="34">
        <f ca="1">IF($B5&gt;DAY(EOMONTH(U$4,0)),"",SUMIFS(INDIRECT(TEXT(U5,"MMM")&amp;"!$L$9:$L$999"),INDIRECT(TEXT(U5,"MMM")&amp;"!$B$9:$B$999"),U5)+SUMIFS(Abwesenheit!$J$3:$J$199,Abwesenheit!$D$3:$D$199,U5))</f>
        <v>0</v>
      </c>
      <c r="W5" s="35">
        <f>IF($B5&gt;DAY(EOMONTH(U$4,0)),"",IF(OR(U5&lt;IF(YEAR(Eintritt)&lt;Jahr,DATE(Jahr,1,1),Eintritt),U5&gt;IF(Austritt="",DATE(Jahr,12,31),Austritt)),0,IF(OR(ISERROR(VLOOKUP(U5,Stammdaten!$I$9:$J$26,2,FALSE)),SUMIFS(Stammdaten!$J$9:$J$26,Stammdaten!$I$9:$I$26,U5)=0),VLOOKUP(TEXT(U5,"TTT"),Stammdaten!$B$20:$F$26,5,FALSE),0)))</f>
        <v>0</v>
      </c>
      <c r="X5" s="36">
        <f t="shared" ref="X5:X35" si="7">DATE(Jahr,MONTH(X$4),$B5)</f>
        <v>45870</v>
      </c>
      <c r="Y5" s="34">
        <f ca="1">IF($B5&gt;DAY(EOMONTH(X$4,0)),"",SUMIFS(INDIRECT(TEXT(X5,"MMM")&amp;"!$L$9:$L$999"),INDIRECT(TEXT(X5,"MMM")&amp;"!$B$9:$B$999"),X5)+SUMIFS(Abwesenheit!$J$3:$J$199,Abwesenheit!$D$3:$D$199,X5))</f>
        <v>0</v>
      </c>
      <c r="Z5" s="35">
        <f>IF($B5&gt;DAY(EOMONTH(X$4,0)),"",IF(OR(X5&lt;IF(YEAR(Eintritt)&lt;Jahr,DATE(Jahr,1,1),Eintritt),X5&gt;IF(Austritt="",DATE(Jahr,12,31),Austritt)),0,IF(OR(ISERROR(VLOOKUP(X5,Stammdaten!$I$9:$J$26,2,FALSE)),SUMIFS(Stammdaten!$J$9:$J$26,Stammdaten!$I$9:$I$26,X5)=0),VLOOKUP(TEXT(X5,"TTT"),Stammdaten!$B$20:$F$26,5,FALSE),0)))</f>
        <v>0.33333333333333337</v>
      </c>
      <c r="AA5" s="36">
        <f t="shared" ref="AA5:AA35" si="8">DATE(Jahr,MONTH(AA$4),$B5)</f>
        <v>45901</v>
      </c>
      <c r="AB5" s="34">
        <f ca="1">IF($B5&gt;DAY(EOMONTH(AA$4,0)),"",SUMIFS(INDIRECT(TEXT(AA5,"MMM")&amp;"!$L$9:$L$999"),INDIRECT(TEXT(AA5,"MMM")&amp;"!$B$9:$B$999"),AA5)+SUMIFS(Abwesenheit!$J$3:$J$199,Abwesenheit!$D$3:$D$199,AA5))</f>
        <v>0</v>
      </c>
      <c r="AC5" s="35">
        <f>IF($B5&gt;DAY(EOMONTH(AA$4,0)),"",IF(OR(AA5&lt;IF(YEAR(Eintritt)&lt;Jahr,DATE(Jahr,1,1),Eintritt),AA5&gt;IF(Austritt="",DATE(Jahr,12,31),Austritt)),0,IF(OR(ISERROR(VLOOKUP(AA5,Stammdaten!$I$9:$J$26,2,FALSE)),SUMIFS(Stammdaten!$J$9:$J$26,Stammdaten!$I$9:$I$26,AA5)=0),VLOOKUP(TEXT(AA5,"TTT"),Stammdaten!$B$20:$F$26,5,FALSE),0)))</f>
        <v>0</v>
      </c>
      <c r="AD5" s="36">
        <f t="shared" ref="AD5:AD35" si="9">DATE(Jahr,MONTH(AD$4),$B5)</f>
        <v>45931</v>
      </c>
      <c r="AE5" s="34">
        <f ca="1">IF($B5&gt;DAY(EOMONTH(AD$4,0)),"",SUMIFS(INDIRECT(TEXT(AD5,"MMM")&amp;"!$L$9:$L$999"),INDIRECT(TEXT(AD5,"MMM")&amp;"!$B$9:$B$999"),AD5)+SUMIFS(Abwesenheit!$J$3:$J$199,Abwesenheit!$D$3:$D$199,AD5))</f>
        <v>0</v>
      </c>
      <c r="AF5" s="35">
        <f>IF($B5&gt;DAY(EOMONTH(AD$4,0)),"",IF(OR(AD5&lt;IF(YEAR(Eintritt)&lt;Jahr,DATE(Jahr,1,1),Eintritt),AD5&gt;IF(Austritt="",DATE(Jahr,12,31),Austritt)),0,IF(OR(ISERROR(VLOOKUP(AD5,Stammdaten!$I$9:$J$26,2,FALSE)),SUMIFS(Stammdaten!$J$9:$J$26,Stammdaten!$I$9:$I$26,AD5)=0),VLOOKUP(TEXT(AD5,"TTT"),Stammdaten!$B$20:$F$26,5,FALSE),0)))</f>
        <v>0</v>
      </c>
      <c r="AG5" s="36">
        <f t="shared" ref="AG5:AG35" si="10">DATE(Jahr,MONTH(AG$4),$B5)</f>
        <v>45962</v>
      </c>
      <c r="AH5" s="34">
        <f ca="1">IF($B5&gt;DAY(EOMONTH(AG$4,0)),"",SUMIFS(INDIRECT(TEXT(AG5,"MMM")&amp;"!$L$9:$L$999"),INDIRECT(TEXT(AG5,"MMM")&amp;"!$B$9:$B$999"),AG5)+SUMIFS(Abwesenheit!$J$3:$J$199,Abwesenheit!$D$3:$D$199,AG5))</f>
        <v>0</v>
      </c>
      <c r="AI5" s="35">
        <f>IF($B5&gt;DAY(EOMONTH(AG$4,0)),"",IF(OR(AG5&lt;IF(YEAR(Eintritt)&lt;Jahr,DATE(Jahr,1,1),Eintritt),AG5&gt;IF(Austritt="",DATE(Jahr,12,31),Austritt)),0,IF(OR(ISERROR(VLOOKUP(AG5,Stammdaten!$I$9:$J$26,2,FALSE)),SUMIFS(Stammdaten!$J$9:$J$26,Stammdaten!$I$9:$I$26,AG5)=0),VLOOKUP(TEXT(AG5,"TTT"),Stammdaten!$B$20:$F$26,5,FALSE),0)))</f>
        <v>0</v>
      </c>
      <c r="AJ5" s="36">
        <f t="shared" ref="AJ5:AJ35" si="11">DATE(Jahr,MONTH(AJ$4),$B5)</f>
        <v>45992</v>
      </c>
      <c r="AK5" s="34">
        <f ca="1">IF($B5&gt;DAY(EOMONTH(AJ$4,0)),"",SUMIFS(INDIRECT(TEXT(AJ5,"MMM")&amp;"!$L$9:$L$999"),INDIRECT(TEXT(AJ5,"MMM")&amp;"!$B$9:$B$999"),AJ5)+SUMIFS(Abwesenheit!$J$3:$J$199,Abwesenheit!$D$3:$D$199,AJ5))</f>
        <v>0</v>
      </c>
      <c r="AL5" s="35">
        <f>IF($B5&gt;DAY(EOMONTH(AJ$4,0)),"",IF(OR(AJ5&lt;IF(YEAR(Eintritt)&lt;Jahr,DATE(Jahr,1,1),Eintritt),AJ5&gt;IF(Austritt="",DATE(Jahr,12,31),Austritt)),0,VLOOKUP(TEXT(AJ5,"TTT"),Stammdaten!$B$20:$F$26,5,FALSE)-IF(ISERROR(VLOOKUP(AJ5,Stammdaten!$I$9:$J$26,2,FALSE)),0,SUMIFS(Stammdaten!$J$9:$J$26,Stammdaten!$I$9:$I$26,AJ5)/24)))</f>
        <v>0</v>
      </c>
      <c r="AM5" s="37">
        <v>1</v>
      </c>
      <c r="AO5" s="8"/>
      <c r="AQ5" s="8"/>
      <c r="AR5" s="8"/>
      <c r="AS5" s="8"/>
    </row>
    <row r="6" spans="1:45" x14ac:dyDescent="0.3">
      <c r="A6" s="33"/>
      <c r="B6" s="37">
        <v>2</v>
      </c>
      <c r="C6" s="36">
        <f t="shared" si="0"/>
        <v>45659</v>
      </c>
      <c r="D6" s="34">
        <f ca="1">IF($B6&gt;DAY(EOMONTH(C$4,0)),"",SUMIFS(INDIRECT(TEXT(C6,"MMM")&amp;"!$L$9:$L$999"),INDIRECT(TEXT(C6,"MMM")&amp;"!$B$9:$B$999"),C6)+SUMIFS(Abwesenheit!$J$3:$J$199,Abwesenheit!$D$3:$D$199,C6))</f>
        <v>0</v>
      </c>
      <c r="E6" s="35">
        <f>IF($B6&gt;DAY(EOMONTH(C$4,0)),"",IF(OR(C6&lt;IF(YEAR(Eintritt)&lt;Jahr,DATE(Jahr,1,1),Eintritt),C6&gt;IF(Austritt="",DATE(Jahr,12,31),Austritt)),0,IF(OR(ISERROR(VLOOKUP(C6,Stammdaten!$I$9:$J$26,2,FALSE)),SUMIFS(Stammdaten!$J$9:$J$26,Stammdaten!$I$9:$I$26,C6)=0),VLOOKUP(TEXT(C6,"TTT"),Stammdaten!$B$20:$F$26,5,FALSE),0)))</f>
        <v>0</v>
      </c>
      <c r="F6" s="36">
        <f t="shared" si="1"/>
        <v>45690</v>
      </c>
      <c r="G6" s="34">
        <f ca="1">IF($B6&gt;DAY(EOMONTH(F$4,0)),"",SUMIFS(INDIRECT(TEXT(F6,"MMM")&amp;"!$L$9:$L$999"),INDIRECT(TEXT(F6,"MMM")&amp;"!$B$9:$B$999"),F6)+SUMIFS(Abwesenheit!$J$3:$J$199,Abwesenheit!$D$3:$D$199,F6))</f>
        <v>0</v>
      </c>
      <c r="H6" s="35">
        <f>IF($B6&gt;DAY(EOMONTH(F$4,0)),"",IF(OR(F6&lt;IF(YEAR(Eintritt)&lt;Jahr,DATE(Jahr,1,1),Eintritt),F6&gt;IF(Austritt="",DATE(Jahr,12,31),Austritt)),0,IF(OR(ISERROR(VLOOKUP(F6,Stammdaten!$I$9:$J$26,2,FALSE)),SUMIFS(Stammdaten!$J$9:$J$26,Stammdaten!$I$9:$I$26,F6)=0),VLOOKUP(TEXT(F6,"TTT"),Stammdaten!$B$20:$F$26,5,FALSE),0)))</f>
        <v>0</v>
      </c>
      <c r="I6" s="36">
        <f t="shared" si="2"/>
        <v>45718</v>
      </c>
      <c r="J6" s="34">
        <f ca="1">IF($B6&gt;DAY(EOMONTH(I$4,0)),"",SUMIFS(INDIRECT(TEXT(I6,"MMM")&amp;"!$L$9:$L$999"),INDIRECT(TEXT(I6,"MMM")&amp;"!$B$9:$B$999"),I6)+SUMIFS(Abwesenheit!$J$3:$J$199,Abwesenheit!$D$3:$D$199,I6))</f>
        <v>0</v>
      </c>
      <c r="K6" s="35">
        <f>IF($B6&gt;DAY(EOMONTH(I$4,0)),"",IF(OR(I6&lt;IF(YEAR(Eintritt)&lt;Jahr,DATE(Jahr,1,1),Eintritt),I6&gt;IF(Austritt="",DATE(Jahr,12,31),Austritt)),0,IF(OR(ISERROR(VLOOKUP(I6,Stammdaten!$I$9:$J$26,2,FALSE)),SUMIFS(Stammdaten!$J$9:$J$26,Stammdaten!$I$9:$I$26,I6)=0),VLOOKUP(TEXT(I6,"TTT"),Stammdaten!$B$20:$F$26,5,FALSE),0)))</f>
        <v>0</v>
      </c>
      <c r="L6" s="36">
        <f t="shared" si="3"/>
        <v>45749</v>
      </c>
      <c r="M6" s="34">
        <f ca="1">IF($B6&gt;DAY(EOMONTH(L$4,0)),"",SUMIFS(INDIRECT(TEXT(L6,"MMM")&amp;"!$L$9:$L$999"),INDIRECT(TEXT(L6,"MMM")&amp;"!$B$9:$B$999"),L6)+SUMIFS(Abwesenheit!$J$3:$J$199,Abwesenheit!$D$3:$D$199,L6))</f>
        <v>0</v>
      </c>
      <c r="N6" s="35">
        <f>IF($B6&gt;DAY(EOMONTH(L$4,0)),"",IF(OR(L6&lt;IF(YEAR(Eintritt)&lt;Jahr,DATE(Jahr,1,1),Eintritt),L6&gt;IF(Austritt="",DATE(Jahr,12,31),Austritt)),0,IF(OR(ISERROR(VLOOKUP(L6,Stammdaten!$I$9:$J$26,2,FALSE)),SUMIFS(Stammdaten!$J$9:$J$26,Stammdaten!$I$9:$I$26,L6)=0),VLOOKUP(TEXT(L6,"TTT"),Stammdaten!$B$20:$F$26,5,FALSE),0)))</f>
        <v>0</v>
      </c>
      <c r="O6" s="36">
        <f t="shared" si="4"/>
        <v>45779</v>
      </c>
      <c r="P6" s="34">
        <f ca="1">IF($B6&gt;DAY(EOMONTH(O$4,0)),"",SUMIFS(INDIRECT(TEXT(O6,"MMM")&amp;"!$L$9:$L$999"),INDIRECT(TEXT(O6,"MMM")&amp;"!$B$9:$B$999"),O6)+SUMIFS(Abwesenheit!$J$3:$J$199,Abwesenheit!$D$3:$D$199,O6))</f>
        <v>0</v>
      </c>
      <c r="Q6" s="35">
        <f>IF($B6&gt;DAY(EOMONTH(O$4,0)),"",IF(OR(O6&lt;IF(YEAR(Eintritt)&lt;Jahr,DATE(Jahr,1,1),Eintritt),O6&gt;IF(Austritt="",DATE(Jahr,12,31),Austritt)),0,IF(OR(ISERROR(VLOOKUP(O6,Stammdaten!$I$9:$J$26,2,FALSE)),SUMIFS(Stammdaten!$J$9:$J$26,Stammdaten!$I$9:$I$26,O6)=0),VLOOKUP(TEXT(O6,"TTT"),Stammdaten!$B$20:$F$26,5,FALSE),0)))</f>
        <v>0</v>
      </c>
      <c r="R6" s="36">
        <f t="shared" si="5"/>
        <v>45810</v>
      </c>
      <c r="S6" s="34">
        <f ca="1">IF($B6&gt;DAY(EOMONTH(R$4,0)),"",SUMIFS(INDIRECT(TEXT(R6,"MMM")&amp;"!$L$9:$L$999"),INDIRECT(TEXT(R6,"MMM")&amp;"!$B$9:$B$999"),R6)+SUMIFS(Abwesenheit!$J$3:$J$199,Abwesenheit!$D$3:$D$199,R6))</f>
        <v>0</v>
      </c>
      <c r="T6" s="35">
        <f>IF($B6&gt;DAY(EOMONTH(R$4,0)),"",IF(OR(R6&lt;IF(YEAR(Eintritt)&lt;Jahr,DATE(Jahr,1,1),Eintritt),R6&gt;IF(Austritt="",DATE(Jahr,12,31),Austritt)),0,IF(OR(ISERROR(VLOOKUP(R6,Stammdaten!$I$9:$J$26,2,FALSE)),SUMIFS(Stammdaten!$J$9:$J$26,Stammdaten!$I$9:$I$26,R6)=0),VLOOKUP(TEXT(R6,"TTT"),Stammdaten!$B$20:$F$26,5,FALSE),0)))</f>
        <v>0</v>
      </c>
      <c r="U6" s="36">
        <f t="shared" si="6"/>
        <v>45840</v>
      </c>
      <c r="V6" s="34">
        <f ca="1">IF($B6&gt;DAY(EOMONTH(U$4,0)),"",SUMIFS(INDIRECT(TEXT(U6,"MMM")&amp;"!$L$9:$L$999"),INDIRECT(TEXT(U6,"MMM")&amp;"!$B$9:$B$999"),U6)+SUMIFS(Abwesenheit!$J$3:$J$199,Abwesenheit!$D$3:$D$199,U6))</f>
        <v>0</v>
      </c>
      <c r="W6" s="35">
        <f>IF($B6&gt;DAY(EOMONTH(U$4,0)),"",IF(OR(U6&lt;IF(YEAR(Eintritt)&lt;Jahr,DATE(Jahr,1,1),Eintritt),U6&gt;IF(Austritt="",DATE(Jahr,12,31),Austritt)),0,IF(OR(ISERROR(VLOOKUP(U6,Stammdaten!$I$9:$J$26,2,FALSE)),SUMIFS(Stammdaten!$J$9:$J$26,Stammdaten!$I$9:$I$26,U6)=0),VLOOKUP(TEXT(U6,"TTT"),Stammdaten!$B$20:$F$26,5,FALSE),0)))</f>
        <v>0</v>
      </c>
      <c r="X6" s="36">
        <f t="shared" si="7"/>
        <v>45871</v>
      </c>
      <c r="Y6" s="34">
        <f ca="1">IF($B6&gt;DAY(EOMONTH(X$4,0)),"",SUMIFS(INDIRECT(TEXT(X6,"MMM")&amp;"!$L$9:$L$999"),INDIRECT(TEXT(X6,"MMM")&amp;"!$B$9:$B$999"),X6)+SUMIFS(Abwesenheit!$J$3:$J$199,Abwesenheit!$D$3:$D$199,X6))</f>
        <v>0</v>
      </c>
      <c r="Z6" s="35">
        <f>IF($B6&gt;DAY(EOMONTH(X$4,0)),"",IF(OR(X6&lt;IF(YEAR(Eintritt)&lt;Jahr,DATE(Jahr,1,1),Eintritt),X6&gt;IF(Austritt="",DATE(Jahr,12,31),Austritt)),0,IF(OR(ISERROR(VLOOKUP(X6,Stammdaten!$I$9:$J$26,2,FALSE)),SUMIFS(Stammdaten!$J$9:$J$26,Stammdaten!$I$9:$I$26,X6)=0),VLOOKUP(TEXT(X6,"TTT"),Stammdaten!$B$20:$F$26,5,FALSE),0)))</f>
        <v>0</v>
      </c>
      <c r="AA6" s="36">
        <f t="shared" si="8"/>
        <v>45902</v>
      </c>
      <c r="AB6" s="34">
        <f ca="1">IF($B6&gt;DAY(EOMONTH(AA$4,0)),"",SUMIFS(INDIRECT(TEXT(AA6,"MMM")&amp;"!$L$9:$L$999"),INDIRECT(TEXT(AA6,"MMM")&amp;"!$B$9:$B$999"),AA6)+SUMIFS(Abwesenheit!$J$3:$J$199,Abwesenheit!$D$3:$D$199,AA6))</f>
        <v>0</v>
      </c>
      <c r="AC6" s="35">
        <f>IF($B6&gt;DAY(EOMONTH(AA$4,0)),"",IF(OR(AA6&lt;IF(YEAR(Eintritt)&lt;Jahr,DATE(Jahr,1,1),Eintritt),AA6&gt;IF(Austritt="",DATE(Jahr,12,31),Austritt)),0,IF(OR(ISERROR(VLOOKUP(AA6,Stammdaten!$I$9:$J$26,2,FALSE)),SUMIFS(Stammdaten!$J$9:$J$26,Stammdaten!$I$9:$I$26,AA6)=0),VLOOKUP(TEXT(AA6,"TTT"),Stammdaten!$B$20:$F$26,5,FALSE),0)))</f>
        <v>0</v>
      </c>
      <c r="AD6" s="36">
        <f t="shared" si="9"/>
        <v>45932</v>
      </c>
      <c r="AE6" s="34">
        <f ca="1">IF($B6&gt;DAY(EOMONTH(AD$4,0)),"",SUMIFS(INDIRECT(TEXT(AD6,"MMM")&amp;"!$L$9:$L$999"),INDIRECT(TEXT(AD6,"MMM")&amp;"!$B$9:$B$999"),AD6)+SUMIFS(Abwesenheit!$J$3:$J$199,Abwesenheit!$D$3:$D$199,AD6))</f>
        <v>0</v>
      </c>
      <c r="AF6" s="35">
        <f>IF($B6&gt;DAY(EOMONTH(AD$4,0)),"",IF(OR(AD6&lt;IF(YEAR(Eintritt)&lt;Jahr,DATE(Jahr,1,1),Eintritt),AD6&gt;IF(Austritt="",DATE(Jahr,12,31),Austritt)),0,IF(OR(ISERROR(VLOOKUP(AD6,Stammdaten!$I$9:$J$26,2,FALSE)),SUMIFS(Stammdaten!$J$9:$J$26,Stammdaten!$I$9:$I$26,AD6)=0),VLOOKUP(TEXT(AD6,"TTT"),Stammdaten!$B$20:$F$26,5,FALSE),0)))</f>
        <v>0</v>
      </c>
      <c r="AG6" s="36">
        <f t="shared" si="10"/>
        <v>45963</v>
      </c>
      <c r="AH6" s="34">
        <f ca="1">IF($B6&gt;DAY(EOMONTH(AG$4,0)),"",SUMIFS(INDIRECT(TEXT(AG6,"MMM")&amp;"!$L$9:$L$999"),INDIRECT(TEXT(AG6,"MMM")&amp;"!$B$9:$B$999"),AG6)+SUMIFS(Abwesenheit!$J$3:$J$199,Abwesenheit!$D$3:$D$199,AG6))</f>
        <v>0</v>
      </c>
      <c r="AI6" s="35">
        <f>IF($B6&gt;DAY(EOMONTH(AG$4,0)),"",IF(OR(AG6&lt;IF(YEAR(Eintritt)&lt;Jahr,DATE(Jahr,1,1),Eintritt),AG6&gt;IF(Austritt="",DATE(Jahr,12,31),Austritt)),0,IF(OR(ISERROR(VLOOKUP(AG6,Stammdaten!$I$9:$J$26,2,FALSE)),SUMIFS(Stammdaten!$J$9:$J$26,Stammdaten!$I$9:$I$26,AG6)=0),VLOOKUP(TEXT(AG6,"TTT"),Stammdaten!$B$20:$F$26,5,FALSE),0)))</f>
        <v>0</v>
      </c>
      <c r="AJ6" s="36">
        <f t="shared" si="11"/>
        <v>45993</v>
      </c>
      <c r="AK6" s="34">
        <f ca="1">IF($B6&gt;DAY(EOMONTH(AJ$4,0)),"",SUMIFS(INDIRECT(TEXT(AJ6,"MMM")&amp;"!$L$9:$L$999"),INDIRECT(TEXT(AJ6,"MMM")&amp;"!$B$9:$B$999"),AJ6)+SUMIFS(Abwesenheit!$J$3:$J$199,Abwesenheit!$D$3:$D$199,AJ6))</f>
        <v>0</v>
      </c>
      <c r="AL6" s="35">
        <f>IF($B6&gt;DAY(EOMONTH(AJ$4,0)),"",IF(OR(AJ6&lt;IF(YEAR(Eintritt)&lt;Jahr,DATE(Jahr,1,1),Eintritt),AJ6&gt;IF(Austritt="",DATE(Jahr,12,31),Austritt)),0,VLOOKUP(TEXT(AJ6,"TTT"),Stammdaten!$B$20:$F$26,5,FALSE)-IF(ISERROR(VLOOKUP(AJ6,Stammdaten!$I$9:$J$26,2,FALSE)),0,SUMIFS(Stammdaten!$J$9:$J$26,Stammdaten!$I$9:$I$26,AJ6)/24)))</f>
        <v>0</v>
      </c>
      <c r="AM6" s="37">
        <v>2</v>
      </c>
      <c r="AO6" s="8"/>
      <c r="AQ6" s="8"/>
      <c r="AR6" s="8"/>
      <c r="AS6" s="8"/>
    </row>
    <row r="7" spans="1:45" x14ac:dyDescent="0.3">
      <c r="A7" s="33"/>
      <c r="B7" s="37">
        <v>3</v>
      </c>
      <c r="C7" s="36">
        <f t="shared" si="0"/>
        <v>45660</v>
      </c>
      <c r="D7" s="34">
        <f ca="1">IF($B7&gt;DAY(EOMONTH(C$4,0)),"",SUMIFS(INDIRECT(TEXT(C7,"MMM")&amp;"!$L$9:$L$999"),INDIRECT(TEXT(C7,"MMM")&amp;"!$B$9:$B$999"),C7)+SUMIFS(Abwesenheit!$J$3:$J$199,Abwesenheit!$D$3:$D$199,C7))</f>
        <v>0</v>
      </c>
      <c r="E7" s="35">
        <f>IF($B7&gt;DAY(EOMONTH(C$4,0)),"",IF(OR(C7&lt;IF(YEAR(Eintritt)&lt;Jahr,DATE(Jahr,1,1),Eintritt),C7&gt;IF(Austritt="",DATE(Jahr,12,31),Austritt)),0,IF(OR(ISERROR(VLOOKUP(C7,Stammdaten!$I$9:$J$26,2,FALSE)),SUMIFS(Stammdaten!$J$9:$J$26,Stammdaten!$I$9:$I$26,C7)=0),VLOOKUP(TEXT(C7,"TTT"),Stammdaten!$B$20:$F$26,5,FALSE),0)))</f>
        <v>0</v>
      </c>
      <c r="F7" s="36">
        <f t="shared" si="1"/>
        <v>45691</v>
      </c>
      <c r="G7" s="34">
        <f ca="1">IF($B7&gt;DAY(EOMONTH(F$4,0)),"",SUMIFS(INDIRECT(TEXT(F7,"MMM")&amp;"!$L$9:$L$999"),INDIRECT(TEXT(F7,"MMM")&amp;"!$B$9:$B$999"),F7)+SUMIFS(Abwesenheit!$J$3:$J$199,Abwesenheit!$D$3:$D$199,F7))</f>
        <v>0</v>
      </c>
      <c r="H7" s="35">
        <f>IF($B7&gt;DAY(EOMONTH(F$4,0)),"",IF(OR(F7&lt;IF(YEAR(Eintritt)&lt;Jahr,DATE(Jahr,1,1),Eintritt),F7&gt;IF(Austritt="",DATE(Jahr,12,31),Austritt)),0,IF(OR(ISERROR(VLOOKUP(F7,Stammdaten!$I$9:$J$26,2,FALSE)),SUMIFS(Stammdaten!$J$9:$J$26,Stammdaten!$I$9:$I$26,F7)=0),VLOOKUP(TEXT(F7,"TTT"),Stammdaten!$B$20:$F$26,5,FALSE),0)))</f>
        <v>0</v>
      </c>
      <c r="I7" s="36">
        <f t="shared" si="2"/>
        <v>45719</v>
      </c>
      <c r="J7" s="34">
        <f ca="1">IF($B7&gt;DAY(EOMONTH(I$4,0)),"",SUMIFS(INDIRECT(TEXT(I7,"MMM")&amp;"!$L$9:$L$999"),INDIRECT(TEXT(I7,"MMM")&amp;"!$B$9:$B$999"),I7)+SUMIFS(Abwesenheit!$J$3:$J$199,Abwesenheit!$D$3:$D$199,I7))</f>
        <v>0</v>
      </c>
      <c r="K7" s="35">
        <f>IF($B7&gt;DAY(EOMONTH(I$4,0)),"",IF(OR(I7&lt;IF(YEAR(Eintritt)&lt;Jahr,DATE(Jahr,1,1),Eintritt),I7&gt;IF(Austritt="",DATE(Jahr,12,31),Austritt)),0,IF(OR(ISERROR(VLOOKUP(I7,Stammdaten!$I$9:$J$26,2,FALSE)),SUMIFS(Stammdaten!$J$9:$J$26,Stammdaten!$I$9:$I$26,I7)=0),VLOOKUP(TEXT(I7,"TTT"),Stammdaten!$B$20:$F$26,5,FALSE),0)))</f>
        <v>0</v>
      </c>
      <c r="L7" s="36">
        <f t="shared" si="3"/>
        <v>45750</v>
      </c>
      <c r="M7" s="34">
        <f ca="1">IF($B7&gt;DAY(EOMONTH(L$4,0)),"",SUMIFS(INDIRECT(TEXT(L7,"MMM")&amp;"!$L$9:$L$999"),INDIRECT(TEXT(L7,"MMM")&amp;"!$B$9:$B$999"),L7)+SUMIFS(Abwesenheit!$J$3:$J$199,Abwesenheit!$D$3:$D$199,L7))</f>
        <v>0</v>
      </c>
      <c r="N7" s="35">
        <f>IF($B7&gt;DAY(EOMONTH(L$4,0)),"",IF(OR(L7&lt;IF(YEAR(Eintritt)&lt;Jahr,DATE(Jahr,1,1),Eintritt),L7&gt;IF(Austritt="",DATE(Jahr,12,31),Austritt)),0,IF(OR(ISERROR(VLOOKUP(L7,Stammdaten!$I$9:$J$26,2,FALSE)),SUMIFS(Stammdaten!$J$9:$J$26,Stammdaten!$I$9:$I$26,L7)=0),VLOOKUP(TEXT(L7,"TTT"),Stammdaten!$B$20:$F$26,5,FALSE),0)))</f>
        <v>0</v>
      </c>
      <c r="O7" s="36">
        <f t="shared" si="4"/>
        <v>45780</v>
      </c>
      <c r="P7" s="34">
        <f ca="1">IF($B7&gt;DAY(EOMONTH(O$4,0)),"",SUMIFS(INDIRECT(TEXT(O7,"MMM")&amp;"!$L$9:$L$999"),INDIRECT(TEXT(O7,"MMM")&amp;"!$B$9:$B$999"),O7)+SUMIFS(Abwesenheit!$J$3:$J$199,Abwesenheit!$D$3:$D$199,O7))</f>
        <v>0</v>
      </c>
      <c r="Q7" s="35">
        <f>IF($B7&gt;DAY(EOMONTH(O$4,0)),"",IF(OR(O7&lt;IF(YEAR(Eintritt)&lt;Jahr,DATE(Jahr,1,1),Eintritt),O7&gt;IF(Austritt="",DATE(Jahr,12,31),Austritt)),0,IF(OR(ISERROR(VLOOKUP(O7,Stammdaten!$I$9:$J$26,2,FALSE)),SUMIFS(Stammdaten!$J$9:$J$26,Stammdaten!$I$9:$I$26,O7)=0),VLOOKUP(TEXT(O7,"TTT"),Stammdaten!$B$20:$F$26,5,FALSE),0)))</f>
        <v>0</v>
      </c>
      <c r="R7" s="36">
        <f t="shared" si="5"/>
        <v>45811</v>
      </c>
      <c r="S7" s="34">
        <f ca="1">IF($B7&gt;DAY(EOMONTH(R$4,0)),"",SUMIFS(INDIRECT(TEXT(R7,"MMM")&amp;"!$L$9:$L$999"),INDIRECT(TEXT(R7,"MMM")&amp;"!$B$9:$B$999"),R7)+SUMIFS(Abwesenheit!$J$3:$J$199,Abwesenheit!$D$3:$D$199,R7))</f>
        <v>0</v>
      </c>
      <c r="T7" s="35">
        <f>IF($B7&gt;DAY(EOMONTH(R$4,0)),"",IF(OR(R7&lt;IF(YEAR(Eintritt)&lt;Jahr,DATE(Jahr,1,1),Eintritt),R7&gt;IF(Austritt="",DATE(Jahr,12,31),Austritt)),0,IF(OR(ISERROR(VLOOKUP(R7,Stammdaten!$I$9:$J$26,2,FALSE)),SUMIFS(Stammdaten!$J$9:$J$26,Stammdaten!$I$9:$I$26,R7)=0),VLOOKUP(TEXT(R7,"TTT"),Stammdaten!$B$20:$F$26,5,FALSE),0)))</f>
        <v>0</v>
      </c>
      <c r="U7" s="36">
        <f t="shared" si="6"/>
        <v>45841</v>
      </c>
      <c r="V7" s="34">
        <f ca="1">IF($B7&gt;DAY(EOMONTH(U$4,0)),"",SUMIFS(INDIRECT(TEXT(U7,"MMM")&amp;"!$L$9:$L$999"),INDIRECT(TEXT(U7,"MMM")&amp;"!$B$9:$B$999"),U7)+SUMIFS(Abwesenheit!$J$3:$J$199,Abwesenheit!$D$3:$D$199,U7))</f>
        <v>0</v>
      </c>
      <c r="W7" s="35">
        <f>IF($B7&gt;DAY(EOMONTH(U$4,0)),"",IF(OR(U7&lt;IF(YEAR(Eintritt)&lt;Jahr,DATE(Jahr,1,1),Eintritt),U7&gt;IF(Austritt="",DATE(Jahr,12,31),Austritt)),0,IF(OR(ISERROR(VLOOKUP(U7,Stammdaten!$I$9:$J$26,2,FALSE)),SUMIFS(Stammdaten!$J$9:$J$26,Stammdaten!$I$9:$I$26,U7)=0),VLOOKUP(TEXT(U7,"TTT"),Stammdaten!$B$20:$F$26,5,FALSE),0)))</f>
        <v>0</v>
      </c>
      <c r="X7" s="36">
        <f t="shared" si="7"/>
        <v>45872</v>
      </c>
      <c r="Y7" s="34">
        <f ca="1">IF($B7&gt;DAY(EOMONTH(X$4,0)),"",SUMIFS(INDIRECT(TEXT(X7,"MMM")&amp;"!$L$9:$L$999"),INDIRECT(TEXT(X7,"MMM")&amp;"!$B$9:$B$999"),X7)+SUMIFS(Abwesenheit!$J$3:$J$199,Abwesenheit!$D$3:$D$199,X7))</f>
        <v>0</v>
      </c>
      <c r="Z7" s="35">
        <f>IF($B7&gt;DAY(EOMONTH(X$4,0)),"",IF(OR(X7&lt;IF(YEAR(Eintritt)&lt;Jahr,DATE(Jahr,1,1),Eintritt),X7&gt;IF(Austritt="",DATE(Jahr,12,31),Austritt)),0,IF(OR(ISERROR(VLOOKUP(X7,Stammdaten!$I$9:$J$26,2,FALSE)),SUMIFS(Stammdaten!$J$9:$J$26,Stammdaten!$I$9:$I$26,X7)=0),VLOOKUP(TEXT(X7,"TTT"),Stammdaten!$B$20:$F$26,5,FALSE),0)))</f>
        <v>0</v>
      </c>
      <c r="AA7" s="36">
        <f t="shared" si="8"/>
        <v>45903</v>
      </c>
      <c r="AB7" s="34">
        <f ca="1">IF($B7&gt;DAY(EOMONTH(AA$4,0)),"",SUMIFS(INDIRECT(TEXT(AA7,"MMM")&amp;"!$L$9:$L$999"),INDIRECT(TEXT(AA7,"MMM")&amp;"!$B$9:$B$999"),AA7)+SUMIFS(Abwesenheit!$J$3:$J$199,Abwesenheit!$D$3:$D$199,AA7))</f>
        <v>0</v>
      </c>
      <c r="AC7" s="35">
        <f>IF($B7&gt;DAY(EOMONTH(AA$4,0)),"",IF(OR(AA7&lt;IF(YEAR(Eintritt)&lt;Jahr,DATE(Jahr,1,1),Eintritt),AA7&gt;IF(Austritt="",DATE(Jahr,12,31),Austritt)),0,IF(OR(ISERROR(VLOOKUP(AA7,Stammdaten!$I$9:$J$26,2,FALSE)),SUMIFS(Stammdaten!$J$9:$J$26,Stammdaten!$I$9:$I$26,AA7)=0),VLOOKUP(TEXT(AA7,"TTT"),Stammdaten!$B$20:$F$26,5,FALSE),0)))</f>
        <v>0</v>
      </c>
      <c r="AD7" s="36">
        <f t="shared" si="9"/>
        <v>45933</v>
      </c>
      <c r="AE7" s="34">
        <f ca="1">IF($B7&gt;DAY(EOMONTH(AD$4,0)),"",SUMIFS(INDIRECT(TEXT(AD7,"MMM")&amp;"!$L$9:$L$999"),INDIRECT(TEXT(AD7,"MMM")&amp;"!$B$9:$B$999"),AD7)+SUMIFS(Abwesenheit!$J$3:$J$199,Abwesenheit!$D$3:$D$199,AD7))</f>
        <v>0</v>
      </c>
      <c r="AF7" s="35">
        <f>IF($B7&gt;DAY(EOMONTH(AD$4,0)),"",IF(OR(AD7&lt;IF(YEAR(Eintritt)&lt;Jahr,DATE(Jahr,1,1),Eintritt),AD7&gt;IF(Austritt="",DATE(Jahr,12,31),Austritt)),0,IF(OR(ISERROR(VLOOKUP(AD7,Stammdaten!$I$9:$J$26,2,FALSE)),SUMIFS(Stammdaten!$J$9:$J$26,Stammdaten!$I$9:$I$26,AD7)=0),VLOOKUP(TEXT(AD7,"TTT"),Stammdaten!$B$20:$F$26,5,FALSE),0)))</f>
        <v>0</v>
      </c>
      <c r="AG7" s="36">
        <f t="shared" si="10"/>
        <v>45964</v>
      </c>
      <c r="AH7" s="34">
        <f ca="1">IF($B7&gt;DAY(EOMONTH(AG$4,0)),"",SUMIFS(INDIRECT(TEXT(AG7,"MMM")&amp;"!$L$9:$L$999"),INDIRECT(TEXT(AG7,"MMM")&amp;"!$B$9:$B$999"),AG7)+SUMIFS(Abwesenheit!$J$3:$J$199,Abwesenheit!$D$3:$D$199,AG7))</f>
        <v>0</v>
      </c>
      <c r="AI7" s="35">
        <f>IF($B7&gt;DAY(EOMONTH(AG$4,0)),"",IF(OR(AG7&lt;IF(YEAR(Eintritt)&lt;Jahr,DATE(Jahr,1,1),Eintritt),AG7&gt;IF(Austritt="",DATE(Jahr,12,31),Austritt)),0,IF(OR(ISERROR(VLOOKUP(AG7,Stammdaten!$I$9:$J$26,2,FALSE)),SUMIFS(Stammdaten!$J$9:$J$26,Stammdaten!$I$9:$I$26,AG7)=0),VLOOKUP(TEXT(AG7,"TTT"),Stammdaten!$B$20:$F$26,5,FALSE),0)))</f>
        <v>0</v>
      </c>
      <c r="AJ7" s="36">
        <f t="shared" si="11"/>
        <v>45994</v>
      </c>
      <c r="AK7" s="34">
        <f ca="1">IF($B7&gt;DAY(EOMONTH(AJ$4,0)),"",SUMIFS(INDIRECT(TEXT(AJ7,"MMM")&amp;"!$L$9:$L$999"),INDIRECT(TEXT(AJ7,"MMM")&amp;"!$B$9:$B$999"),AJ7)+SUMIFS(Abwesenheit!$J$3:$J$199,Abwesenheit!$D$3:$D$199,AJ7))</f>
        <v>0</v>
      </c>
      <c r="AL7" s="35">
        <f>IF($B7&gt;DAY(EOMONTH(AJ$4,0)),"",IF(OR(AJ7&lt;IF(YEAR(Eintritt)&lt;Jahr,DATE(Jahr,1,1),Eintritt),AJ7&gt;IF(Austritt="",DATE(Jahr,12,31),Austritt)),0,VLOOKUP(TEXT(AJ7,"TTT"),Stammdaten!$B$20:$F$26,5,FALSE)-IF(ISERROR(VLOOKUP(AJ7,Stammdaten!$I$9:$J$26,2,FALSE)),0,SUMIFS(Stammdaten!$J$9:$J$26,Stammdaten!$I$9:$I$26,AJ7)/24)))</f>
        <v>0</v>
      </c>
      <c r="AM7" s="37">
        <v>3</v>
      </c>
      <c r="AO7" s="8"/>
      <c r="AP7" s="8"/>
      <c r="AQ7" s="8"/>
      <c r="AR7" s="8"/>
      <c r="AS7" s="8"/>
    </row>
    <row r="8" spans="1:45" x14ac:dyDescent="0.3">
      <c r="A8" s="33"/>
      <c r="B8" s="37">
        <v>4</v>
      </c>
      <c r="C8" s="36">
        <f t="shared" si="0"/>
        <v>45661</v>
      </c>
      <c r="D8" s="34">
        <f ca="1">IF($B8&gt;DAY(EOMONTH(C$4,0)),"",SUMIFS(INDIRECT(TEXT(C8,"MMM")&amp;"!$L$9:$L$999"),INDIRECT(TEXT(C8,"MMM")&amp;"!$B$9:$B$999"),C8)+SUMIFS(Abwesenheit!$J$3:$J$199,Abwesenheit!$D$3:$D$199,C8))</f>
        <v>0</v>
      </c>
      <c r="E8" s="35">
        <f>IF($B8&gt;DAY(EOMONTH(C$4,0)),"",IF(OR(C8&lt;IF(YEAR(Eintritt)&lt;Jahr,DATE(Jahr,1,1),Eintritt),C8&gt;IF(Austritt="",DATE(Jahr,12,31),Austritt)),0,IF(OR(ISERROR(VLOOKUP(C8,Stammdaten!$I$9:$J$26,2,FALSE)),SUMIFS(Stammdaten!$J$9:$J$26,Stammdaten!$I$9:$I$26,C8)=0),VLOOKUP(TEXT(C8,"TTT"),Stammdaten!$B$20:$F$26,5,FALSE),0)))</f>
        <v>0</v>
      </c>
      <c r="F8" s="36">
        <f t="shared" si="1"/>
        <v>45692</v>
      </c>
      <c r="G8" s="34">
        <f ca="1">IF($B8&gt;DAY(EOMONTH(F$4,0)),"",SUMIFS(INDIRECT(TEXT(F8,"MMM")&amp;"!$L$9:$L$999"),INDIRECT(TEXT(F8,"MMM")&amp;"!$B$9:$B$999"),F8)+SUMIFS(Abwesenheit!$J$3:$J$199,Abwesenheit!$D$3:$D$199,F8))</f>
        <v>0</v>
      </c>
      <c r="H8" s="35">
        <f>IF($B8&gt;DAY(EOMONTH(F$4,0)),"",IF(OR(F8&lt;IF(YEAR(Eintritt)&lt;Jahr,DATE(Jahr,1,1),Eintritt),F8&gt;IF(Austritt="",DATE(Jahr,12,31),Austritt)),0,IF(OR(ISERROR(VLOOKUP(F8,Stammdaten!$I$9:$J$26,2,FALSE)),SUMIFS(Stammdaten!$J$9:$J$26,Stammdaten!$I$9:$I$26,F8)=0),VLOOKUP(TEXT(F8,"TTT"),Stammdaten!$B$20:$F$26,5,FALSE),0)))</f>
        <v>0</v>
      </c>
      <c r="I8" s="36">
        <f t="shared" si="2"/>
        <v>45720</v>
      </c>
      <c r="J8" s="34">
        <f ca="1">IF($B8&gt;DAY(EOMONTH(I$4,0)),"",SUMIFS(INDIRECT(TEXT(I8,"MMM")&amp;"!$L$9:$L$999"),INDIRECT(TEXT(I8,"MMM")&amp;"!$B$9:$B$999"),I8)+SUMIFS(Abwesenheit!$J$3:$J$199,Abwesenheit!$D$3:$D$199,I8))</f>
        <v>0</v>
      </c>
      <c r="K8" s="35">
        <f>IF($B8&gt;DAY(EOMONTH(I$4,0)),"",IF(OR(I8&lt;IF(YEAR(Eintritt)&lt;Jahr,DATE(Jahr,1,1),Eintritt),I8&gt;IF(Austritt="",DATE(Jahr,12,31),Austritt)),0,IF(OR(ISERROR(VLOOKUP(I8,Stammdaten!$I$9:$J$26,2,FALSE)),SUMIFS(Stammdaten!$J$9:$J$26,Stammdaten!$I$9:$I$26,I8)=0),VLOOKUP(TEXT(I8,"TTT"),Stammdaten!$B$20:$F$26,5,FALSE),0)))</f>
        <v>0</v>
      </c>
      <c r="L8" s="36">
        <f t="shared" si="3"/>
        <v>45751</v>
      </c>
      <c r="M8" s="34">
        <f ca="1">IF($B8&gt;DAY(EOMONTH(L$4,0)),"",SUMIFS(INDIRECT(TEXT(L8,"MMM")&amp;"!$L$9:$L$999"),INDIRECT(TEXT(L8,"MMM")&amp;"!$B$9:$B$999"),L8)+SUMIFS(Abwesenheit!$J$3:$J$199,Abwesenheit!$D$3:$D$199,L8))</f>
        <v>0</v>
      </c>
      <c r="N8" s="35">
        <f>IF($B8&gt;DAY(EOMONTH(L$4,0)),"",IF(OR(L8&lt;IF(YEAR(Eintritt)&lt;Jahr,DATE(Jahr,1,1),Eintritt),L8&gt;IF(Austritt="",DATE(Jahr,12,31),Austritt)),0,IF(OR(ISERROR(VLOOKUP(L8,Stammdaten!$I$9:$J$26,2,FALSE)),SUMIFS(Stammdaten!$J$9:$J$26,Stammdaten!$I$9:$I$26,L8)=0),VLOOKUP(TEXT(L8,"TTT"),Stammdaten!$B$20:$F$26,5,FALSE),0)))</f>
        <v>0</v>
      </c>
      <c r="O8" s="36">
        <f t="shared" si="4"/>
        <v>45781</v>
      </c>
      <c r="P8" s="34">
        <f ca="1">IF($B8&gt;DAY(EOMONTH(O$4,0)),"",SUMIFS(INDIRECT(TEXT(O8,"MMM")&amp;"!$L$9:$L$999"),INDIRECT(TEXT(O8,"MMM")&amp;"!$B$9:$B$999"),O8)+SUMIFS(Abwesenheit!$J$3:$J$199,Abwesenheit!$D$3:$D$199,O8))</f>
        <v>0</v>
      </c>
      <c r="Q8" s="35">
        <f>IF($B8&gt;DAY(EOMONTH(O$4,0)),"",IF(OR(O8&lt;IF(YEAR(Eintritt)&lt;Jahr,DATE(Jahr,1,1),Eintritt),O8&gt;IF(Austritt="",DATE(Jahr,12,31),Austritt)),0,IF(OR(ISERROR(VLOOKUP(O8,Stammdaten!$I$9:$J$26,2,FALSE)),SUMIFS(Stammdaten!$J$9:$J$26,Stammdaten!$I$9:$I$26,O8)=0),VLOOKUP(TEXT(O8,"TTT"),Stammdaten!$B$20:$F$26,5,FALSE),0)))</f>
        <v>0</v>
      </c>
      <c r="R8" s="36">
        <f t="shared" si="5"/>
        <v>45812</v>
      </c>
      <c r="S8" s="34">
        <f ca="1">IF($B8&gt;DAY(EOMONTH(R$4,0)),"",SUMIFS(INDIRECT(TEXT(R8,"MMM")&amp;"!$L$9:$L$999"),INDIRECT(TEXT(R8,"MMM")&amp;"!$B$9:$B$999"),R8)+SUMIFS(Abwesenheit!$J$3:$J$199,Abwesenheit!$D$3:$D$199,R8))</f>
        <v>0</v>
      </c>
      <c r="T8" s="35">
        <f>IF($B8&gt;DAY(EOMONTH(R$4,0)),"",IF(OR(R8&lt;IF(YEAR(Eintritt)&lt;Jahr,DATE(Jahr,1,1),Eintritt),R8&gt;IF(Austritt="",DATE(Jahr,12,31),Austritt)),0,IF(OR(ISERROR(VLOOKUP(R8,Stammdaten!$I$9:$J$26,2,FALSE)),SUMIFS(Stammdaten!$J$9:$J$26,Stammdaten!$I$9:$I$26,R8)=0),VLOOKUP(TEXT(R8,"TTT"),Stammdaten!$B$20:$F$26,5,FALSE),0)))</f>
        <v>0</v>
      </c>
      <c r="U8" s="36">
        <f t="shared" si="6"/>
        <v>45842</v>
      </c>
      <c r="V8" s="34">
        <f ca="1">IF($B8&gt;DAY(EOMONTH(U$4,0)),"",SUMIFS(INDIRECT(TEXT(U8,"MMM")&amp;"!$L$9:$L$999"),INDIRECT(TEXT(U8,"MMM")&amp;"!$B$9:$B$999"),U8)+SUMIFS(Abwesenheit!$J$3:$J$199,Abwesenheit!$D$3:$D$199,U8))</f>
        <v>0</v>
      </c>
      <c r="W8" s="35">
        <f>IF($B8&gt;DAY(EOMONTH(U$4,0)),"",IF(OR(U8&lt;IF(YEAR(Eintritt)&lt;Jahr,DATE(Jahr,1,1),Eintritt),U8&gt;IF(Austritt="",DATE(Jahr,12,31),Austritt)),0,IF(OR(ISERROR(VLOOKUP(U8,Stammdaten!$I$9:$J$26,2,FALSE)),SUMIFS(Stammdaten!$J$9:$J$26,Stammdaten!$I$9:$I$26,U8)=0),VLOOKUP(TEXT(U8,"TTT"),Stammdaten!$B$20:$F$26,5,FALSE),0)))</f>
        <v>0</v>
      </c>
      <c r="X8" s="36">
        <f t="shared" si="7"/>
        <v>45873</v>
      </c>
      <c r="Y8" s="34">
        <f ca="1">IF($B8&gt;DAY(EOMONTH(X$4,0)),"",SUMIFS(INDIRECT(TEXT(X8,"MMM")&amp;"!$L$9:$L$999"),INDIRECT(TEXT(X8,"MMM")&amp;"!$B$9:$B$999"),X8)+SUMIFS(Abwesenheit!$J$3:$J$199,Abwesenheit!$D$3:$D$199,X8))</f>
        <v>0</v>
      </c>
      <c r="Z8" s="35">
        <f>IF($B8&gt;DAY(EOMONTH(X$4,0)),"",IF(OR(X8&lt;IF(YEAR(Eintritt)&lt;Jahr,DATE(Jahr,1,1),Eintritt),X8&gt;IF(Austritt="",DATE(Jahr,12,31),Austritt)),0,IF(OR(ISERROR(VLOOKUP(X8,Stammdaten!$I$9:$J$26,2,FALSE)),SUMIFS(Stammdaten!$J$9:$J$26,Stammdaten!$I$9:$I$26,X8)=0),VLOOKUP(TEXT(X8,"TTT"),Stammdaten!$B$20:$F$26,5,FALSE),0)))</f>
        <v>0</v>
      </c>
      <c r="AA8" s="36">
        <f t="shared" si="8"/>
        <v>45904</v>
      </c>
      <c r="AB8" s="34">
        <f ca="1">IF($B8&gt;DAY(EOMONTH(AA$4,0)),"",SUMIFS(INDIRECT(TEXT(AA8,"MMM")&amp;"!$L$9:$L$999"),INDIRECT(TEXT(AA8,"MMM")&amp;"!$B$9:$B$999"),AA8)+SUMIFS(Abwesenheit!$J$3:$J$199,Abwesenheit!$D$3:$D$199,AA8))</f>
        <v>0</v>
      </c>
      <c r="AC8" s="35">
        <f>IF($B8&gt;DAY(EOMONTH(AA$4,0)),"",IF(OR(AA8&lt;IF(YEAR(Eintritt)&lt;Jahr,DATE(Jahr,1,1),Eintritt),AA8&gt;IF(Austritt="",DATE(Jahr,12,31),Austritt)),0,IF(OR(ISERROR(VLOOKUP(AA8,Stammdaten!$I$9:$J$26,2,FALSE)),SUMIFS(Stammdaten!$J$9:$J$26,Stammdaten!$I$9:$I$26,AA8)=0),VLOOKUP(TEXT(AA8,"TTT"),Stammdaten!$B$20:$F$26,5,FALSE),0)))</f>
        <v>0</v>
      </c>
      <c r="AD8" s="36">
        <f t="shared" si="9"/>
        <v>45934</v>
      </c>
      <c r="AE8" s="34">
        <f ca="1">IF($B8&gt;DAY(EOMONTH(AD$4,0)),"",SUMIFS(INDIRECT(TEXT(AD8,"MMM")&amp;"!$L$9:$L$999"),INDIRECT(TEXT(AD8,"MMM")&amp;"!$B$9:$B$999"),AD8)+SUMIFS(Abwesenheit!$J$3:$J$199,Abwesenheit!$D$3:$D$199,AD8))</f>
        <v>0</v>
      </c>
      <c r="AF8" s="35">
        <f>IF($B8&gt;DAY(EOMONTH(AD$4,0)),"",IF(OR(AD8&lt;IF(YEAR(Eintritt)&lt;Jahr,DATE(Jahr,1,1),Eintritt),AD8&gt;IF(Austritt="",DATE(Jahr,12,31),Austritt)),0,IF(OR(ISERROR(VLOOKUP(AD8,Stammdaten!$I$9:$J$26,2,FALSE)),SUMIFS(Stammdaten!$J$9:$J$26,Stammdaten!$I$9:$I$26,AD8)=0),VLOOKUP(TEXT(AD8,"TTT"),Stammdaten!$B$20:$F$26,5,FALSE),0)))</f>
        <v>0</v>
      </c>
      <c r="AG8" s="36">
        <f t="shared" si="10"/>
        <v>45965</v>
      </c>
      <c r="AH8" s="34">
        <f ca="1">IF($B8&gt;DAY(EOMONTH(AG$4,0)),"",SUMIFS(INDIRECT(TEXT(AG8,"MMM")&amp;"!$L$9:$L$999"),INDIRECT(TEXT(AG8,"MMM")&amp;"!$B$9:$B$999"),AG8)+SUMIFS(Abwesenheit!$J$3:$J$199,Abwesenheit!$D$3:$D$199,AG8))</f>
        <v>0</v>
      </c>
      <c r="AI8" s="35">
        <f>IF($B8&gt;DAY(EOMONTH(AG$4,0)),"",IF(OR(AG8&lt;IF(YEAR(Eintritt)&lt;Jahr,DATE(Jahr,1,1),Eintritt),AG8&gt;IF(Austritt="",DATE(Jahr,12,31),Austritt)),0,IF(OR(ISERROR(VLOOKUP(AG8,Stammdaten!$I$9:$J$26,2,FALSE)),SUMIFS(Stammdaten!$J$9:$J$26,Stammdaten!$I$9:$I$26,AG8)=0),VLOOKUP(TEXT(AG8,"TTT"),Stammdaten!$B$20:$F$26,5,FALSE),0)))</f>
        <v>0</v>
      </c>
      <c r="AJ8" s="36">
        <f t="shared" si="11"/>
        <v>45995</v>
      </c>
      <c r="AK8" s="34">
        <f ca="1">IF($B8&gt;DAY(EOMONTH(AJ$4,0)),"",SUMIFS(INDIRECT(TEXT(AJ8,"MMM")&amp;"!$L$9:$L$999"),INDIRECT(TEXT(AJ8,"MMM")&amp;"!$B$9:$B$999"),AJ8)+SUMIFS(Abwesenheit!$J$3:$J$199,Abwesenheit!$D$3:$D$199,AJ8))</f>
        <v>0</v>
      </c>
      <c r="AL8" s="35">
        <f>IF($B8&gt;DAY(EOMONTH(AJ$4,0)),"",IF(OR(AJ8&lt;IF(YEAR(Eintritt)&lt;Jahr,DATE(Jahr,1,1),Eintritt),AJ8&gt;IF(Austritt="",DATE(Jahr,12,31),Austritt)),0,VLOOKUP(TEXT(AJ8,"TTT"),Stammdaten!$B$20:$F$26,5,FALSE)-IF(ISERROR(VLOOKUP(AJ8,Stammdaten!$I$9:$J$26,2,FALSE)),0,SUMIFS(Stammdaten!$J$9:$J$26,Stammdaten!$I$9:$I$26,AJ8)/24)))</f>
        <v>0</v>
      </c>
      <c r="AM8" s="37">
        <v>4</v>
      </c>
      <c r="AO8" s="8"/>
      <c r="AP8" s="8"/>
      <c r="AQ8" s="8"/>
      <c r="AR8" s="8"/>
      <c r="AS8" s="8"/>
    </row>
    <row r="9" spans="1:45" x14ac:dyDescent="0.3">
      <c r="A9" s="33"/>
      <c r="B9" s="37">
        <v>5</v>
      </c>
      <c r="C9" s="36">
        <f t="shared" si="0"/>
        <v>45662</v>
      </c>
      <c r="D9" s="34">
        <f ca="1">IF($B9&gt;DAY(EOMONTH(C$4,0)),"",SUMIFS(INDIRECT(TEXT(C9,"MMM")&amp;"!$L$9:$L$999"),INDIRECT(TEXT(C9,"MMM")&amp;"!$B$9:$B$999"),C9)+SUMIFS(Abwesenheit!$J$3:$J$199,Abwesenheit!$D$3:$D$199,C9))</f>
        <v>0</v>
      </c>
      <c r="E9" s="35">
        <f>IF($B9&gt;DAY(EOMONTH(C$4,0)),"",IF(OR(C9&lt;IF(YEAR(Eintritt)&lt;Jahr,DATE(Jahr,1,1),Eintritt),C9&gt;IF(Austritt="",DATE(Jahr,12,31),Austritt)),0,IF(OR(ISERROR(VLOOKUP(C9,Stammdaten!$I$9:$J$26,2,FALSE)),SUMIFS(Stammdaten!$J$9:$J$26,Stammdaten!$I$9:$I$26,C9)=0),VLOOKUP(TEXT(C9,"TTT"),Stammdaten!$B$20:$F$26,5,FALSE),0)))</f>
        <v>0</v>
      </c>
      <c r="F9" s="36">
        <f t="shared" si="1"/>
        <v>45693</v>
      </c>
      <c r="G9" s="34">
        <f ca="1">IF($B9&gt;DAY(EOMONTH(F$4,0)),"",SUMIFS(INDIRECT(TEXT(F9,"MMM")&amp;"!$L$9:$L$999"),INDIRECT(TEXT(F9,"MMM")&amp;"!$B$9:$B$999"),F9)+SUMIFS(Abwesenheit!$J$3:$J$199,Abwesenheit!$D$3:$D$199,F9))</f>
        <v>0</v>
      </c>
      <c r="H9" s="35">
        <f>IF($B9&gt;DAY(EOMONTH(F$4,0)),"",IF(OR(F9&lt;IF(YEAR(Eintritt)&lt;Jahr,DATE(Jahr,1,1),Eintritt),F9&gt;IF(Austritt="",DATE(Jahr,12,31),Austritt)),0,IF(OR(ISERROR(VLOOKUP(F9,Stammdaten!$I$9:$J$26,2,FALSE)),SUMIFS(Stammdaten!$J$9:$J$26,Stammdaten!$I$9:$I$26,F9)=0),VLOOKUP(TEXT(F9,"TTT"),Stammdaten!$B$20:$F$26,5,FALSE),0)))</f>
        <v>0</v>
      </c>
      <c r="I9" s="36">
        <f t="shared" si="2"/>
        <v>45721</v>
      </c>
      <c r="J9" s="34">
        <f ca="1">IF($B9&gt;DAY(EOMONTH(I$4,0)),"",SUMIFS(INDIRECT(TEXT(I9,"MMM")&amp;"!$L$9:$L$999"),INDIRECT(TEXT(I9,"MMM")&amp;"!$B$9:$B$999"),I9)+SUMIFS(Abwesenheit!$J$3:$J$199,Abwesenheit!$D$3:$D$199,I9))</f>
        <v>0</v>
      </c>
      <c r="K9" s="35">
        <f>IF($B9&gt;DAY(EOMONTH(I$4,0)),"",IF(OR(I9&lt;IF(YEAR(Eintritt)&lt;Jahr,DATE(Jahr,1,1),Eintritt),I9&gt;IF(Austritt="",DATE(Jahr,12,31),Austritt)),0,IF(OR(ISERROR(VLOOKUP(I9,Stammdaten!$I$9:$J$26,2,FALSE)),SUMIFS(Stammdaten!$J$9:$J$26,Stammdaten!$I$9:$I$26,I9)=0),VLOOKUP(TEXT(I9,"TTT"),Stammdaten!$B$20:$F$26,5,FALSE),0)))</f>
        <v>0</v>
      </c>
      <c r="L9" s="36">
        <f t="shared" si="3"/>
        <v>45752</v>
      </c>
      <c r="M9" s="34">
        <f ca="1">IF($B9&gt;DAY(EOMONTH(L$4,0)),"",SUMIFS(INDIRECT(TEXT(L9,"MMM")&amp;"!$L$9:$L$999"),INDIRECT(TEXT(L9,"MMM")&amp;"!$B$9:$B$999"),L9)+SUMIFS(Abwesenheit!$J$3:$J$199,Abwesenheit!$D$3:$D$199,L9))</f>
        <v>0</v>
      </c>
      <c r="N9" s="35">
        <f>IF($B9&gt;DAY(EOMONTH(L$4,0)),"",IF(OR(L9&lt;IF(YEAR(Eintritt)&lt;Jahr,DATE(Jahr,1,1),Eintritt),L9&gt;IF(Austritt="",DATE(Jahr,12,31),Austritt)),0,IF(OR(ISERROR(VLOOKUP(L9,Stammdaten!$I$9:$J$26,2,FALSE)),SUMIFS(Stammdaten!$J$9:$J$26,Stammdaten!$I$9:$I$26,L9)=0),VLOOKUP(TEXT(L9,"TTT"),Stammdaten!$B$20:$F$26,5,FALSE),0)))</f>
        <v>0</v>
      </c>
      <c r="O9" s="36">
        <f t="shared" si="4"/>
        <v>45782</v>
      </c>
      <c r="P9" s="34">
        <f ca="1">IF($B9&gt;DAY(EOMONTH(O$4,0)),"",SUMIFS(INDIRECT(TEXT(O9,"MMM")&amp;"!$L$9:$L$999"),INDIRECT(TEXT(O9,"MMM")&amp;"!$B$9:$B$999"),O9)+SUMIFS(Abwesenheit!$J$3:$J$199,Abwesenheit!$D$3:$D$199,O9))</f>
        <v>0</v>
      </c>
      <c r="Q9" s="35">
        <f>IF($B9&gt;DAY(EOMONTH(O$4,0)),"",IF(OR(O9&lt;IF(YEAR(Eintritt)&lt;Jahr,DATE(Jahr,1,1),Eintritt),O9&gt;IF(Austritt="",DATE(Jahr,12,31),Austritt)),0,IF(OR(ISERROR(VLOOKUP(O9,Stammdaten!$I$9:$J$26,2,FALSE)),SUMIFS(Stammdaten!$J$9:$J$26,Stammdaten!$I$9:$I$26,O9)=0),VLOOKUP(TEXT(O9,"TTT"),Stammdaten!$B$20:$F$26,5,FALSE),0)))</f>
        <v>0</v>
      </c>
      <c r="R9" s="36">
        <f t="shared" si="5"/>
        <v>45813</v>
      </c>
      <c r="S9" s="34">
        <f ca="1">IF($B9&gt;DAY(EOMONTH(R$4,0)),"",SUMIFS(INDIRECT(TEXT(R9,"MMM")&amp;"!$L$9:$L$999"),INDIRECT(TEXT(R9,"MMM")&amp;"!$B$9:$B$999"),R9)+SUMIFS(Abwesenheit!$J$3:$J$199,Abwesenheit!$D$3:$D$199,R9))</f>
        <v>0</v>
      </c>
      <c r="T9" s="35">
        <f>IF($B9&gt;DAY(EOMONTH(R$4,0)),"",IF(OR(R9&lt;IF(YEAR(Eintritt)&lt;Jahr,DATE(Jahr,1,1),Eintritt),R9&gt;IF(Austritt="",DATE(Jahr,12,31),Austritt)),0,IF(OR(ISERROR(VLOOKUP(R9,Stammdaten!$I$9:$J$26,2,FALSE)),SUMIFS(Stammdaten!$J$9:$J$26,Stammdaten!$I$9:$I$26,R9)=0),VLOOKUP(TEXT(R9,"TTT"),Stammdaten!$B$20:$F$26,5,FALSE),0)))</f>
        <v>0</v>
      </c>
      <c r="U9" s="36">
        <f t="shared" si="6"/>
        <v>45843</v>
      </c>
      <c r="V9" s="34">
        <f ca="1">IF($B9&gt;DAY(EOMONTH(U$4,0)),"",SUMIFS(INDIRECT(TEXT(U9,"MMM")&amp;"!$L$9:$L$999"),INDIRECT(TEXT(U9,"MMM")&amp;"!$B$9:$B$999"),U9)+SUMIFS(Abwesenheit!$J$3:$J$199,Abwesenheit!$D$3:$D$199,U9))</f>
        <v>0</v>
      </c>
      <c r="W9" s="35">
        <f>IF($B9&gt;DAY(EOMONTH(U$4,0)),"",IF(OR(U9&lt;IF(YEAR(Eintritt)&lt;Jahr,DATE(Jahr,1,1),Eintritt),U9&gt;IF(Austritt="",DATE(Jahr,12,31),Austritt)),0,IF(OR(ISERROR(VLOOKUP(U9,Stammdaten!$I$9:$J$26,2,FALSE)),SUMIFS(Stammdaten!$J$9:$J$26,Stammdaten!$I$9:$I$26,U9)=0),VLOOKUP(TEXT(U9,"TTT"),Stammdaten!$B$20:$F$26,5,FALSE),0)))</f>
        <v>0</v>
      </c>
      <c r="X9" s="36">
        <f t="shared" si="7"/>
        <v>45874</v>
      </c>
      <c r="Y9" s="34">
        <f ca="1">IF($B9&gt;DAY(EOMONTH(X$4,0)),"",SUMIFS(INDIRECT(TEXT(X9,"MMM")&amp;"!$L$9:$L$999"),INDIRECT(TEXT(X9,"MMM")&amp;"!$B$9:$B$999"),X9)+SUMIFS(Abwesenheit!$J$3:$J$199,Abwesenheit!$D$3:$D$199,X9))</f>
        <v>0</v>
      </c>
      <c r="Z9" s="35">
        <f>IF($B9&gt;DAY(EOMONTH(X$4,0)),"",IF(OR(X9&lt;IF(YEAR(Eintritt)&lt;Jahr,DATE(Jahr,1,1),Eintritt),X9&gt;IF(Austritt="",DATE(Jahr,12,31),Austritt)),0,IF(OR(ISERROR(VLOOKUP(X9,Stammdaten!$I$9:$J$26,2,FALSE)),SUMIFS(Stammdaten!$J$9:$J$26,Stammdaten!$I$9:$I$26,X9)=0),VLOOKUP(TEXT(X9,"TTT"),Stammdaten!$B$20:$F$26,5,FALSE),0)))</f>
        <v>0</v>
      </c>
      <c r="AA9" s="36">
        <f t="shared" si="8"/>
        <v>45905</v>
      </c>
      <c r="AB9" s="34">
        <f ca="1">IF($B9&gt;DAY(EOMONTH(AA$4,0)),"",SUMIFS(INDIRECT(TEXT(AA9,"MMM")&amp;"!$L$9:$L$999"),INDIRECT(TEXT(AA9,"MMM")&amp;"!$B$9:$B$999"),AA9)+SUMIFS(Abwesenheit!$J$3:$J$199,Abwesenheit!$D$3:$D$199,AA9))</f>
        <v>0</v>
      </c>
      <c r="AC9" s="35">
        <f>IF($B9&gt;DAY(EOMONTH(AA$4,0)),"",IF(OR(AA9&lt;IF(YEAR(Eintritt)&lt;Jahr,DATE(Jahr,1,1),Eintritt),AA9&gt;IF(Austritt="",DATE(Jahr,12,31),Austritt)),0,IF(OR(ISERROR(VLOOKUP(AA9,Stammdaten!$I$9:$J$26,2,FALSE)),SUMIFS(Stammdaten!$J$9:$J$26,Stammdaten!$I$9:$I$26,AA9)=0),VLOOKUP(TEXT(AA9,"TTT"),Stammdaten!$B$20:$F$26,5,FALSE),0)))</f>
        <v>0</v>
      </c>
      <c r="AD9" s="36">
        <f t="shared" si="9"/>
        <v>45935</v>
      </c>
      <c r="AE9" s="34">
        <f ca="1">IF($B9&gt;DAY(EOMONTH(AD$4,0)),"",SUMIFS(INDIRECT(TEXT(AD9,"MMM")&amp;"!$L$9:$L$999"),INDIRECT(TEXT(AD9,"MMM")&amp;"!$B$9:$B$999"),AD9)+SUMIFS(Abwesenheit!$J$3:$J$199,Abwesenheit!$D$3:$D$199,AD9))</f>
        <v>0</v>
      </c>
      <c r="AF9" s="35">
        <f>IF($B9&gt;DAY(EOMONTH(AD$4,0)),"",IF(OR(AD9&lt;IF(YEAR(Eintritt)&lt;Jahr,DATE(Jahr,1,1),Eintritt),AD9&gt;IF(Austritt="",DATE(Jahr,12,31),Austritt)),0,IF(OR(ISERROR(VLOOKUP(AD9,Stammdaten!$I$9:$J$26,2,FALSE)),SUMIFS(Stammdaten!$J$9:$J$26,Stammdaten!$I$9:$I$26,AD9)=0),VLOOKUP(TEXT(AD9,"TTT"),Stammdaten!$B$20:$F$26,5,FALSE),0)))</f>
        <v>0</v>
      </c>
      <c r="AG9" s="36">
        <f t="shared" si="10"/>
        <v>45966</v>
      </c>
      <c r="AH9" s="34">
        <f ca="1">IF($B9&gt;DAY(EOMONTH(AG$4,0)),"",SUMIFS(INDIRECT(TEXT(AG9,"MMM")&amp;"!$L$9:$L$999"),INDIRECT(TEXT(AG9,"MMM")&amp;"!$B$9:$B$999"),AG9)+SUMIFS(Abwesenheit!$J$3:$J$199,Abwesenheit!$D$3:$D$199,AG9))</f>
        <v>0</v>
      </c>
      <c r="AI9" s="35">
        <f>IF($B9&gt;DAY(EOMONTH(AG$4,0)),"",IF(OR(AG9&lt;IF(YEAR(Eintritt)&lt;Jahr,DATE(Jahr,1,1),Eintritt),AG9&gt;IF(Austritt="",DATE(Jahr,12,31),Austritt)),0,IF(OR(ISERROR(VLOOKUP(AG9,Stammdaten!$I$9:$J$26,2,FALSE)),SUMIFS(Stammdaten!$J$9:$J$26,Stammdaten!$I$9:$I$26,AG9)=0),VLOOKUP(TEXT(AG9,"TTT"),Stammdaten!$B$20:$F$26,5,FALSE),0)))</f>
        <v>0</v>
      </c>
      <c r="AJ9" s="36">
        <f t="shared" si="11"/>
        <v>45996</v>
      </c>
      <c r="AK9" s="34">
        <f ca="1">IF($B9&gt;DAY(EOMONTH(AJ$4,0)),"",SUMIFS(INDIRECT(TEXT(AJ9,"MMM")&amp;"!$L$9:$L$999"),INDIRECT(TEXT(AJ9,"MMM")&amp;"!$B$9:$B$999"),AJ9)+SUMIFS(Abwesenheit!$J$3:$J$199,Abwesenheit!$D$3:$D$199,AJ9))</f>
        <v>0</v>
      </c>
      <c r="AL9" s="35">
        <f>IF($B9&gt;DAY(EOMONTH(AJ$4,0)),"",IF(OR(AJ9&lt;IF(YEAR(Eintritt)&lt;Jahr,DATE(Jahr,1,1),Eintritt),AJ9&gt;IF(Austritt="",DATE(Jahr,12,31),Austritt)),0,VLOOKUP(TEXT(AJ9,"TTT"),Stammdaten!$B$20:$F$26,5,FALSE)-IF(ISERROR(VLOOKUP(AJ9,Stammdaten!$I$9:$J$26,2,FALSE)),0,SUMIFS(Stammdaten!$J$9:$J$26,Stammdaten!$I$9:$I$26,AJ9)/24)))</f>
        <v>0</v>
      </c>
      <c r="AM9" s="37">
        <v>5</v>
      </c>
      <c r="AO9" s="8"/>
      <c r="AP9" s="8"/>
      <c r="AQ9" s="8"/>
      <c r="AR9" s="8"/>
      <c r="AS9" s="8"/>
    </row>
    <row r="10" spans="1:45" x14ac:dyDescent="0.3">
      <c r="A10" s="33"/>
      <c r="B10" s="37">
        <v>6</v>
      </c>
      <c r="C10" s="36">
        <f t="shared" si="0"/>
        <v>45663</v>
      </c>
      <c r="D10" s="34">
        <f ca="1">IF($B10&gt;DAY(EOMONTH(C$4,0)),"",SUMIFS(INDIRECT(TEXT(C10,"MMM")&amp;"!$L$9:$L$999"),INDIRECT(TEXT(C10,"MMM")&amp;"!$B$9:$B$999"),C10)+SUMIFS(Abwesenheit!$J$3:$J$199,Abwesenheit!$D$3:$D$199,C10))</f>
        <v>0</v>
      </c>
      <c r="E10" s="35">
        <f>IF($B10&gt;DAY(EOMONTH(C$4,0)),"",IF(OR(C10&lt;IF(YEAR(Eintritt)&lt;Jahr,DATE(Jahr,1,1),Eintritt),C10&gt;IF(Austritt="",DATE(Jahr,12,31),Austritt)),0,IF(OR(ISERROR(VLOOKUP(C10,Stammdaten!$I$9:$J$26,2,FALSE)),SUMIFS(Stammdaten!$J$9:$J$26,Stammdaten!$I$9:$I$26,C10)=0),VLOOKUP(TEXT(C10,"TTT"),Stammdaten!$B$20:$F$26,5,FALSE),0)))</f>
        <v>0</v>
      </c>
      <c r="F10" s="36">
        <f t="shared" si="1"/>
        <v>45694</v>
      </c>
      <c r="G10" s="34">
        <f ca="1">IF($B10&gt;DAY(EOMONTH(F$4,0)),"",SUMIFS(INDIRECT(TEXT(F10,"MMM")&amp;"!$L$9:$L$999"),INDIRECT(TEXT(F10,"MMM")&amp;"!$B$9:$B$999"),F10)+SUMIFS(Abwesenheit!$J$3:$J$199,Abwesenheit!$D$3:$D$199,F10))</f>
        <v>0</v>
      </c>
      <c r="H10" s="35">
        <f>IF($B10&gt;DAY(EOMONTH(F$4,0)),"",IF(OR(F10&lt;IF(YEAR(Eintritt)&lt;Jahr,DATE(Jahr,1,1),Eintritt),F10&gt;IF(Austritt="",DATE(Jahr,12,31),Austritt)),0,IF(OR(ISERROR(VLOOKUP(F10,Stammdaten!$I$9:$J$26,2,FALSE)),SUMIFS(Stammdaten!$J$9:$J$26,Stammdaten!$I$9:$I$26,F10)=0),VLOOKUP(TEXT(F10,"TTT"),Stammdaten!$B$20:$F$26,5,FALSE),0)))</f>
        <v>0</v>
      </c>
      <c r="I10" s="36">
        <f t="shared" si="2"/>
        <v>45722</v>
      </c>
      <c r="J10" s="34">
        <f ca="1">IF($B10&gt;DAY(EOMONTH(I$4,0)),"",SUMIFS(INDIRECT(TEXT(I10,"MMM")&amp;"!$L$9:$L$999"),INDIRECT(TEXT(I10,"MMM")&amp;"!$B$9:$B$999"),I10)+SUMIFS(Abwesenheit!$J$3:$J$199,Abwesenheit!$D$3:$D$199,I10))</f>
        <v>0</v>
      </c>
      <c r="K10" s="35">
        <f>IF($B10&gt;DAY(EOMONTH(I$4,0)),"",IF(OR(I10&lt;IF(YEAR(Eintritt)&lt;Jahr,DATE(Jahr,1,1),Eintritt),I10&gt;IF(Austritt="",DATE(Jahr,12,31),Austritt)),0,IF(OR(ISERROR(VLOOKUP(I10,Stammdaten!$I$9:$J$26,2,FALSE)),SUMIFS(Stammdaten!$J$9:$J$26,Stammdaten!$I$9:$I$26,I10)=0),VLOOKUP(TEXT(I10,"TTT"),Stammdaten!$B$20:$F$26,5,FALSE),0)))</f>
        <v>0</v>
      </c>
      <c r="L10" s="36">
        <f t="shared" si="3"/>
        <v>45753</v>
      </c>
      <c r="M10" s="34">
        <f ca="1">IF($B10&gt;DAY(EOMONTH(L$4,0)),"",SUMIFS(INDIRECT(TEXT(L10,"MMM")&amp;"!$L$9:$L$999"),INDIRECT(TEXT(L10,"MMM")&amp;"!$B$9:$B$999"),L10)+SUMIFS(Abwesenheit!$J$3:$J$199,Abwesenheit!$D$3:$D$199,L10))</f>
        <v>0</v>
      </c>
      <c r="N10" s="35">
        <f>IF($B10&gt;DAY(EOMONTH(L$4,0)),"",IF(OR(L10&lt;IF(YEAR(Eintritt)&lt;Jahr,DATE(Jahr,1,1),Eintritt),L10&gt;IF(Austritt="",DATE(Jahr,12,31),Austritt)),0,IF(OR(ISERROR(VLOOKUP(L10,Stammdaten!$I$9:$J$26,2,FALSE)),SUMIFS(Stammdaten!$J$9:$J$26,Stammdaten!$I$9:$I$26,L10)=0),VLOOKUP(TEXT(L10,"TTT"),Stammdaten!$B$20:$F$26,5,FALSE),0)))</f>
        <v>0</v>
      </c>
      <c r="O10" s="36">
        <f t="shared" si="4"/>
        <v>45783</v>
      </c>
      <c r="P10" s="34">
        <f ca="1">IF($B10&gt;DAY(EOMONTH(O$4,0)),"",SUMIFS(INDIRECT(TEXT(O10,"MMM")&amp;"!$L$9:$L$999"),INDIRECT(TEXT(O10,"MMM")&amp;"!$B$9:$B$999"),O10)+SUMIFS(Abwesenheit!$J$3:$J$199,Abwesenheit!$D$3:$D$199,O10))</f>
        <v>0</v>
      </c>
      <c r="Q10" s="35">
        <f>IF($B10&gt;DAY(EOMONTH(O$4,0)),"",IF(OR(O10&lt;IF(YEAR(Eintritt)&lt;Jahr,DATE(Jahr,1,1),Eintritt),O10&gt;IF(Austritt="",DATE(Jahr,12,31),Austritt)),0,IF(OR(ISERROR(VLOOKUP(O10,Stammdaten!$I$9:$J$26,2,FALSE)),SUMIFS(Stammdaten!$J$9:$J$26,Stammdaten!$I$9:$I$26,O10)=0),VLOOKUP(TEXT(O10,"TTT"),Stammdaten!$B$20:$F$26,5,FALSE),0)))</f>
        <v>0</v>
      </c>
      <c r="R10" s="36">
        <f t="shared" si="5"/>
        <v>45814</v>
      </c>
      <c r="S10" s="34">
        <f ca="1">IF($B10&gt;DAY(EOMONTH(R$4,0)),"",SUMIFS(INDIRECT(TEXT(R10,"MMM")&amp;"!$L$9:$L$999"),INDIRECT(TEXT(R10,"MMM")&amp;"!$B$9:$B$999"),R10)+SUMIFS(Abwesenheit!$J$3:$J$199,Abwesenheit!$D$3:$D$199,R10))</f>
        <v>0</v>
      </c>
      <c r="T10" s="35">
        <f>IF($B10&gt;DAY(EOMONTH(R$4,0)),"",IF(OR(R10&lt;IF(YEAR(Eintritt)&lt;Jahr,DATE(Jahr,1,1),Eintritt),R10&gt;IF(Austritt="",DATE(Jahr,12,31),Austritt)),0,IF(OR(ISERROR(VLOOKUP(R10,Stammdaten!$I$9:$J$26,2,FALSE)),SUMIFS(Stammdaten!$J$9:$J$26,Stammdaten!$I$9:$I$26,R10)=0),VLOOKUP(TEXT(R10,"TTT"),Stammdaten!$B$20:$F$26,5,FALSE),0)))</f>
        <v>0</v>
      </c>
      <c r="U10" s="36">
        <f t="shared" si="6"/>
        <v>45844</v>
      </c>
      <c r="V10" s="34">
        <f ca="1">IF($B10&gt;DAY(EOMONTH(U$4,0)),"",SUMIFS(INDIRECT(TEXT(U10,"MMM")&amp;"!$L$9:$L$999"),INDIRECT(TEXT(U10,"MMM")&amp;"!$B$9:$B$999"),U10)+SUMIFS(Abwesenheit!$J$3:$J$199,Abwesenheit!$D$3:$D$199,U10))</f>
        <v>0</v>
      </c>
      <c r="W10" s="35">
        <f>IF($B10&gt;DAY(EOMONTH(U$4,0)),"",IF(OR(U10&lt;IF(YEAR(Eintritt)&lt;Jahr,DATE(Jahr,1,1),Eintritt),U10&gt;IF(Austritt="",DATE(Jahr,12,31),Austritt)),0,IF(OR(ISERROR(VLOOKUP(U10,Stammdaten!$I$9:$J$26,2,FALSE)),SUMIFS(Stammdaten!$J$9:$J$26,Stammdaten!$I$9:$I$26,U10)=0),VLOOKUP(TEXT(U10,"TTT"),Stammdaten!$B$20:$F$26,5,FALSE),0)))</f>
        <v>0</v>
      </c>
      <c r="X10" s="36">
        <f t="shared" si="7"/>
        <v>45875</v>
      </c>
      <c r="Y10" s="34">
        <f ca="1">IF($B10&gt;DAY(EOMONTH(X$4,0)),"",SUMIFS(INDIRECT(TEXT(X10,"MMM")&amp;"!$L$9:$L$999"),INDIRECT(TEXT(X10,"MMM")&amp;"!$B$9:$B$999"),X10)+SUMIFS(Abwesenheit!$J$3:$J$199,Abwesenheit!$D$3:$D$199,X10))</f>
        <v>0</v>
      </c>
      <c r="Z10" s="35">
        <f>IF($B10&gt;DAY(EOMONTH(X$4,0)),"",IF(OR(X10&lt;IF(YEAR(Eintritt)&lt;Jahr,DATE(Jahr,1,1),Eintritt),X10&gt;IF(Austritt="",DATE(Jahr,12,31),Austritt)),0,IF(OR(ISERROR(VLOOKUP(X10,Stammdaten!$I$9:$J$26,2,FALSE)),SUMIFS(Stammdaten!$J$9:$J$26,Stammdaten!$I$9:$I$26,X10)=0),VLOOKUP(TEXT(X10,"TTT"),Stammdaten!$B$20:$F$26,5,FALSE),0)))</f>
        <v>0</v>
      </c>
      <c r="AA10" s="36">
        <f t="shared" si="8"/>
        <v>45906</v>
      </c>
      <c r="AB10" s="34">
        <f ca="1">IF($B10&gt;DAY(EOMONTH(AA$4,0)),"",SUMIFS(INDIRECT(TEXT(AA10,"MMM")&amp;"!$L$9:$L$999"),INDIRECT(TEXT(AA10,"MMM")&amp;"!$B$9:$B$999"),AA10)+SUMIFS(Abwesenheit!$J$3:$J$199,Abwesenheit!$D$3:$D$199,AA10))</f>
        <v>0</v>
      </c>
      <c r="AC10" s="35">
        <f>IF($B10&gt;DAY(EOMONTH(AA$4,0)),"",IF(OR(AA10&lt;IF(YEAR(Eintritt)&lt;Jahr,DATE(Jahr,1,1),Eintritt),AA10&gt;IF(Austritt="",DATE(Jahr,12,31),Austritt)),0,IF(OR(ISERROR(VLOOKUP(AA10,Stammdaten!$I$9:$J$26,2,FALSE)),SUMIFS(Stammdaten!$J$9:$J$26,Stammdaten!$I$9:$I$26,AA10)=0),VLOOKUP(TEXT(AA10,"TTT"),Stammdaten!$B$20:$F$26,5,FALSE),0)))</f>
        <v>0</v>
      </c>
      <c r="AD10" s="36">
        <f t="shared" si="9"/>
        <v>45936</v>
      </c>
      <c r="AE10" s="34">
        <f ca="1">IF($B10&gt;DAY(EOMONTH(AD$4,0)),"",SUMIFS(INDIRECT(TEXT(AD10,"MMM")&amp;"!$L$9:$L$999"),INDIRECT(TEXT(AD10,"MMM")&amp;"!$B$9:$B$999"),AD10)+SUMIFS(Abwesenheit!$J$3:$J$199,Abwesenheit!$D$3:$D$199,AD10))</f>
        <v>0</v>
      </c>
      <c r="AF10" s="35">
        <f>IF($B10&gt;DAY(EOMONTH(AD$4,0)),"",IF(OR(AD10&lt;IF(YEAR(Eintritt)&lt;Jahr,DATE(Jahr,1,1),Eintritt),AD10&gt;IF(Austritt="",DATE(Jahr,12,31),Austritt)),0,IF(OR(ISERROR(VLOOKUP(AD10,Stammdaten!$I$9:$J$26,2,FALSE)),SUMIFS(Stammdaten!$J$9:$J$26,Stammdaten!$I$9:$I$26,AD10)=0),VLOOKUP(TEXT(AD10,"TTT"),Stammdaten!$B$20:$F$26,5,FALSE),0)))</f>
        <v>0</v>
      </c>
      <c r="AG10" s="36">
        <f t="shared" si="10"/>
        <v>45967</v>
      </c>
      <c r="AH10" s="34">
        <f ca="1">IF($B10&gt;DAY(EOMONTH(AG$4,0)),"",SUMIFS(INDIRECT(TEXT(AG10,"MMM")&amp;"!$L$9:$L$999"),INDIRECT(TEXT(AG10,"MMM")&amp;"!$B$9:$B$999"),AG10)+SUMIFS(Abwesenheit!$J$3:$J$199,Abwesenheit!$D$3:$D$199,AG10))</f>
        <v>0</v>
      </c>
      <c r="AI10" s="35">
        <f>IF($B10&gt;DAY(EOMONTH(AG$4,0)),"",IF(OR(AG10&lt;IF(YEAR(Eintritt)&lt;Jahr,DATE(Jahr,1,1),Eintritt),AG10&gt;IF(Austritt="",DATE(Jahr,12,31),Austritt)),0,IF(OR(ISERROR(VLOOKUP(AG10,Stammdaten!$I$9:$J$26,2,FALSE)),SUMIFS(Stammdaten!$J$9:$J$26,Stammdaten!$I$9:$I$26,AG10)=0),VLOOKUP(TEXT(AG10,"TTT"),Stammdaten!$B$20:$F$26,5,FALSE),0)))</f>
        <v>0</v>
      </c>
      <c r="AJ10" s="36">
        <f t="shared" si="11"/>
        <v>45997</v>
      </c>
      <c r="AK10" s="34">
        <f ca="1">IF($B10&gt;DAY(EOMONTH(AJ$4,0)),"",SUMIFS(INDIRECT(TEXT(AJ10,"MMM")&amp;"!$L$9:$L$999"),INDIRECT(TEXT(AJ10,"MMM")&amp;"!$B$9:$B$999"),AJ10)+SUMIFS(Abwesenheit!$J$3:$J$199,Abwesenheit!$D$3:$D$199,AJ10))</f>
        <v>0</v>
      </c>
      <c r="AL10" s="35">
        <f>IF($B10&gt;DAY(EOMONTH(AJ$4,0)),"",IF(OR(AJ10&lt;IF(YEAR(Eintritt)&lt;Jahr,DATE(Jahr,1,1),Eintritt),AJ10&gt;IF(Austritt="",DATE(Jahr,12,31),Austritt)),0,VLOOKUP(TEXT(AJ10,"TTT"),Stammdaten!$B$20:$F$26,5,FALSE)-IF(ISERROR(VLOOKUP(AJ10,Stammdaten!$I$9:$J$26,2,FALSE)),0,SUMIFS(Stammdaten!$J$9:$J$26,Stammdaten!$I$9:$I$26,AJ10)/24)))</f>
        <v>0</v>
      </c>
      <c r="AM10" s="37">
        <v>6</v>
      </c>
      <c r="AO10" s="8"/>
      <c r="AP10" s="8"/>
      <c r="AQ10" s="8"/>
      <c r="AR10" s="8"/>
      <c r="AS10" s="8"/>
    </row>
    <row r="11" spans="1:45" x14ac:dyDescent="0.3">
      <c r="A11" s="33"/>
      <c r="B11" s="37">
        <v>7</v>
      </c>
      <c r="C11" s="36">
        <f t="shared" si="0"/>
        <v>45664</v>
      </c>
      <c r="D11" s="34">
        <f ca="1">IF($B11&gt;DAY(EOMONTH(C$4,0)),"",SUMIFS(INDIRECT(TEXT(C11,"MMM")&amp;"!$L$9:$L$999"),INDIRECT(TEXT(C11,"MMM")&amp;"!$B$9:$B$999"),C11)+SUMIFS(Abwesenheit!$J$3:$J$199,Abwesenheit!$D$3:$D$199,C11))</f>
        <v>0</v>
      </c>
      <c r="E11" s="35">
        <f>IF($B11&gt;DAY(EOMONTH(C$4,0)),"",IF(OR(C11&lt;IF(YEAR(Eintritt)&lt;Jahr,DATE(Jahr,1,1),Eintritt),C11&gt;IF(Austritt="",DATE(Jahr,12,31),Austritt)),0,IF(OR(ISERROR(VLOOKUP(C11,Stammdaten!$I$9:$J$26,2,FALSE)),SUMIFS(Stammdaten!$J$9:$J$26,Stammdaten!$I$9:$I$26,C11)=0),VLOOKUP(TEXT(C11,"TTT"),Stammdaten!$B$20:$F$26,5,FALSE),0)))</f>
        <v>0</v>
      </c>
      <c r="F11" s="36">
        <f t="shared" si="1"/>
        <v>45695</v>
      </c>
      <c r="G11" s="34">
        <f ca="1">IF($B11&gt;DAY(EOMONTH(F$4,0)),"",SUMIFS(INDIRECT(TEXT(F11,"MMM")&amp;"!$L$9:$L$999"),INDIRECT(TEXT(F11,"MMM")&amp;"!$B$9:$B$999"),F11)+SUMIFS(Abwesenheit!$J$3:$J$199,Abwesenheit!$D$3:$D$199,F11))</f>
        <v>0</v>
      </c>
      <c r="H11" s="35">
        <f>IF($B11&gt;DAY(EOMONTH(F$4,0)),"",IF(OR(F11&lt;IF(YEAR(Eintritt)&lt;Jahr,DATE(Jahr,1,1),Eintritt),F11&gt;IF(Austritt="",DATE(Jahr,12,31),Austritt)),0,IF(OR(ISERROR(VLOOKUP(F11,Stammdaten!$I$9:$J$26,2,FALSE)),SUMIFS(Stammdaten!$J$9:$J$26,Stammdaten!$I$9:$I$26,F11)=0),VLOOKUP(TEXT(F11,"TTT"),Stammdaten!$B$20:$F$26,5,FALSE),0)))</f>
        <v>0</v>
      </c>
      <c r="I11" s="36">
        <f t="shared" si="2"/>
        <v>45723</v>
      </c>
      <c r="J11" s="34">
        <f ca="1">IF($B11&gt;DAY(EOMONTH(I$4,0)),"",SUMIFS(INDIRECT(TEXT(I11,"MMM")&amp;"!$L$9:$L$999"),INDIRECT(TEXT(I11,"MMM")&amp;"!$B$9:$B$999"),I11)+SUMIFS(Abwesenheit!$J$3:$J$199,Abwesenheit!$D$3:$D$199,I11))</f>
        <v>0</v>
      </c>
      <c r="K11" s="35">
        <f>IF($B11&gt;DAY(EOMONTH(I$4,0)),"",IF(OR(I11&lt;IF(YEAR(Eintritt)&lt;Jahr,DATE(Jahr,1,1),Eintritt),I11&gt;IF(Austritt="",DATE(Jahr,12,31),Austritt)),0,IF(OR(ISERROR(VLOOKUP(I11,Stammdaten!$I$9:$J$26,2,FALSE)),SUMIFS(Stammdaten!$J$9:$J$26,Stammdaten!$I$9:$I$26,I11)=0),VLOOKUP(TEXT(I11,"TTT"),Stammdaten!$B$20:$F$26,5,FALSE),0)))</f>
        <v>0</v>
      </c>
      <c r="L11" s="36">
        <f t="shared" si="3"/>
        <v>45754</v>
      </c>
      <c r="M11" s="34">
        <f ca="1">IF($B11&gt;DAY(EOMONTH(L$4,0)),"",SUMIFS(INDIRECT(TEXT(L11,"MMM")&amp;"!$L$9:$L$999"),INDIRECT(TEXT(L11,"MMM")&amp;"!$B$9:$B$999"),L11)+SUMIFS(Abwesenheit!$J$3:$J$199,Abwesenheit!$D$3:$D$199,L11))</f>
        <v>0</v>
      </c>
      <c r="N11" s="35">
        <f>IF($B11&gt;DAY(EOMONTH(L$4,0)),"",IF(OR(L11&lt;IF(YEAR(Eintritt)&lt;Jahr,DATE(Jahr,1,1),Eintritt),L11&gt;IF(Austritt="",DATE(Jahr,12,31),Austritt)),0,IF(OR(ISERROR(VLOOKUP(L11,Stammdaten!$I$9:$J$26,2,FALSE)),SUMIFS(Stammdaten!$J$9:$J$26,Stammdaten!$I$9:$I$26,L11)=0),VLOOKUP(TEXT(L11,"TTT"),Stammdaten!$B$20:$F$26,5,FALSE),0)))</f>
        <v>0</v>
      </c>
      <c r="O11" s="36">
        <f t="shared" si="4"/>
        <v>45784</v>
      </c>
      <c r="P11" s="34">
        <f ca="1">IF($B11&gt;DAY(EOMONTH(O$4,0)),"",SUMIFS(INDIRECT(TEXT(O11,"MMM")&amp;"!$L$9:$L$999"),INDIRECT(TEXT(O11,"MMM")&amp;"!$B$9:$B$999"),O11)+SUMIFS(Abwesenheit!$J$3:$J$199,Abwesenheit!$D$3:$D$199,O11))</f>
        <v>0</v>
      </c>
      <c r="Q11" s="35">
        <f>IF($B11&gt;DAY(EOMONTH(O$4,0)),"",IF(OR(O11&lt;IF(YEAR(Eintritt)&lt;Jahr,DATE(Jahr,1,1),Eintritt),O11&gt;IF(Austritt="",DATE(Jahr,12,31),Austritt)),0,IF(OR(ISERROR(VLOOKUP(O11,Stammdaten!$I$9:$J$26,2,FALSE)),SUMIFS(Stammdaten!$J$9:$J$26,Stammdaten!$I$9:$I$26,O11)=0),VLOOKUP(TEXT(O11,"TTT"),Stammdaten!$B$20:$F$26,5,FALSE),0)))</f>
        <v>0</v>
      </c>
      <c r="R11" s="36">
        <f t="shared" si="5"/>
        <v>45815</v>
      </c>
      <c r="S11" s="34">
        <f ca="1">IF($B11&gt;DAY(EOMONTH(R$4,0)),"",SUMIFS(INDIRECT(TEXT(R11,"MMM")&amp;"!$L$9:$L$999"),INDIRECT(TEXT(R11,"MMM")&amp;"!$B$9:$B$999"),R11)+SUMIFS(Abwesenheit!$J$3:$J$199,Abwesenheit!$D$3:$D$199,R11))</f>
        <v>0</v>
      </c>
      <c r="T11" s="35">
        <f>IF($B11&gt;DAY(EOMONTH(R$4,0)),"",IF(OR(R11&lt;IF(YEAR(Eintritt)&lt;Jahr,DATE(Jahr,1,1),Eintritt),R11&gt;IF(Austritt="",DATE(Jahr,12,31),Austritt)),0,IF(OR(ISERROR(VLOOKUP(R11,Stammdaten!$I$9:$J$26,2,FALSE)),SUMIFS(Stammdaten!$J$9:$J$26,Stammdaten!$I$9:$I$26,R11)=0),VLOOKUP(TEXT(R11,"TTT"),Stammdaten!$B$20:$F$26,5,FALSE),0)))</f>
        <v>0</v>
      </c>
      <c r="U11" s="36">
        <f t="shared" si="6"/>
        <v>45845</v>
      </c>
      <c r="V11" s="34">
        <f ca="1">IF($B11&gt;DAY(EOMONTH(U$4,0)),"",SUMIFS(INDIRECT(TEXT(U11,"MMM")&amp;"!$L$9:$L$999"),INDIRECT(TEXT(U11,"MMM")&amp;"!$B$9:$B$999"),U11)+SUMIFS(Abwesenheit!$J$3:$J$199,Abwesenheit!$D$3:$D$199,U11))</f>
        <v>0.33333333333333331</v>
      </c>
      <c r="W11" s="35">
        <f>IF($B11&gt;DAY(EOMONTH(U$4,0)),"",IF(OR(U11&lt;IF(YEAR(Eintritt)&lt;Jahr,DATE(Jahr,1,1),Eintritt),U11&gt;IF(Austritt="",DATE(Jahr,12,31),Austritt)),0,IF(OR(ISERROR(VLOOKUP(U11,Stammdaten!$I$9:$J$26,2,FALSE)),SUMIFS(Stammdaten!$J$9:$J$26,Stammdaten!$I$9:$I$26,U11)=0),VLOOKUP(TEXT(U11,"TTT"),Stammdaten!$B$20:$F$26,5,FALSE),0)))</f>
        <v>0.33333333333333337</v>
      </c>
      <c r="X11" s="36">
        <f t="shared" si="7"/>
        <v>45876</v>
      </c>
      <c r="Y11" s="34">
        <f ca="1">IF($B11&gt;DAY(EOMONTH(X$4,0)),"",SUMIFS(INDIRECT(TEXT(X11,"MMM")&amp;"!$L$9:$L$999"),INDIRECT(TEXT(X11,"MMM")&amp;"!$B$9:$B$999"),X11)+SUMIFS(Abwesenheit!$J$3:$J$199,Abwesenheit!$D$3:$D$199,X11))</f>
        <v>0</v>
      </c>
      <c r="Z11" s="35">
        <f>IF($B11&gt;DAY(EOMONTH(X$4,0)),"",IF(OR(X11&lt;IF(YEAR(Eintritt)&lt;Jahr,DATE(Jahr,1,1),Eintritt),X11&gt;IF(Austritt="",DATE(Jahr,12,31),Austritt)),0,IF(OR(ISERROR(VLOOKUP(X11,Stammdaten!$I$9:$J$26,2,FALSE)),SUMIFS(Stammdaten!$J$9:$J$26,Stammdaten!$I$9:$I$26,X11)=0),VLOOKUP(TEXT(X11,"TTT"),Stammdaten!$B$20:$F$26,5,FALSE),0)))</f>
        <v>0</v>
      </c>
      <c r="AA11" s="36">
        <f t="shared" si="8"/>
        <v>45907</v>
      </c>
      <c r="AB11" s="34">
        <f ca="1">IF($B11&gt;DAY(EOMONTH(AA$4,0)),"",SUMIFS(INDIRECT(TEXT(AA11,"MMM")&amp;"!$L$9:$L$999"),INDIRECT(TEXT(AA11,"MMM")&amp;"!$B$9:$B$999"),AA11)+SUMIFS(Abwesenheit!$J$3:$J$199,Abwesenheit!$D$3:$D$199,AA11))</f>
        <v>0</v>
      </c>
      <c r="AC11" s="35">
        <f>IF($B11&gt;DAY(EOMONTH(AA$4,0)),"",IF(OR(AA11&lt;IF(YEAR(Eintritt)&lt;Jahr,DATE(Jahr,1,1),Eintritt),AA11&gt;IF(Austritt="",DATE(Jahr,12,31),Austritt)),0,IF(OR(ISERROR(VLOOKUP(AA11,Stammdaten!$I$9:$J$26,2,FALSE)),SUMIFS(Stammdaten!$J$9:$J$26,Stammdaten!$I$9:$I$26,AA11)=0),VLOOKUP(TEXT(AA11,"TTT"),Stammdaten!$B$20:$F$26,5,FALSE),0)))</f>
        <v>0</v>
      </c>
      <c r="AD11" s="36">
        <f t="shared" si="9"/>
        <v>45937</v>
      </c>
      <c r="AE11" s="34">
        <f ca="1">IF($B11&gt;DAY(EOMONTH(AD$4,0)),"",SUMIFS(INDIRECT(TEXT(AD11,"MMM")&amp;"!$L$9:$L$999"),INDIRECT(TEXT(AD11,"MMM")&amp;"!$B$9:$B$999"),AD11)+SUMIFS(Abwesenheit!$J$3:$J$199,Abwesenheit!$D$3:$D$199,AD11))</f>
        <v>0</v>
      </c>
      <c r="AF11" s="35">
        <f>IF($B11&gt;DAY(EOMONTH(AD$4,0)),"",IF(OR(AD11&lt;IF(YEAR(Eintritt)&lt;Jahr,DATE(Jahr,1,1),Eintritt),AD11&gt;IF(Austritt="",DATE(Jahr,12,31),Austritt)),0,IF(OR(ISERROR(VLOOKUP(AD11,Stammdaten!$I$9:$J$26,2,FALSE)),SUMIFS(Stammdaten!$J$9:$J$26,Stammdaten!$I$9:$I$26,AD11)=0),VLOOKUP(TEXT(AD11,"TTT"),Stammdaten!$B$20:$F$26,5,FALSE),0)))</f>
        <v>0</v>
      </c>
      <c r="AG11" s="36">
        <f t="shared" si="10"/>
        <v>45968</v>
      </c>
      <c r="AH11" s="34">
        <f ca="1">IF($B11&gt;DAY(EOMONTH(AG$4,0)),"",SUMIFS(INDIRECT(TEXT(AG11,"MMM")&amp;"!$L$9:$L$999"),INDIRECT(TEXT(AG11,"MMM")&amp;"!$B$9:$B$999"),AG11)+SUMIFS(Abwesenheit!$J$3:$J$199,Abwesenheit!$D$3:$D$199,AG11))</f>
        <v>0</v>
      </c>
      <c r="AI11" s="35">
        <f>IF($B11&gt;DAY(EOMONTH(AG$4,0)),"",IF(OR(AG11&lt;IF(YEAR(Eintritt)&lt;Jahr,DATE(Jahr,1,1),Eintritt),AG11&gt;IF(Austritt="",DATE(Jahr,12,31),Austritt)),0,IF(OR(ISERROR(VLOOKUP(AG11,Stammdaten!$I$9:$J$26,2,FALSE)),SUMIFS(Stammdaten!$J$9:$J$26,Stammdaten!$I$9:$I$26,AG11)=0),VLOOKUP(TEXT(AG11,"TTT"),Stammdaten!$B$20:$F$26,5,FALSE),0)))</f>
        <v>0</v>
      </c>
      <c r="AJ11" s="36">
        <f t="shared" si="11"/>
        <v>45998</v>
      </c>
      <c r="AK11" s="34">
        <f ca="1">IF($B11&gt;DAY(EOMONTH(AJ$4,0)),"",SUMIFS(INDIRECT(TEXT(AJ11,"MMM")&amp;"!$L$9:$L$999"),INDIRECT(TEXT(AJ11,"MMM")&amp;"!$B$9:$B$999"),AJ11)+SUMIFS(Abwesenheit!$J$3:$J$199,Abwesenheit!$D$3:$D$199,AJ11))</f>
        <v>0</v>
      </c>
      <c r="AL11" s="35">
        <f>IF($B11&gt;DAY(EOMONTH(AJ$4,0)),"",IF(OR(AJ11&lt;IF(YEAR(Eintritt)&lt;Jahr,DATE(Jahr,1,1),Eintritt),AJ11&gt;IF(Austritt="",DATE(Jahr,12,31),Austritt)),0,VLOOKUP(TEXT(AJ11,"TTT"),Stammdaten!$B$20:$F$26,5,FALSE)-IF(ISERROR(VLOOKUP(AJ11,Stammdaten!$I$9:$J$26,2,FALSE)),0,SUMIFS(Stammdaten!$J$9:$J$26,Stammdaten!$I$9:$I$26,AJ11)/24)))</f>
        <v>0</v>
      </c>
      <c r="AM11" s="37">
        <v>7</v>
      </c>
      <c r="AP11" s="8"/>
      <c r="AQ11" s="8"/>
      <c r="AR11" s="8"/>
      <c r="AS11" s="8"/>
    </row>
    <row r="12" spans="1:45" x14ac:dyDescent="0.3">
      <c r="A12" s="33"/>
      <c r="B12" s="37">
        <v>8</v>
      </c>
      <c r="C12" s="36">
        <f t="shared" si="0"/>
        <v>45665</v>
      </c>
      <c r="D12" s="34">
        <f ca="1">IF($B12&gt;DAY(EOMONTH(C$4,0)),"",SUMIFS(INDIRECT(TEXT(C12,"MMM")&amp;"!$L$9:$L$999"),INDIRECT(TEXT(C12,"MMM")&amp;"!$B$9:$B$999"),C12)+SUMIFS(Abwesenheit!$J$3:$J$199,Abwesenheit!$D$3:$D$199,C12))</f>
        <v>0</v>
      </c>
      <c r="E12" s="35">
        <f>IF($B12&gt;DAY(EOMONTH(C$4,0)),"",IF(OR(C12&lt;IF(YEAR(Eintritt)&lt;Jahr,DATE(Jahr,1,1),Eintritt),C12&gt;IF(Austritt="",DATE(Jahr,12,31),Austritt)),0,IF(OR(ISERROR(VLOOKUP(C12,Stammdaten!$I$9:$J$26,2,FALSE)),SUMIFS(Stammdaten!$J$9:$J$26,Stammdaten!$I$9:$I$26,C12)=0),VLOOKUP(TEXT(C12,"TTT"),Stammdaten!$B$20:$F$26,5,FALSE),0)))</f>
        <v>0</v>
      </c>
      <c r="F12" s="36">
        <f t="shared" si="1"/>
        <v>45696</v>
      </c>
      <c r="G12" s="34">
        <f ca="1">IF($B12&gt;DAY(EOMONTH(F$4,0)),"",SUMIFS(INDIRECT(TEXT(F12,"MMM")&amp;"!$L$9:$L$999"),INDIRECT(TEXT(F12,"MMM")&amp;"!$B$9:$B$999"),F12)+SUMIFS(Abwesenheit!$J$3:$J$199,Abwesenheit!$D$3:$D$199,F12))</f>
        <v>0</v>
      </c>
      <c r="H12" s="35">
        <f>IF($B12&gt;DAY(EOMONTH(F$4,0)),"",IF(OR(F12&lt;IF(YEAR(Eintritt)&lt;Jahr,DATE(Jahr,1,1),Eintritt),F12&gt;IF(Austritt="",DATE(Jahr,12,31),Austritt)),0,IF(OR(ISERROR(VLOOKUP(F12,Stammdaten!$I$9:$J$26,2,FALSE)),SUMIFS(Stammdaten!$J$9:$J$26,Stammdaten!$I$9:$I$26,F12)=0),VLOOKUP(TEXT(F12,"TTT"),Stammdaten!$B$20:$F$26,5,FALSE),0)))</f>
        <v>0</v>
      </c>
      <c r="I12" s="36">
        <f t="shared" si="2"/>
        <v>45724</v>
      </c>
      <c r="J12" s="34">
        <f ca="1">IF($B12&gt;DAY(EOMONTH(I$4,0)),"",SUMIFS(INDIRECT(TEXT(I12,"MMM")&amp;"!$L$9:$L$999"),INDIRECT(TEXT(I12,"MMM")&amp;"!$B$9:$B$999"),I12)+SUMIFS(Abwesenheit!$J$3:$J$199,Abwesenheit!$D$3:$D$199,I12))</f>
        <v>0</v>
      </c>
      <c r="K12" s="35">
        <f>IF($B12&gt;DAY(EOMONTH(I$4,0)),"",IF(OR(I12&lt;IF(YEAR(Eintritt)&lt;Jahr,DATE(Jahr,1,1),Eintritt),I12&gt;IF(Austritt="",DATE(Jahr,12,31),Austritt)),0,IF(OR(ISERROR(VLOOKUP(I12,Stammdaten!$I$9:$J$26,2,FALSE)),SUMIFS(Stammdaten!$J$9:$J$26,Stammdaten!$I$9:$I$26,I12)=0),VLOOKUP(TEXT(I12,"TTT"),Stammdaten!$B$20:$F$26,5,FALSE),0)))</f>
        <v>0</v>
      </c>
      <c r="L12" s="36">
        <f t="shared" si="3"/>
        <v>45755</v>
      </c>
      <c r="M12" s="34">
        <f ca="1">IF($B12&gt;DAY(EOMONTH(L$4,0)),"",SUMIFS(INDIRECT(TEXT(L12,"MMM")&amp;"!$L$9:$L$999"),INDIRECT(TEXT(L12,"MMM")&amp;"!$B$9:$B$999"),L12)+SUMIFS(Abwesenheit!$J$3:$J$199,Abwesenheit!$D$3:$D$199,L12))</f>
        <v>0</v>
      </c>
      <c r="N12" s="35">
        <f>IF($B12&gt;DAY(EOMONTH(L$4,0)),"",IF(OR(L12&lt;IF(YEAR(Eintritt)&lt;Jahr,DATE(Jahr,1,1),Eintritt),L12&gt;IF(Austritt="",DATE(Jahr,12,31),Austritt)),0,IF(OR(ISERROR(VLOOKUP(L12,Stammdaten!$I$9:$J$26,2,FALSE)),SUMIFS(Stammdaten!$J$9:$J$26,Stammdaten!$I$9:$I$26,L12)=0),VLOOKUP(TEXT(L12,"TTT"),Stammdaten!$B$20:$F$26,5,FALSE),0)))</f>
        <v>0</v>
      </c>
      <c r="O12" s="36">
        <f t="shared" si="4"/>
        <v>45785</v>
      </c>
      <c r="P12" s="34">
        <f ca="1">IF($B12&gt;DAY(EOMONTH(O$4,0)),"",SUMIFS(INDIRECT(TEXT(O12,"MMM")&amp;"!$L$9:$L$999"),INDIRECT(TEXT(O12,"MMM")&amp;"!$B$9:$B$999"),O12)+SUMIFS(Abwesenheit!$J$3:$J$199,Abwesenheit!$D$3:$D$199,O12))</f>
        <v>0</v>
      </c>
      <c r="Q12" s="35">
        <f>IF($B12&gt;DAY(EOMONTH(O$4,0)),"",IF(OR(O12&lt;IF(YEAR(Eintritt)&lt;Jahr,DATE(Jahr,1,1),Eintritt),O12&gt;IF(Austritt="",DATE(Jahr,12,31),Austritt)),0,IF(OR(ISERROR(VLOOKUP(O12,Stammdaten!$I$9:$J$26,2,FALSE)),SUMIFS(Stammdaten!$J$9:$J$26,Stammdaten!$I$9:$I$26,O12)=0),VLOOKUP(TEXT(O12,"TTT"),Stammdaten!$B$20:$F$26,5,FALSE),0)))</f>
        <v>0</v>
      </c>
      <c r="R12" s="36">
        <f t="shared" si="5"/>
        <v>45816</v>
      </c>
      <c r="S12" s="34">
        <f ca="1">IF($B12&gt;DAY(EOMONTH(R$4,0)),"",SUMIFS(INDIRECT(TEXT(R12,"MMM")&amp;"!$L$9:$L$999"),INDIRECT(TEXT(R12,"MMM")&amp;"!$B$9:$B$999"),R12)+SUMIFS(Abwesenheit!$J$3:$J$199,Abwesenheit!$D$3:$D$199,R12))</f>
        <v>0</v>
      </c>
      <c r="T12" s="35">
        <f>IF($B12&gt;DAY(EOMONTH(R$4,0)),"",IF(OR(R12&lt;IF(YEAR(Eintritt)&lt;Jahr,DATE(Jahr,1,1),Eintritt),R12&gt;IF(Austritt="",DATE(Jahr,12,31),Austritt)),0,IF(OR(ISERROR(VLOOKUP(R12,Stammdaten!$I$9:$J$26,2,FALSE)),SUMIFS(Stammdaten!$J$9:$J$26,Stammdaten!$I$9:$I$26,R12)=0),VLOOKUP(TEXT(R12,"TTT"),Stammdaten!$B$20:$F$26,5,FALSE),0)))</f>
        <v>0</v>
      </c>
      <c r="U12" s="36">
        <f t="shared" si="6"/>
        <v>45846</v>
      </c>
      <c r="V12" s="34">
        <f ca="1">IF($B12&gt;DAY(EOMONTH(U$4,0)),"",SUMIFS(INDIRECT(TEXT(U12,"MMM")&amp;"!$L$9:$L$999"),INDIRECT(TEXT(U12,"MMM")&amp;"!$B$9:$B$999"),U12)+SUMIFS(Abwesenheit!$J$3:$J$199,Abwesenheit!$D$3:$D$199,U12))</f>
        <v>0.375</v>
      </c>
      <c r="W12" s="35">
        <f>IF($B12&gt;DAY(EOMONTH(U$4,0)),"",IF(OR(U12&lt;IF(YEAR(Eintritt)&lt;Jahr,DATE(Jahr,1,1),Eintritt),U12&gt;IF(Austritt="",DATE(Jahr,12,31),Austritt)),0,IF(OR(ISERROR(VLOOKUP(U12,Stammdaten!$I$9:$J$26,2,FALSE)),SUMIFS(Stammdaten!$J$9:$J$26,Stammdaten!$I$9:$I$26,U12)=0),VLOOKUP(TEXT(U12,"TTT"),Stammdaten!$B$20:$F$26,5,FALSE),0)))</f>
        <v>0.33333333333333337</v>
      </c>
      <c r="X12" s="36">
        <f t="shared" si="7"/>
        <v>45877</v>
      </c>
      <c r="Y12" s="34">
        <f ca="1">IF($B12&gt;DAY(EOMONTH(X$4,0)),"",SUMIFS(INDIRECT(TEXT(X12,"MMM")&amp;"!$L$9:$L$999"),INDIRECT(TEXT(X12,"MMM")&amp;"!$B$9:$B$999"),X12)+SUMIFS(Abwesenheit!$J$3:$J$199,Abwesenheit!$D$3:$D$199,X12))</f>
        <v>0</v>
      </c>
      <c r="Z12" s="35">
        <f>IF($B12&gt;DAY(EOMONTH(X$4,0)),"",IF(OR(X12&lt;IF(YEAR(Eintritt)&lt;Jahr,DATE(Jahr,1,1),Eintritt),X12&gt;IF(Austritt="",DATE(Jahr,12,31),Austritt)),0,IF(OR(ISERROR(VLOOKUP(X12,Stammdaten!$I$9:$J$26,2,FALSE)),SUMIFS(Stammdaten!$J$9:$J$26,Stammdaten!$I$9:$I$26,X12)=0),VLOOKUP(TEXT(X12,"TTT"),Stammdaten!$B$20:$F$26,5,FALSE),0)))</f>
        <v>0</v>
      </c>
      <c r="AA12" s="36">
        <f t="shared" si="8"/>
        <v>45908</v>
      </c>
      <c r="AB12" s="34">
        <f ca="1">IF($B12&gt;DAY(EOMONTH(AA$4,0)),"",SUMIFS(INDIRECT(TEXT(AA12,"MMM")&amp;"!$L$9:$L$999"),INDIRECT(TEXT(AA12,"MMM")&amp;"!$B$9:$B$999"),AA12)+SUMIFS(Abwesenheit!$J$3:$J$199,Abwesenheit!$D$3:$D$199,AA12))</f>
        <v>0</v>
      </c>
      <c r="AC12" s="35">
        <f>IF($B12&gt;DAY(EOMONTH(AA$4,0)),"",IF(OR(AA12&lt;IF(YEAR(Eintritt)&lt;Jahr,DATE(Jahr,1,1),Eintritt),AA12&gt;IF(Austritt="",DATE(Jahr,12,31),Austritt)),0,IF(OR(ISERROR(VLOOKUP(AA12,Stammdaten!$I$9:$J$26,2,FALSE)),SUMIFS(Stammdaten!$J$9:$J$26,Stammdaten!$I$9:$I$26,AA12)=0),VLOOKUP(TEXT(AA12,"TTT"),Stammdaten!$B$20:$F$26,5,FALSE),0)))</f>
        <v>0</v>
      </c>
      <c r="AD12" s="36">
        <f t="shared" si="9"/>
        <v>45938</v>
      </c>
      <c r="AE12" s="34">
        <f ca="1">IF($B12&gt;DAY(EOMONTH(AD$4,0)),"",SUMIFS(INDIRECT(TEXT(AD12,"MMM")&amp;"!$L$9:$L$999"),INDIRECT(TEXT(AD12,"MMM")&amp;"!$B$9:$B$999"),AD12)+SUMIFS(Abwesenheit!$J$3:$J$199,Abwesenheit!$D$3:$D$199,AD12))</f>
        <v>0</v>
      </c>
      <c r="AF12" s="35">
        <f>IF($B12&gt;DAY(EOMONTH(AD$4,0)),"",IF(OR(AD12&lt;IF(YEAR(Eintritt)&lt;Jahr,DATE(Jahr,1,1),Eintritt),AD12&gt;IF(Austritt="",DATE(Jahr,12,31),Austritt)),0,IF(OR(ISERROR(VLOOKUP(AD12,Stammdaten!$I$9:$J$26,2,FALSE)),SUMIFS(Stammdaten!$J$9:$J$26,Stammdaten!$I$9:$I$26,AD12)=0),VLOOKUP(TEXT(AD12,"TTT"),Stammdaten!$B$20:$F$26,5,FALSE),0)))</f>
        <v>0</v>
      </c>
      <c r="AG12" s="36">
        <f t="shared" si="10"/>
        <v>45969</v>
      </c>
      <c r="AH12" s="34">
        <f ca="1">IF($B12&gt;DAY(EOMONTH(AG$4,0)),"",SUMIFS(INDIRECT(TEXT(AG12,"MMM")&amp;"!$L$9:$L$999"),INDIRECT(TEXT(AG12,"MMM")&amp;"!$B$9:$B$999"),AG12)+SUMIFS(Abwesenheit!$J$3:$J$199,Abwesenheit!$D$3:$D$199,AG12))</f>
        <v>0</v>
      </c>
      <c r="AI12" s="35">
        <f>IF($B12&gt;DAY(EOMONTH(AG$4,0)),"",IF(OR(AG12&lt;IF(YEAR(Eintritt)&lt;Jahr,DATE(Jahr,1,1),Eintritt),AG12&gt;IF(Austritt="",DATE(Jahr,12,31),Austritt)),0,IF(OR(ISERROR(VLOOKUP(AG12,Stammdaten!$I$9:$J$26,2,FALSE)),SUMIFS(Stammdaten!$J$9:$J$26,Stammdaten!$I$9:$I$26,AG12)=0),VLOOKUP(TEXT(AG12,"TTT"),Stammdaten!$B$20:$F$26,5,FALSE),0)))</f>
        <v>0</v>
      </c>
      <c r="AJ12" s="36">
        <f t="shared" si="11"/>
        <v>45999</v>
      </c>
      <c r="AK12" s="34">
        <f ca="1">IF($B12&gt;DAY(EOMONTH(AJ$4,0)),"",SUMIFS(INDIRECT(TEXT(AJ12,"MMM")&amp;"!$L$9:$L$999"),INDIRECT(TEXT(AJ12,"MMM")&amp;"!$B$9:$B$999"),AJ12)+SUMIFS(Abwesenheit!$J$3:$J$199,Abwesenheit!$D$3:$D$199,AJ12))</f>
        <v>0</v>
      </c>
      <c r="AL12" s="35">
        <f>IF($B12&gt;DAY(EOMONTH(AJ$4,0)),"",IF(OR(AJ12&lt;IF(YEAR(Eintritt)&lt;Jahr,DATE(Jahr,1,1),Eintritt),AJ12&gt;IF(Austritt="",DATE(Jahr,12,31),Austritt)),0,VLOOKUP(TEXT(AJ12,"TTT"),Stammdaten!$B$20:$F$26,5,FALSE)-IF(ISERROR(VLOOKUP(AJ12,Stammdaten!$I$9:$J$26,2,FALSE)),0,SUMIFS(Stammdaten!$J$9:$J$26,Stammdaten!$I$9:$I$26,AJ12)/24)))</f>
        <v>0</v>
      </c>
      <c r="AM12" s="37">
        <v>8</v>
      </c>
      <c r="AP12" s="8"/>
      <c r="AQ12" s="8"/>
      <c r="AR12" s="8"/>
      <c r="AS12" s="8"/>
    </row>
    <row r="13" spans="1:45" x14ac:dyDescent="0.3">
      <c r="A13" s="33"/>
      <c r="B13" s="37">
        <v>9</v>
      </c>
      <c r="C13" s="36">
        <f t="shared" si="0"/>
        <v>45666</v>
      </c>
      <c r="D13" s="34">
        <f ca="1">IF($B13&gt;DAY(EOMONTH(C$4,0)),"",SUMIFS(INDIRECT(TEXT(C13,"MMM")&amp;"!$L$9:$L$999"),INDIRECT(TEXT(C13,"MMM")&amp;"!$B$9:$B$999"),C13)+SUMIFS(Abwesenheit!$J$3:$J$199,Abwesenheit!$D$3:$D$199,C13))</f>
        <v>0</v>
      </c>
      <c r="E13" s="35">
        <f>IF($B13&gt;DAY(EOMONTH(C$4,0)),"",IF(OR(C13&lt;IF(YEAR(Eintritt)&lt;Jahr,DATE(Jahr,1,1),Eintritt),C13&gt;IF(Austritt="",DATE(Jahr,12,31),Austritt)),0,IF(OR(ISERROR(VLOOKUP(C13,Stammdaten!$I$9:$J$26,2,FALSE)),SUMIFS(Stammdaten!$J$9:$J$26,Stammdaten!$I$9:$I$26,C13)=0),VLOOKUP(TEXT(C13,"TTT"),Stammdaten!$B$20:$F$26,5,FALSE),0)))</f>
        <v>0</v>
      </c>
      <c r="F13" s="36">
        <f t="shared" si="1"/>
        <v>45697</v>
      </c>
      <c r="G13" s="34">
        <f ca="1">IF($B13&gt;DAY(EOMONTH(F$4,0)),"",SUMIFS(INDIRECT(TEXT(F13,"MMM")&amp;"!$L$9:$L$999"),INDIRECT(TEXT(F13,"MMM")&amp;"!$B$9:$B$999"),F13)+SUMIFS(Abwesenheit!$J$3:$J$199,Abwesenheit!$D$3:$D$199,F13))</f>
        <v>0</v>
      </c>
      <c r="H13" s="35">
        <f>IF($B13&gt;DAY(EOMONTH(F$4,0)),"",IF(OR(F13&lt;IF(YEAR(Eintritt)&lt;Jahr,DATE(Jahr,1,1),Eintritt),F13&gt;IF(Austritt="",DATE(Jahr,12,31),Austritt)),0,IF(OR(ISERROR(VLOOKUP(F13,Stammdaten!$I$9:$J$26,2,FALSE)),SUMIFS(Stammdaten!$J$9:$J$26,Stammdaten!$I$9:$I$26,F13)=0),VLOOKUP(TEXT(F13,"TTT"),Stammdaten!$B$20:$F$26,5,FALSE),0)))</f>
        <v>0</v>
      </c>
      <c r="I13" s="36">
        <f t="shared" si="2"/>
        <v>45725</v>
      </c>
      <c r="J13" s="34">
        <f ca="1">IF($B13&gt;DAY(EOMONTH(I$4,0)),"",SUMIFS(INDIRECT(TEXT(I13,"MMM")&amp;"!$L$9:$L$999"),INDIRECT(TEXT(I13,"MMM")&amp;"!$B$9:$B$999"),I13)+SUMIFS(Abwesenheit!$J$3:$J$199,Abwesenheit!$D$3:$D$199,I13))</f>
        <v>0</v>
      </c>
      <c r="K13" s="35">
        <f>IF($B13&gt;DAY(EOMONTH(I$4,0)),"",IF(OR(I13&lt;IF(YEAR(Eintritt)&lt;Jahr,DATE(Jahr,1,1),Eintritt),I13&gt;IF(Austritt="",DATE(Jahr,12,31),Austritt)),0,IF(OR(ISERROR(VLOOKUP(I13,Stammdaten!$I$9:$J$26,2,FALSE)),SUMIFS(Stammdaten!$J$9:$J$26,Stammdaten!$I$9:$I$26,I13)=0),VLOOKUP(TEXT(I13,"TTT"),Stammdaten!$B$20:$F$26,5,FALSE),0)))</f>
        <v>0</v>
      </c>
      <c r="L13" s="36">
        <f t="shared" si="3"/>
        <v>45756</v>
      </c>
      <c r="M13" s="34">
        <f ca="1">IF($B13&gt;DAY(EOMONTH(L$4,0)),"",SUMIFS(INDIRECT(TEXT(L13,"MMM")&amp;"!$L$9:$L$999"),INDIRECT(TEXT(L13,"MMM")&amp;"!$B$9:$B$999"),L13)+SUMIFS(Abwesenheit!$J$3:$J$199,Abwesenheit!$D$3:$D$199,L13))</f>
        <v>0</v>
      </c>
      <c r="N13" s="35">
        <f>IF($B13&gt;DAY(EOMONTH(L$4,0)),"",IF(OR(L13&lt;IF(YEAR(Eintritt)&lt;Jahr,DATE(Jahr,1,1),Eintritt),L13&gt;IF(Austritt="",DATE(Jahr,12,31),Austritt)),0,IF(OR(ISERROR(VLOOKUP(L13,Stammdaten!$I$9:$J$26,2,FALSE)),SUMIFS(Stammdaten!$J$9:$J$26,Stammdaten!$I$9:$I$26,L13)=0),VLOOKUP(TEXT(L13,"TTT"),Stammdaten!$B$20:$F$26,5,FALSE),0)))</f>
        <v>0</v>
      </c>
      <c r="O13" s="36">
        <f t="shared" si="4"/>
        <v>45786</v>
      </c>
      <c r="P13" s="34">
        <f ca="1">IF($B13&gt;DAY(EOMONTH(O$4,0)),"",SUMIFS(INDIRECT(TEXT(O13,"MMM")&amp;"!$L$9:$L$999"),INDIRECT(TEXT(O13,"MMM")&amp;"!$B$9:$B$999"),O13)+SUMIFS(Abwesenheit!$J$3:$J$199,Abwesenheit!$D$3:$D$199,O13))</f>
        <v>0</v>
      </c>
      <c r="Q13" s="35">
        <f>IF($B13&gt;DAY(EOMONTH(O$4,0)),"",IF(OR(O13&lt;IF(YEAR(Eintritt)&lt;Jahr,DATE(Jahr,1,1),Eintritt),O13&gt;IF(Austritt="",DATE(Jahr,12,31),Austritt)),0,IF(OR(ISERROR(VLOOKUP(O13,Stammdaten!$I$9:$J$26,2,FALSE)),SUMIFS(Stammdaten!$J$9:$J$26,Stammdaten!$I$9:$I$26,O13)=0),VLOOKUP(TEXT(O13,"TTT"),Stammdaten!$B$20:$F$26,5,FALSE),0)))</f>
        <v>0</v>
      </c>
      <c r="R13" s="36">
        <f t="shared" si="5"/>
        <v>45817</v>
      </c>
      <c r="S13" s="34">
        <f ca="1">IF($B13&gt;DAY(EOMONTH(R$4,0)),"",SUMIFS(INDIRECT(TEXT(R13,"MMM")&amp;"!$L$9:$L$999"),INDIRECT(TEXT(R13,"MMM")&amp;"!$B$9:$B$999"),R13)+SUMIFS(Abwesenheit!$J$3:$J$199,Abwesenheit!$D$3:$D$199,R13))</f>
        <v>0</v>
      </c>
      <c r="T13" s="35">
        <f>IF($B13&gt;DAY(EOMONTH(R$4,0)),"",IF(OR(R13&lt;IF(YEAR(Eintritt)&lt;Jahr,DATE(Jahr,1,1),Eintritt),R13&gt;IF(Austritt="",DATE(Jahr,12,31),Austritt)),0,IF(OR(ISERROR(VLOOKUP(R13,Stammdaten!$I$9:$J$26,2,FALSE)),SUMIFS(Stammdaten!$J$9:$J$26,Stammdaten!$I$9:$I$26,R13)=0),VLOOKUP(TEXT(R13,"TTT"),Stammdaten!$B$20:$F$26,5,FALSE),0)))</f>
        <v>0</v>
      </c>
      <c r="U13" s="36">
        <f t="shared" si="6"/>
        <v>45847</v>
      </c>
      <c r="V13" s="34">
        <f ca="1">IF($B13&gt;DAY(EOMONTH(U$4,0)),"",SUMIFS(INDIRECT(TEXT(U13,"MMM")&amp;"!$L$9:$L$999"),INDIRECT(TEXT(U13,"MMM")&amp;"!$B$9:$B$999"),U13)+SUMIFS(Abwesenheit!$J$3:$J$199,Abwesenheit!$D$3:$D$199,U13))</f>
        <v>0</v>
      </c>
      <c r="W13" s="35">
        <f>IF($B13&gt;DAY(EOMONTH(U$4,0)),"",IF(OR(U13&lt;IF(YEAR(Eintritt)&lt;Jahr,DATE(Jahr,1,1),Eintritt),U13&gt;IF(Austritt="",DATE(Jahr,12,31),Austritt)),0,IF(OR(ISERROR(VLOOKUP(U13,Stammdaten!$I$9:$J$26,2,FALSE)),SUMIFS(Stammdaten!$J$9:$J$26,Stammdaten!$I$9:$I$26,U13)=0),VLOOKUP(TEXT(U13,"TTT"),Stammdaten!$B$20:$F$26,5,FALSE),0)))</f>
        <v>0.33333333333333337</v>
      </c>
      <c r="X13" s="36">
        <f t="shared" si="7"/>
        <v>45878</v>
      </c>
      <c r="Y13" s="34">
        <f ca="1">IF($B13&gt;DAY(EOMONTH(X$4,0)),"",SUMIFS(INDIRECT(TEXT(X13,"MMM")&amp;"!$L$9:$L$999"),INDIRECT(TEXT(X13,"MMM")&amp;"!$B$9:$B$999"),X13)+SUMIFS(Abwesenheit!$J$3:$J$199,Abwesenheit!$D$3:$D$199,X13))</f>
        <v>0</v>
      </c>
      <c r="Z13" s="35">
        <f>IF($B13&gt;DAY(EOMONTH(X$4,0)),"",IF(OR(X13&lt;IF(YEAR(Eintritt)&lt;Jahr,DATE(Jahr,1,1),Eintritt),X13&gt;IF(Austritt="",DATE(Jahr,12,31),Austritt)),0,IF(OR(ISERROR(VLOOKUP(X13,Stammdaten!$I$9:$J$26,2,FALSE)),SUMIFS(Stammdaten!$J$9:$J$26,Stammdaten!$I$9:$I$26,X13)=0),VLOOKUP(TEXT(X13,"TTT"),Stammdaten!$B$20:$F$26,5,FALSE),0)))</f>
        <v>0</v>
      </c>
      <c r="AA13" s="36">
        <f t="shared" si="8"/>
        <v>45909</v>
      </c>
      <c r="AB13" s="34">
        <f ca="1">IF($B13&gt;DAY(EOMONTH(AA$4,0)),"",SUMIFS(INDIRECT(TEXT(AA13,"MMM")&amp;"!$L$9:$L$999"),INDIRECT(TEXT(AA13,"MMM")&amp;"!$B$9:$B$999"),AA13)+SUMIFS(Abwesenheit!$J$3:$J$199,Abwesenheit!$D$3:$D$199,AA13))</f>
        <v>0</v>
      </c>
      <c r="AC13" s="35">
        <f>IF($B13&gt;DAY(EOMONTH(AA$4,0)),"",IF(OR(AA13&lt;IF(YEAR(Eintritt)&lt;Jahr,DATE(Jahr,1,1),Eintritt),AA13&gt;IF(Austritt="",DATE(Jahr,12,31),Austritt)),0,IF(OR(ISERROR(VLOOKUP(AA13,Stammdaten!$I$9:$J$26,2,FALSE)),SUMIFS(Stammdaten!$J$9:$J$26,Stammdaten!$I$9:$I$26,AA13)=0),VLOOKUP(TEXT(AA13,"TTT"),Stammdaten!$B$20:$F$26,5,FALSE),0)))</f>
        <v>0</v>
      </c>
      <c r="AD13" s="36">
        <f t="shared" si="9"/>
        <v>45939</v>
      </c>
      <c r="AE13" s="34">
        <f ca="1">IF($B13&gt;DAY(EOMONTH(AD$4,0)),"",SUMIFS(INDIRECT(TEXT(AD13,"MMM")&amp;"!$L$9:$L$999"),INDIRECT(TEXT(AD13,"MMM")&amp;"!$B$9:$B$999"),AD13)+SUMIFS(Abwesenheit!$J$3:$J$199,Abwesenheit!$D$3:$D$199,AD13))</f>
        <v>0</v>
      </c>
      <c r="AF13" s="35">
        <f>IF($B13&gt;DAY(EOMONTH(AD$4,0)),"",IF(OR(AD13&lt;IF(YEAR(Eintritt)&lt;Jahr,DATE(Jahr,1,1),Eintritt),AD13&gt;IF(Austritt="",DATE(Jahr,12,31),Austritt)),0,IF(OR(ISERROR(VLOOKUP(AD13,Stammdaten!$I$9:$J$26,2,FALSE)),SUMIFS(Stammdaten!$J$9:$J$26,Stammdaten!$I$9:$I$26,AD13)=0),VLOOKUP(TEXT(AD13,"TTT"),Stammdaten!$B$20:$F$26,5,FALSE),0)))</f>
        <v>0</v>
      </c>
      <c r="AG13" s="36">
        <f t="shared" si="10"/>
        <v>45970</v>
      </c>
      <c r="AH13" s="34">
        <f ca="1">IF($B13&gt;DAY(EOMONTH(AG$4,0)),"",SUMIFS(INDIRECT(TEXT(AG13,"MMM")&amp;"!$L$9:$L$999"),INDIRECT(TEXT(AG13,"MMM")&amp;"!$B$9:$B$999"),AG13)+SUMIFS(Abwesenheit!$J$3:$J$199,Abwesenheit!$D$3:$D$199,AG13))</f>
        <v>0</v>
      </c>
      <c r="AI13" s="35">
        <f>IF($B13&gt;DAY(EOMONTH(AG$4,0)),"",IF(OR(AG13&lt;IF(YEAR(Eintritt)&lt;Jahr,DATE(Jahr,1,1),Eintritt),AG13&gt;IF(Austritt="",DATE(Jahr,12,31),Austritt)),0,IF(OR(ISERROR(VLOOKUP(AG13,Stammdaten!$I$9:$J$26,2,FALSE)),SUMIFS(Stammdaten!$J$9:$J$26,Stammdaten!$I$9:$I$26,AG13)=0),VLOOKUP(TEXT(AG13,"TTT"),Stammdaten!$B$20:$F$26,5,FALSE),0)))</f>
        <v>0</v>
      </c>
      <c r="AJ13" s="36">
        <f t="shared" si="11"/>
        <v>46000</v>
      </c>
      <c r="AK13" s="34">
        <f ca="1">IF($B13&gt;DAY(EOMONTH(AJ$4,0)),"",SUMIFS(INDIRECT(TEXT(AJ13,"MMM")&amp;"!$L$9:$L$999"),INDIRECT(TEXT(AJ13,"MMM")&amp;"!$B$9:$B$999"),AJ13)+SUMIFS(Abwesenheit!$J$3:$J$199,Abwesenheit!$D$3:$D$199,AJ13))</f>
        <v>0</v>
      </c>
      <c r="AL13" s="35">
        <f>IF($B13&gt;DAY(EOMONTH(AJ$4,0)),"",IF(OR(AJ13&lt;IF(YEAR(Eintritt)&lt;Jahr,DATE(Jahr,1,1),Eintritt),AJ13&gt;IF(Austritt="",DATE(Jahr,12,31),Austritt)),0,VLOOKUP(TEXT(AJ13,"TTT"),Stammdaten!$B$20:$F$26,5,FALSE)-IF(ISERROR(VLOOKUP(AJ13,Stammdaten!$I$9:$J$26,2,FALSE)),0,SUMIFS(Stammdaten!$J$9:$J$26,Stammdaten!$I$9:$I$26,AJ13)/24)))</f>
        <v>0</v>
      </c>
      <c r="AM13" s="37">
        <v>9</v>
      </c>
      <c r="AP13" s="8"/>
      <c r="AQ13" s="8"/>
      <c r="AR13" s="8"/>
      <c r="AS13" s="8"/>
    </row>
    <row r="14" spans="1:45" x14ac:dyDescent="0.3">
      <c r="A14" s="33"/>
      <c r="B14" s="37">
        <v>10</v>
      </c>
      <c r="C14" s="36">
        <f t="shared" si="0"/>
        <v>45667</v>
      </c>
      <c r="D14" s="34">
        <f ca="1">IF($B14&gt;DAY(EOMONTH(C$4,0)),"",SUMIFS(INDIRECT(TEXT(C14,"MMM")&amp;"!$L$9:$L$999"),INDIRECT(TEXT(C14,"MMM")&amp;"!$B$9:$B$999"),C14)+SUMIFS(Abwesenheit!$J$3:$J$199,Abwesenheit!$D$3:$D$199,C14))</f>
        <v>0</v>
      </c>
      <c r="E14" s="35">
        <f>IF($B14&gt;DAY(EOMONTH(C$4,0)),"",IF(OR(C14&lt;IF(YEAR(Eintritt)&lt;Jahr,DATE(Jahr,1,1),Eintritt),C14&gt;IF(Austritt="",DATE(Jahr,12,31),Austritt)),0,IF(OR(ISERROR(VLOOKUP(C14,Stammdaten!$I$9:$J$26,2,FALSE)),SUMIFS(Stammdaten!$J$9:$J$26,Stammdaten!$I$9:$I$26,C14)=0),VLOOKUP(TEXT(C14,"TTT"),Stammdaten!$B$20:$F$26,5,FALSE),0)))</f>
        <v>0</v>
      </c>
      <c r="F14" s="36">
        <f t="shared" si="1"/>
        <v>45698</v>
      </c>
      <c r="G14" s="34">
        <f ca="1">IF($B14&gt;DAY(EOMONTH(F$4,0)),"",SUMIFS(INDIRECT(TEXT(F14,"MMM")&amp;"!$L$9:$L$999"),INDIRECT(TEXT(F14,"MMM")&amp;"!$B$9:$B$999"),F14)+SUMIFS(Abwesenheit!$J$3:$J$199,Abwesenheit!$D$3:$D$199,F14))</f>
        <v>0</v>
      </c>
      <c r="H14" s="35">
        <f>IF($B14&gt;DAY(EOMONTH(F$4,0)),"",IF(OR(F14&lt;IF(YEAR(Eintritt)&lt;Jahr,DATE(Jahr,1,1),Eintritt),F14&gt;IF(Austritt="",DATE(Jahr,12,31),Austritt)),0,IF(OR(ISERROR(VLOOKUP(F14,Stammdaten!$I$9:$J$26,2,FALSE)),SUMIFS(Stammdaten!$J$9:$J$26,Stammdaten!$I$9:$I$26,F14)=0),VLOOKUP(TEXT(F14,"TTT"),Stammdaten!$B$20:$F$26,5,FALSE),0)))</f>
        <v>0</v>
      </c>
      <c r="I14" s="36">
        <f t="shared" si="2"/>
        <v>45726</v>
      </c>
      <c r="J14" s="34">
        <f ca="1">IF($B14&gt;DAY(EOMONTH(I$4,0)),"",SUMIFS(INDIRECT(TEXT(I14,"MMM")&amp;"!$L$9:$L$999"),INDIRECT(TEXT(I14,"MMM")&amp;"!$B$9:$B$999"),I14)+SUMIFS(Abwesenheit!$J$3:$J$199,Abwesenheit!$D$3:$D$199,I14))</f>
        <v>0</v>
      </c>
      <c r="K14" s="35">
        <f>IF($B14&gt;DAY(EOMONTH(I$4,0)),"",IF(OR(I14&lt;IF(YEAR(Eintritt)&lt;Jahr,DATE(Jahr,1,1),Eintritt),I14&gt;IF(Austritt="",DATE(Jahr,12,31),Austritt)),0,IF(OR(ISERROR(VLOOKUP(I14,Stammdaten!$I$9:$J$26,2,FALSE)),SUMIFS(Stammdaten!$J$9:$J$26,Stammdaten!$I$9:$I$26,I14)=0),VLOOKUP(TEXT(I14,"TTT"),Stammdaten!$B$20:$F$26,5,FALSE),0)))</f>
        <v>0</v>
      </c>
      <c r="L14" s="36">
        <f t="shared" si="3"/>
        <v>45757</v>
      </c>
      <c r="M14" s="34">
        <f ca="1">IF($B14&gt;DAY(EOMONTH(L$4,0)),"",SUMIFS(INDIRECT(TEXT(L14,"MMM")&amp;"!$L$9:$L$999"),INDIRECT(TEXT(L14,"MMM")&amp;"!$B$9:$B$999"),L14)+SUMIFS(Abwesenheit!$J$3:$J$199,Abwesenheit!$D$3:$D$199,L14))</f>
        <v>0</v>
      </c>
      <c r="N14" s="35">
        <f>IF($B14&gt;DAY(EOMONTH(L$4,0)),"",IF(OR(L14&lt;IF(YEAR(Eintritt)&lt;Jahr,DATE(Jahr,1,1),Eintritt),L14&gt;IF(Austritt="",DATE(Jahr,12,31),Austritt)),0,IF(OR(ISERROR(VLOOKUP(L14,Stammdaten!$I$9:$J$26,2,FALSE)),SUMIFS(Stammdaten!$J$9:$J$26,Stammdaten!$I$9:$I$26,L14)=0),VLOOKUP(TEXT(L14,"TTT"),Stammdaten!$B$20:$F$26,5,FALSE),0)))</f>
        <v>0</v>
      </c>
      <c r="O14" s="36">
        <f t="shared" si="4"/>
        <v>45787</v>
      </c>
      <c r="P14" s="34">
        <f ca="1">IF($B14&gt;DAY(EOMONTH(O$4,0)),"",SUMIFS(INDIRECT(TEXT(O14,"MMM")&amp;"!$L$9:$L$999"),INDIRECT(TEXT(O14,"MMM")&amp;"!$B$9:$B$999"),O14)+SUMIFS(Abwesenheit!$J$3:$J$199,Abwesenheit!$D$3:$D$199,O14))</f>
        <v>0</v>
      </c>
      <c r="Q14" s="35">
        <f>IF($B14&gt;DAY(EOMONTH(O$4,0)),"",IF(OR(O14&lt;IF(YEAR(Eintritt)&lt;Jahr,DATE(Jahr,1,1),Eintritt),O14&gt;IF(Austritt="",DATE(Jahr,12,31),Austritt)),0,IF(OR(ISERROR(VLOOKUP(O14,Stammdaten!$I$9:$J$26,2,FALSE)),SUMIFS(Stammdaten!$J$9:$J$26,Stammdaten!$I$9:$I$26,O14)=0),VLOOKUP(TEXT(O14,"TTT"),Stammdaten!$B$20:$F$26,5,FALSE),0)))</f>
        <v>0</v>
      </c>
      <c r="R14" s="36">
        <f t="shared" si="5"/>
        <v>45818</v>
      </c>
      <c r="S14" s="34">
        <f ca="1">IF($B14&gt;DAY(EOMONTH(R$4,0)),"",SUMIFS(INDIRECT(TEXT(R14,"MMM")&amp;"!$L$9:$L$999"),INDIRECT(TEXT(R14,"MMM")&amp;"!$B$9:$B$999"),R14)+SUMIFS(Abwesenheit!$J$3:$J$199,Abwesenheit!$D$3:$D$199,R14))</f>
        <v>0</v>
      </c>
      <c r="T14" s="35">
        <f>IF($B14&gt;DAY(EOMONTH(R$4,0)),"",IF(OR(R14&lt;IF(YEAR(Eintritt)&lt;Jahr,DATE(Jahr,1,1),Eintritt),R14&gt;IF(Austritt="",DATE(Jahr,12,31),Austritt)),0,IF(OR(ISERROR(VLOOKUP(R14,Stammdaten!$I$9:$J$26,2,FALSE)),SUMIFS(Stammdaten!$J$9:$J$26,Stammdaten!$I$9:$I$26,R14)=0),VLOOKUP(TEXT(R14,"TTT"),Stammdaten!$B$20:$F$26,5,FALSE),0)))</f>
        <v>0</v>
      </c>
      <c r="U14" s="36">
        <f t="shared" si="6"/>
        <v>45848</v>
      </c>
      <c r="V14" s="34">
        <f ca="1">IF($B14&gt;DAY(EOMONTH(U$4,0)),"",SUMIFS(INDIRECT(TEXT(U14,"MMM")&amp;"!$L$9:$L$999"),INDIRECT(TEXT(U14,"MMM")&amp;"!$B$9:$B$999"),U14)+SUMIFS(Abwesenheit!$J$3:$J$199,Abwesenheit!$D$3:$D$199,U14))</f>
        <v>0</v>
      </c>
      <c r="W14" s="35">
        <f>IF($B14&gt;DAY(EOMONTH(U$4,0)),"",IF(OR(U14&lt;IF(YEAR(Eintritt)&lt;Jahr,DATE(Jahr,1,1),Eintritt),U14&gt;IF(Austritt="",DATE(Jahr,12,31),Austritt)),0,IF(OR(ISERROR(VLOOKUP(U14,Stammdaten!$I$9:$J$26,2,FALSE)),SUMIFS(Stammdaten!$J$9:$J$26,Stammdaten!$I$9:$I$26,U14)=0),VLOOKUP(TEXT(U14,"TTT"),Stammdaten!$B$20:$F$26,5,FALSE),0)))</f>
        <v>0.33333333333333337</v>
      </c>
      <c r="X14" s="36">
        <f t="shared" si="7"/>
        <v>45879</v>
      </c>
      <c r="Y14" s="34">
        <f ca="1">IF($B14&gt;DAY(EOMONTH(X$4,0)),"",SUMIFS(INDIRECT(TEXT(X14,"MMM")&amp;"!$L$9:$L$999"),INDIRECT(TEXT(X14,"MMM")&amp;"!$B$9:$B$999"),X14)+SUMIFS(Abwesenheit!$J$3:$J$199,Abwesenheit!$D$3:$D$199,X14))</f>
        <v>0</v>
      </c>
      <c r="Z14" s="35">
        <f>IF($B14&gt;DAY(EOMONTH(X$4,0)),"",IF(OR(X14&lt;IF(YEAR(Eintritt)&lt;Jahr,DATE(Jahr,1,1),Eintritt),X14&gt;IF(Austritt="",DATE(Jahr,12,31),Austritt)),0,IF(OR(ISERROR(VLOOKUP(X14,Stammdaten!$I$9:$J$26,2,FALSE)),SUMIFS(Stammdaten!$J$9:$J$26,Stammdaten!$I$9:$I$26,X14)=0),VLOOKUP(TEXT(X14,"TTT"),Stammdaten!$B$20:$F$26,5,FALSE),0)))</f>
        <v>0</v>
      </c>
      <c r="AA14" s="36">
        <f t="shared" si="8"/>
        <v>45910</v>
      </c>
      <c r="AB14" s="34">
        <f ca="1">IF($B14&gt;DAY(EOMONTH(AA$4,0)),"",SUMIFS(INDIRECT(TEXT(AA14,"MMM")&amp;"!$L$9:$L$999"),INDIRECT(TEXT(AA14,"MMM")&amp;"!$B$9:$B$999"),AA14)+SUMIFS(Abwesenheit!$J$3:$J$199,Abwesenheit!$D$3:$D$199,AA14))</f>
        <v>0</v>
      </c>
      <c r="AC14" s="35">
        <f>IF($B14&gt;DAY(EOMONTH(AA$4,0)),"",IF(OR(AA14&lt;IF(YEAR(Eintritt)&lt;Jahr,DATE(Jahr,1,1),Eintritt),AA14&gt;IF(Austritt="",DATE(Jahr,12,31),Austritt)),0,IF(OR(ISERROR(VLOOKUP(AA14,Stammdaten!$I$9:$J$26,2,FALSE)),SUMIFS(Stammdaten!$J$9:$J$26,Stammdaten!$I$9:$I$26,AA14)=0),VLOOKUP(TEXT(AA14,"TTT"),Stammdaten!$B$20:$F$26,5,FALSE),0)))</f>
        <v>0</v>
      </c>
      <c r="AD14" s="36">
        <f t="shared" si="9"/>
        <v>45940</v>
      </c>
      <c r="AE14" s="34">
        <f ca="1">IF($B14&gt;DAY(EOMONTH(AD$4,0)),"",SUMIFS(INDIRECT(TEXT(AD14,"MMM")&amp;"!$L$9:$L$999"),INDIRECT(TEXT(AD14,"MMM")&amp;"!$B$9:$B$999"),AD14)+SUMIFS(Abwesenheit!$J$3:$J$199,Abwesenheit!$D$3:$D$199,AD14))</f>
        <v>0</v>
      </c>
      <c r="AF14" s="35">
        <f>IF($B14&gt;DAY(EOMONTH(AD$4,0)),"",IF(OR(AD14&lt;IF(YEAR(Eintritt)&lt;Jahr,DATE(Jahr,1,1),Eintritt),AD14&gt;IF(Austritt="",DATE(Jahr,12,31),Austritt)),0,IF(OR(ISERROR(VLOOKUP(AD14,Stammdaten!$I$9:$J$26,2,FALSE)),SUMIFS(Stammdaten!$J$9:$J$26,Stammdaten!$I$9:$I$26,AD14)=0),VLOOKUP(TEXT(AD14,"TTT"),Stammdaten!$B$20:$F$26,5,FALSE),0)))</f>
        <v>0</v>
      </c>
      <c r="AG14" s="36">
        <f t="shared" si="10"/>
        <v>45971</v>
      </c>
      <c r="AH14" s="34">
        <f ca="1">IF($B14&gt;DAY(EOMONTH(AG$4,0)),"",SUMIFS(INDIRECT(TEXT(AG14,"MMM")&amp;"!$L$9:$L$999"),INDIRECT(TEXT(AG14,"MMM")&amp;"!$B$9:$B$999"),AG14)+SUMIFS(Abwesenheit!$J$3:$J$199,Abwesenheit!$D$3:$D$199,AG14))</f>
        <v>0</v>
      </c>
      <c r="AI14" s="35">
        <f>IF($B14&gt;DAY(EOMONTH(AG$4,0)),"",IF(OR(AG14&lt;IF(YEAR(Eintritt)&lt;Jahr,DATE(Jahr,1,1),Eintritt),AG14&gt;IF(Austritt="",DATE(Jahr,12,31),Austritt)),0,IF(OR(ISERROR(VLOOKUP(AG14,Stammdaten!$I$9:$J$26,2,FALSE)),SUMIFS(Stammdaten!$J$9:$J$26,Stammdaten!$I$9:$I$26,AG14)=0),VLOOKUP(TEXT(AG14,"TTT"),Stammdaten!$B$20:$F$26,5,FALSE),0)))</f>
        <v>0</v>
      </c>
      <c r="AJ14" s="36">
        <f t="shared" si="11"/>
        <v>46001</v>
      </c>
      <c r="AK14" s="34">
        <f ca="1">IF($B14&gt;DAY(EOMONTH(AJ$4,0)),"",SUMIFS(INDIRECT(TEXT(AJ14,"MMM")&amp;"!$L$9:$L$999"),INDIRECT(TEXT(AJ14,"MMM")&amp;"!$B$9:$B$999"),AJ14)+SUMIFS(Abwesenheit!$J$3:$J$199,Abwesenheit!$D$3:$D$199,AJ14))</f>
        <v>0</v>
      </c>
      <c r="AL14" s="35">
        <f>IF($B14&gt;DAY(EOMONTH(AJ$4,0)),"",IF(OR(AJ14&lt;IF(YEAR(Eintritt)&lt;Jahr,DATE(Jahr,1,1),Eintritt),AJ14&gt;IF(Austritt="",DATE(Jahr,12,31),Austritt)),0,VLOOKUP(TEXT(AJ14,"TTT"),Stammdaten!$B$20:$F$26,5,FALSE)-IF(ISERROR(VLOOKUP(AJ14,Stammdaten!$I$9:$J$26,2,FALSE)),0,SUMIFS(Stammdaten!$J$9:$J$26,Stammdaten!$I$9:$I$26,AJ14)/24)))</f>
        <v>0</v>
      </c>
      <c r="AM14" s="37">
        <v>10</v>
      </c>
      <c r="AP14" s="8"/>
      <c r="AQ14" s="8"/>
      <c r="AR14" s="8"/>
      <c r="AS14" s="8"/>
    </row>
    <row r="15" spans="1:45" x14ac:dyDescent="0.3">
      <c r="A15" s="33"/>
      <c r="B15" s="37">
        <v>11</v>
      </c>
      <c r="C15" s="36">
        <f t="shared" si="0"/>
        <v>45668</v>
      </c>
      <c r="D15" s="34">
        <f ca="1">IF($B15&gt;DAY(EOMONTH(C$4,0)),"",SUMIFS(INDIRECT(TEXT(C15,"MMM")&amp;"!$L$9:$L$999"),INDIRECT(TEXT(C15,"MMM")&amp;"!$B$9:$B$999"),C15)+SUMIFS(Abwesenheit!$J$3:$J$199,Abwesenheit!$D$3:$D$199,C15))</f>
        <v>0</v>
      </c>
      <c r="E15" s="35">
        <f>IF($B15&gt;DAY(EOMONTH(C$4,0)),"",IF(OR(C15&lt;IF(YEAR(Eintritt)&lt;Jahr,DATE(Jahr,1,1),Eintritt),C15&gt;IF(Austritt="",DATE(Jahr,12,31),Austritt)),0,IF(OR(ISERROR(VLOOKUP(C15,Stammdaten!$I$9:$J$26,2,FALSE)),SUMIFS(Stammdaten!$J$9:$J$26,Stammdaten!$I$9:$I$26,C15)=0),VLOOKUP(TEXT(C15,"TTT"),Stammdaten!$B$20:$F$26,5,FALSE),0)))</f>
        <v>0</v>
      </c>
      <c r="F15" s="36">
        <f t="shared" si="1"/>
        <v>45699</v>
      </c>
      <c r="G15" s="34">
        <f ca="1">IF($B15&gt;DAY(EOMONTH(F$4,0)),"",SUMIFS(INDIRECT(TEXT(F15,"MMM")&amp;"!$L$9:$L$999"),INDIRECT(TEXT(F15,"MMM")&amp;"!$B$9:$B$999"),F15)+SUMIFS(Abwesenheit!$J$3:$J$199,Abwesenheit!$D$3:$D$199,F15))</f>
        <v>0</v>
      </c>
      <c r="H15" s="35">
        <f>IF($B15&gt;DAY(EOMONTH(F$4,0)),"",IF(OR(F15&lt;IF(YEAR(Eintritt)&lt;Jahr,DATE(Jahr,1,1),Eintritt),F15&gt;IF(Austritt="",DATE(Jahr,12,31),Austritt)),0,IF(OR(ISERROR(VLOOKUP(F15,Stammdaten!$I$9:$J$26,2,FALSE)),SUMIFS(Stammdaten!$J$9:$J$26,Stammdaten!$I$9:$I$26,F15)=0),VLOOKUP(TEXT(F15,"TTT"),Stammdaten!$B$20:$F$26,5,FALSE),0)))</f>
        <v>0</v>
      </c>
      <c r="I15" s="36">
        <f t="shared" si="2"/>
        <v>45727</v>
      </c>
      <c r="J15" s="34">
        <f ca="1">IF($B15&gt;DAY(EOMONTH(I$4,0)),"",SUMIFS(INDIRECT(TEXT(I15,"MMM")&amp;"!$L$9:$L$999"),INDIRECT(TEXT(I15,"MMM")&amp;"!$B$9:$B$999"),I15)+SUMIFS(Abwesenheit!$J$3:$J$199,Abwesenheit!$D$3:$D$199,I15))</f>
        <v>0</v>
      </c>
      <c r="K15" s="35">
        <f>IF($B15&gt;DAY(EOMONTH(I$4,0)),"",IF(OR(I15&lt;IF(YEAR(Eintritt)&lt;Jahr,DATE(Jahr,1,1),Eintritt),I15&gt;IF(Austritt="",DATE(Jahr,12,31),Austritt)),0,IF(OR(ISERROR(VLOOKUP(I15,Stammdaten!$I$9:$J$26,2,FALSE)),SUMIFS(Stammdaten!$J$9:$J$26,Stammdaten!$I$9:$I$26,I15)=0),VLOOKUP(TEXT(I15,"TTT"),Stammdaten!$B$20:$F$26,5,FALSE),0)))</f>
        <v>0</v>
      </c>
      <c r="L15" s="36">
        <f t="shared" si="3"/>
        <v>45758</v>
      </c>
      <c r="M15" s="34">
        <f ca="1">IF($B15&gt;DAY(EOMONTH(L$4,0)),"",SUMIFS(INDIRECT(TEXT(L15,"MMM")&amp;"!$L$9:$L$999"),INDIRECT(TEXT(L15,"MMM")&amp;"!$B$9:$B$999"),L15)+SUMIFS(Abwesenheit!$J$3:$J$199,Abwesenheit!$D$3:$D$199,L15))</f>
        <v>0</v>
      </c>
      <c r="N15" s="35">
        <f>IF($B15&gt;DAY(EOMONTH(L$4,0)),"",IF(OR(L15&lt;IF(YEAR(Eintritt)&lt;Jahr,DATE(Jahr,1,1),Eintritt),L15&gt;IF(Austritt="",DATE(Jahr,12,31),Austritt)),0,IF(OR(ISERROR(VLOOKUP(L15,Stammdaten!$I$9:$J$26,2,FALSE)),SUMIFS(Stammdaten!$J$9:$J$26,Stammdaten!$I$9:$I$26,L15)=0),VLOOKUP(TEXT(L15,"TTT"),Stammdaten!$B$20:$F$26,5,FALSE),0)))</f>
        <v>0</v>
      </c>
      <c r="O15" s="36">
        <f t="shared" si="4"/>
        <v>45788</v>
      </c>
      <c r="P15" s="34">
        <f ca="1">IF($B15&gt;DAY(EOMONTH(O$4,0)),"",SUMIFS(INDIRECT(TEXT(O15,"MMM")&amp;"!$L$9:$L$999"),INDIRECT(TEXT(O15,"MMM")&amp;"!$B$9:$B$999"),O15)+SUMIFS(Abwesenheit!$J$3:$J$199,Abwesenheit!$D$3:$D$199,O15))</f>
        <v>0</v>
      </c>
      <c r="Q15" s="35">
        <f>IF($B15&gt;DAY(EOMONTH(O$4,0)),"",IF(OR(O15&lt;IF(YEAR(Eintritt)&lt;Jahr,DATE(Jahr,1,1),Eintritt),O15&gt;IF(Austritt="",DATE(Jahr,12,31),Austritt)),0,IF(OR(ISERROR(VLOOKUP(O15,Stammdaten!$I$9:$J$26,2,FALSE)),SUMIFS(Stammdaten!$J$9:$J$26,Stammdaten!$I$9:$I$26,O15)=0),VLOOKUP(TEXT(O15,"TTT"),Stammdaten!$B$20:$F$26,5,FALSE),0)))</f>
        <v>0</v>
      </c>
      <c r="R15" s="36">
        <f t="shared" si="5"/>
        <v>45819</v>
      </c>
      <c r="S15" s="34">
        <f ca="1">IF($B15&gt;DAY(EOMONTH(R$4,0)),"",SUMIFS(INDIRECT(TEXT(R15,"MMM")&amp;"!$L$9:$L$999"),INDIRECT(TEXT(R15,"MMM")&amp;"!$B$9:$B$999"),R15)+SUMIFS(Abwesenheit!$J$3:$J$199,Abwesenheit!$D$3:$D$199,R15))</f>
        <v>0</v>
      </c>
      <c r="T15" s="35">
        <f>IF($B15&gt;DAY(EOMONTH(R$4,0)),"",IF(OR(R15&lt;IF(YEAR(Eintritt)&lt;Jahr,DATE(Jahr,1,1),Eintritt),R15&gt;IF(Austritt="",DATE(Jahr,12,31),Austritt)),0,IF(OR(ISERROR(VLOOKUP(R15,Stammdaten!$I$9:$J$26,2,FALSE)),SUMIFS(Stammdaten!$J$9:$J$26,Stammdaten!$I$9:$I$26,R15)=0),VLOOKUP(TEXT(R15,"TTT"),Stammdaten!$B$20:$F$26,5,FALSE),0)))</f>
        <v>0</v>
      </c>
      <c r="U15" s="36">
        <f t="shared" si="6"/>
        <v>45849</v>
      </c>
      <c r="V15" s="34">
        <f ca="1">IF($B15&gt;DAY(EOMONTH(U$4,0)),"",SUMIFS(INDIRECT(TEXT(U15,"MMM")&amp;"!$L$9:$L$999"),INDIRECT(TEXT(U15,"MMM")&amp;"!$B$9:$B$999"),U15)+SUMIFS(Abwesenheit!$J$3:$J$199,Abwesenheit!$D$3:$D$199,U15))</f>
        <v>0</v>
      </c>
      <c r="W15" s="35">
        <f>IF($B15&gt;DAY(EOMONTH(U$4,0)),"",IF(OR(U15&lt;IF(YEAR(Eintritt)&lt;Jahr,DATE(Jahr,1,1),Eintritt),U15&gt;IF(Austritt="",DATE(Jahr,12,31),Austritt)),0,IF(OR(ISERROR(VLOOKUP(U15,Stammdaten!$I$9:$J$26,2,FALSE)),SUMIFS(Stammdaten!$J$9:$J$26,Stammdaten!$I$9:$I$26,U15)=0),VLOOKUP(TEXT(U15,"TTT"),Stammdaten!$B$20:$F$26,5,FALSE),0)))</f>
        <v>0.33333333333333337</v>
      </c>
      <c r="X15" s="36">
        <f t="shared" si="7"/>
        <v>45880</v>
      </c>
      <c r="Y15" s="34">
        <f ca="1">IF($B15&gt;DAY(EOMONTH(X$4,0)),"",SUMIFS(INDIRECT(TEXT(X15,"MMM")&amp;"!$L$9:$L$999"),INDIRECT(TEXT(X15,"MMM")&amp;"!$B$9:$B$999"),X15)+SUMIFS(Abwesenheit!$J$3:$J$199,Abwesenheit!$D$3:$D$199,X15))</f>
        <v>0</v>
      </c>
      <c r="Z15" s="35">
        <f>IF($B15&gt;DAY(EOMONTH(X$4,0)),"",IF(OR(X15&lt;IF(YEAR(Eintritt)&lt;Jahr,DATE(Jahr,1,1),Eintritt),X15&gt;IF(Austritt="",DATE(Jahr,12,31),Austritt)),0,IF(OR(ISERROR(VLOOKUP(X15,Stammdaten!$I$9:$J$26,2,FALSE)),SUMIFS(Stammdaten!$J$9:$J$26,Stammdaten!$I$9:$I$26,X15)=0),VLOOKUP(TEXT(X15,"TTT"),Stammdaten!$B$20:$F$26,5,FALSE),0)))</f>
        <v>0</v>
      </c>
      <c r="AA15" s="36">
        <f t="shared" si="8"/>
        <v>45911</v>
      </c>
      <c r="AB15" s="34">
        <f ca="1">IF($B15&gt;DAY(EOMONTH(AA$4,0)),"",SUMIFS(INDIRECT(TEXT(AA15,"MMM")&amp;"!$L$9:$L$999"),INDIRECT(TEXT(AA15,"MMM")&amp;"!$B$9:$B$999"),AA15)+SUMIFS(Abwesenheit!$J$3:$J$199,Abwesenheit!$D$3:$D$199,AA15))</f>
        <v>0</v>
      </c>
      <c r="AC15" s="35">
        <f>IF($B15&gt;DAY(EOMONTH(AA$4,0)),"",IF(OR(AA15&lt;IF(YEAR(Eintritt)&lt;Jahr,DATE(Jahr,1,1),Eintritt),AA15&gt;IF(Austritt="",DATE(Jahr,12,31),Austritt)),0,IF(OR(ISERROR(VLOOKUP(AA15,Stammdaten!$I$9:$J$26,2,FALSE)),SUMIFS(Stammdaten!$J$9:$J$26,Stammdaten!$I$9:$I$26,AA15)=0),VLOOKUP(TEXT(AA15,"TTT"),Stammdaten!$B$20:$F$26,5,FALSE),0)))</f>
        <v>0</v>
      </c>
      <c r="AD15" s="36">
        <f t="shared" si="9"/>
        <v>45941</v>
      </c>
      <c r="AE15" s="34">
        <f ca="1">IF($B15&gt;DAY(EOMONTH(AD$4,0)),"",SUMIFS(INDIRECT(TEXT(AD15,"MMM")&amp;"!$L$9:$L$999"),INDIRECT(TEXT(AD15,"MMM")&amp;"!$B$9:$B$999"),AD15)+SUMIFS(Abwesenheit!$J$3:$J$199,Abwesenheit!$D$3:$D$199,AD15))</f>
        <v>0</v>
      </c>
      <c r="AF15" s="35">
        <f>IF($B15&gt;DAY(EOMONTH(AD$4,0)),"",IF(OR(AD15&lt;IF(YEAR(Eintritt)&lt;Jahr,DATE(Jahr,1,1),Eintritt),AD15&gt;IF(Austritt="",DATE(Jahr,12,31),Austritt)),0,IF(OR(ISERROR(VLOOKUP(AD15,Stammdaten!$I$9:$J$26,2,FALSE)),SUMIFS(Stammdaten!$J$9:$J$26,Stammdaten!$I$9:$I$26,AD15)=0),VLOOKUP(TEXT(AD15,"TTT"),Stammdaten!$B$20:$F$26,5,FALSE),0)))</f>
        <v>0</v>
      </c>
      <c r="AG15" s="36">
        <f t="shared" si="10"/>
        <v>45972</v>
      </c>
      <c r="AH15" s="34">
        <f ca="1">IF($B15&gt;DAY(EOMONTH(AG$4,0)),"",SUMIFS(INDIRECT(TEXT(AG15,"MMM")&amp;"!$L$9:$L$999"),INDIRECT(TEXT(AG15,"MMM")&amp;"!$B$9:$B$999"),AG15)+SUMIFS(Abwesenheit!$J$3:$J$199,Abwesenheit!$D$3:$D$199,AG15))</f>
        <v>0</v>
      </c>
      <c r="AI15" s="35">
        <f>IF($B15&gt;DAY(EOMONTH(AG$4,0)),"",IF(OR(AG15&lt;IF(YEAR(Eintritt)&lt;Jahr,DATE(Jahr,1,1),Eintritt),AG15&gt;IF(Austritt="",DATE(Jahr,12,31),Austritt)),0,IF(OR(ISERROR(VLOOKUP(AG15,Stammdaten!$I$9:$J$26,2,FALSE)),SUMIFS(Stammdaten!$J$9:$J$26,Stammdaten!$I$9:$I$26,AG15)=0),VLOOKUP(TEXT(AG15,"TTT"),Stammdaten!$B$20:$F$26,5,FALSE),0)))</f>
        <v>0</v>
      </c>
      <c r="AJ15" s="36">
        <f t="shared" si="11"/>
        <v>46002</v>
      </c>
      <c r="AK15" s="34">
        <f ca="1">IF($B15&gt;DAY(EOMONTH(AJ$4,0)),"",SUMIFS(INDIRECT(TEXT(AJ15,"MMM")&amp;"!$L$9:$L$999"),INDIRECT(TEXT(AJ15,"MMM")&amp;"!$B$9:$B$999"),AJ15)+SUMIFS(Abwesenheit!$J$3:$J$199,Abwesenheit!$D$3:$D$199,AJ15))</f>
        <v>0</v>
      </c>
      <c r="AL15" s="35">
        <f>IF($B15&gt;DAY(EOMONTH(AJ$4,0)),"",IF(OR(AJ15&lt;IF(YEAR(Eintritt)&lt;Jahr,DATE(Jahr,1,1),Eintritt),AJ15&gt;IF(Austritt="",DATE(Jahr,12,31),Austritt)),0,VLOOKUP(TEXT(AJ15,"TTT"),Stammdaten!$B$20:$F$26,5,FALSE)-IF(ISERROR(VLOOKUP(AJ15,Stammdaten!$I$9:$J$26,2,FALSE)),0,SUMIFS(Stammdaten!$J$9:$J$26,Stammdaten!$I$9:$I$26,AJ15)/24)))</f>
        <v>0</v>
      </c>
      <c r="AM15" s="37">
        <v>11</v>
      </c>
      <c r="AP15" s="8"/>
      <c r="AQ15" s="8"/>
      <c r="AR15" s="8"/>
      <c r="AS15" s="8"/>
    </row>
    <row r="16" spans="1:45" x14ac:dyDescent="0.3">
      <c r="A16" s="33"/>
      <c r="B16" s="37">
        <v>12</v>
      </c>
      <c r="C16" s="36">
        <f t="shared" si="0"/>
        <v>45669</v>
      </c>
      <c r="D16" s="34">
        <f ca="1">IF($B16&gt;DAY(EOMONTH(C$4,0)),"",SUMIFS(INDIRECT(TEXT(C16,"MMM")&amp;"!$L$9:$L$999"),INDIRECT(TEXT(C16,"MMM")&amp;"!$B$9:$B$999"),C16)+SUMIFS(Abwesenheit!$J$3:$J$199,Abwesenheit!$D$3:$D$199,C16))</f>
        <v>0</v>
      </c>
      <c r="E16" s="35">
        <f>IF($B16&gt;DAY(EOMONTH(C$4,0)),"",IF(OR(C16&lt;IF(YEAR(Eintritt)&lt;Jahr,DATE(Jahr,1,1),Eintritt),C16&gt;IF(Austritt="",DATE(Jahr,12,31),Austritt)),0,IF(OR(ISERROR(VLOOKUP(C16,Stammdaten!$I$9:$J$26,2,FALSE)),SUMIFS(Stammdaten!$J$9:$J$26,Stammdaten!$I$9:$I$26,C16)=0),VLOOKUP(TEXT(C16,"TTT"),Stammdaten!$B$20:$F$26,5,FALSE),0)))</f>
        <v>0</v>
      </c>
      <c r="F16" s="36">
        <f t="shared" si="1"/>
        <v>45700</v>
      </c>
      <c r="G16" s="34">
        <f ca="1">IF($B16&gt;DAY(EOMONTH(F$4,0)),"",SUMIFS(INDIRECT(TEXT(F16,"MMM")&amp;"!$L$9:$L$999"),INDIRECT(TEXT(F16,"MMM")&amp;"!$B$9:$B$999"),F16)+SUMIFS(Abwesenheit!$J$3:$J$199,Abwesenheit!$D$3:$D$199,F16))</f>
        <v>0</v>
      </c>
      <c r="H16" s="35">
        <f>IF($B16&gt;DAY(EOMONTH(F$4,0)),"",IF(OR(F16&lt;IF(YEAR(Eintritt)&lt;Jahr,DATE(Jahr,1,1),Eintritt),F16&gt;IF(Austritt="",DATE(Jahr,12,31),Austritt)),0,IF(OR(ISERROR(VLOOKUP(F16,Stammdaten!$I$9:$J$26,2,FALSE)),SUMIFS(Stammdaten!$J$9:$J$26,Stammdaten!$I$9:$I$26,F16)=0),VLOOKUP(TEXT(F16,"TTT"),Stammdaten!$B$20:$F$26,5,FALSE),0)))</f>
        <v>0</v>
      </c>
      <c r="I16" s="36">
        <f t="shared" si="2"/>
        <v>45728</v>
      </c>
      <c r="J16" s="34">
        <f ca="1">IF($B16&gt;DAY(EOMONTH(I$4,0)),"",SUMIFS(INDIRECT(TEXT(I16,"MMM")&amp;"!$L$9:$L$999"),INDIRECT(TEXT(I16,"MMM")&amp;"!$B$9:$B$999"),I16)+SUMIFS(Abwesenheit!$J$3:$J$199,Abwesenheit!$D$3:$D$199,I16))</f>
        <v>0</v>
      </c>
      <c r="K16" s="35">
        <f>IF($B16&gt;DAY(EOMONTH(I$4,0)),"",IF(OR(I16&lt;IF(YEAR(Eintritt)&lt;Jahr,DATE(Jahr,1,1),Eintritt),I16&gt;IF(Austritt="",DATE(Jahr,12,31),Austritt)),0,IF(OR(ISERROR(VLOOKUP(I16,Stammdaten!$I$9:$J$26,2,FALSE)),SUMIFS(Stammdaten!$J$9:$J$26,Stammdaten!$I$9:$I$26,I16)=0),VLOOKUP(TEXT(I16,"TTT"),Stammdaten!$B$20:$F$26,5,FALSE),0)))</f>
        <v>0</v>
      </c>
      <c r="L16" s="36">
        <f t="shared" si="3"/>
        <v>45759</v>
      </c>
      <c r="M16" s="34">
        <f ca="1">IF($B16&gt;DAY(EOMONTH(L$4,0)),"",SUMIFS(INDIRECT(TEXT(L16,"MMM")&amp;"!$L$9:$L$999"),INDIRECT(TEXT(L16,"MMM")&amp;"!$B$9:$B$999"),L16)+SUMIFS(Abwesenheit!$J$3:$J$199,Abwesenheit!$D$3:$D$199,L16))</f>
        <v>0</v>
      </c>
      <c r="N16" s="35">
        <f>IF($B16&gt;DAY(EOMONTH(L$4,0)),"",IF(OR(L16&lt;IF(YEAR(Eintritt)&lt;Jahr,DATE(Jahr,1,1),Eintritt),L16&gt;IF(Austritt="",DATE(Jahr,12,31),Austritt)),0,IF(OR(ISERROR(VLOOKUP(L16,Stammdaten!$I$9:$J$26,2,FALSE)),SUMIFS(Stammdaten!$J$9:$J$26,Stammdaten!$I$9:$I$26,L16)=0),VLOOKUP(TEXT(L16,"TTT"),Stammdaten!$B$20:$F$26,5,FALSE),0)))</f>
        <v>0</v>
      </c>
      <c r="O16" s="36">
        <f t="shared" si="4"/>
        <v>45789</v>
      </c>
      <c r="P16" s="34">
        <f ca="1">IF($B16&gt;DAY(EOMONTH(O$4,0)),"",SUMIFS(INDIRECT(TEXT(O16,"MMM")&amp;"!$L$9:$L$999"),INDIRECT(TEXT(O16,"MMM")&amp;"!$B$9:$B$999"),O16)+SUMIFS(Abwesenheit!$J$3:$J$199,Abwesenheit!$D$3:$D$199,O16))</f>
        <v>0</v>
      </c>
      <c r="Q16" s="35">
        <f>IF($B16&gt;DAY(EOMONTH(O$4,0)),"",IF(OR(O16&lt;IF(YEAR(Eintritt)&lt;Jahr,DATE(Jahr,1,1),Eintritt),O16&gt;IF(Austritt="",DATE(Jahr,12,31),Austritt)),0,IF(OR(ISERROR(VLOOKUP(O16,Stammdaten!$I$9:$J$26,2,FALSE)),SUMIFS(Stammdaten!$J$9:$J$26,Stammdaten!$I$9:$I$26,O16)=0),VLOOKUP(TEXT(O16,"TTT"),Stammdaten!$B$20:$F$26,5,FALSE),0)))</f>
        <v>0</v>
      </c>
      <c r="R16" s="36">
        <f t="shared" si="5"/>
        <v>45820</v>
      </c>
      <c r="S16" s="34">
        <f ca="1">IF($B16&gt;DAY(EOMONTH(R$4,0)),"",SUMIFS(INDIRECT(TEXT(R16,"MMM")&amp;"!$L$9:$L$999"),INDIRECT(TEXT(R16,"MMM")&amp;"!$B$9:$B$999"),R16)+SUMIFS(Abwesenheit!$J$3:$J$199,Abwesenheit!$D$3:$D$199,R16))</f>
        <v>0</v>
      </c>
      <c r="T16" s="35">
        <f>IF($B16&gt;DAY(EOMONTH(R$4,0)),"",IF(OR(R16&lt;IF(YEAR(Eintritt)&lt;Jahr,DATE(Jahr,1,1),Eintritt),R16&gt;IF(Austritt="",DATE(Jahr,12,31),Austritt)),0,IF(OR(ISERROR(VLOOKUP(R16,Stammdaten!$I$9:$J$26,2,FALSE)),SUMIFS(Stammdaten!$J$9:$J$26,Stammdaten!$I$9:$I$26,R16)=0),VLOOKUP(TEXT(R16,"TTT"),Stammdaten!$B$20:$F$26,5,FALSE),0)))</f>
        <v>0</v>
      </c>
      <c r="U16" s="36">
        <f t="shared" si="6"/>
        <v>45850</v>
      </c>
      <c r="V16" s="34">
        <f ca="1">IF($B16&gt;DAY(EOMONTH(U$4,0)),"",SUMIFS(INDIRECT(TEXT(U16,"MMM")&amp;"!$L$9:$L$999"),INDIRECT(TEXT(U16,"MMM")&amp;"!$B$9:$B$999"),U16)+SUMIFS(Abwesenheit!$J$3:$J$199,Abwesenheit!$D$3:$D$199,U16))</f>
        <v>0</v>
      </c>
      <c r="W16" s="35">
        <f>IF($B16&gt;DAY(EOMONTH(U$4,0)),"",IF(OR(U16&lt;IF(YEAR(Eintritt)&lt;Jahr,DATE(Jahr,1,1),Eintritt),U16&gt;IF(Austritt="",DATE(Jahr,12,31),Austritt)),0,IF(OR(ISERROR(VLOOKUP(U16,Stammdaten!$I$9:$J$26,2,FALSE)),SUMIFS(Stammdaten!$J$9:$J$26,Stammdaten!$I$9:$I$26,U16)=0),VLOOKUP(TEXT(U16,"TTT"),Stammdaten!$B$20:$F$26,5,FALSE),0)))</f>
        <v>0</v>
      </c>
      <c r="X16" s="36">
        <f t="shared" si="7"/>
        <v>45881</v>
      </c>
      <c r="Y16" s="34">
        <f ca="1">IF($B16&gt;DAY(EOMONTH(X$4,0)),"",SUMIFS(INDIRECT(TEXT(X16,"MMM")&amp;"!$L$9:$L$999"),INDIRECT(TEXT(X16,"MMM")&amp;"!$B$9:$B$999"),X16)+SUMIFS(Abwesenheit!$J$3:$J$199,Abwesenheit!$D$3:$D$199,X16))</f>
        <v>0</v>
      </c>
      <c r="Z16" s="35">
        <f>IF($B16&gt;DAY(EOMONTH(X$4,0)),"",IF(OR(X16&lt;IF(YEAR(Eintritt)&lt;Jahr,DATE(Jahr,1,1),Eintritt),X16&gt;IF(Austritt="",DATE(Jahr,12,31),Austritt)),0,IF(OR(ISERROR(VLOOKUP(X16,Stammdaten!$I$9:$J$26,2,FALSE)),SUMIFS(Stammdaten!$J$9:$J$26,Stammdaten!$I$9:$I$26,X16)=0),VLOOKUP(TEXT(X16,"TTT"),Stammdaten!$B$20:$F$26,5,FALSE),0)))</f>
        <v>0</v>
      </c>
      <c r="AA16" s="36">
        <f t="shared" si="8"/>
        <v>45912</v>
      </c>
      <c r="AB16" s="34">
        <f ca="1">IF($B16&gt;DAY(EOMONTH(AA$4,0)),"",SUMIFS(INDIRECT(TEXT(AA16,"MMM")&amp;"!$L$9:$L$999"),INDIRECT(TEXT(AA16,"MMM")&amp;"!$B$9:$B$999"),AA16)+SUMIFS(Abwesenheit!$J$3:$J$199,Abwesenheit!$D$3:$D$199,AA16))</f>
        <v>0</v>
      </c>
      <c r="AC16" s="35">
        <f>IF($B16&gt;DAY(EOMONTH(AA$4,0)),"",IF(OR(AA16&lt;IF(YEAR(Eintritt)&lt;Jahr,DATE(Jahr,1,1),Eintritt),AA16&gt;IF(Austritt="",DATE(Jahr,12,31),Austritt)),0,IF(OR(ISERROR(VLOOKUP(AA16,Stammdaten!$I$9:$J$26,2,FALSE)),SUMIFS(Stammdaten!$J$9:$J$26,Stammdaten!$I$9:$I$26,AA16)=0),VLOOKUP(TEXT(AA16,"TTT"),Stammdaten!$B$20:$F$26,5,FALSE),0)))</f>
        <v>0</v>
      </c>
      <c r="AD16" s="36">
        <f t="shared" si="9"/>
        <v>45942</v>
      </c>
      <c r="AE16" s="34">
        <f ca="1">IF($B16&gt;DAY(EOMONTH(AD$4,0)),"",SUMIFS(INDIRECT(TEXT(AD16,"MMM")&amp;"!$L$9:$L$999"),INDIRECT(TEXT(AD16,"MMM")&amp;"!$B$9:$B$999"),AD16)+SUMIFS(Abwesenheit!$J$3:$J$199,Abwesenheit!$D$3:$D$199,AD16))</f>
        <v>0</v>
      </c>
      <c r="AF16" s="35">
        <f>IF($B16&gt;DAY(EOMONTH(AD$4,0)),"",IF(OR(AD16&lt;IF(YEAR(Eintritt)&lt;Jahr,DATE(Jahr,1,1),Eintritt),AD16&gt;IF(Austritt="",DATE(Jahr,12,31),Austritt)),0,IF(OR(ISERROR(VLOOKUP(AD16,Stammdaten!$I$9:$J$26,2,FALSE)),SUMIFS(Stammdaten!$J$9:$J$26,Stammdaten!$I$9:$I$26,AD16)=0),VLOOKUP(TEXT(AD16,"TTT"),Stammdaten!$B$20:$F$26,5,FALSE),0)))</f>
        <v>0</v>
      </c>
      <c r="AG16" s="36">
        <f t="shared" si="10"/>
        <v>45973</v>
      </c>
      <c r="AH16" s="34">
        <f ca="1">IF($B16&gt;DAY(EOMONTH(AG$4,0)),"",SUMIFS(INDIRECT(TEXT(AG16,"MMM")&amp;"!$L$9:$L$999"),INDIRECT(TEXT(AG16,"MMM")&amp;"!$B$9:$B$999"),AG16)+SUMIFS(Abwesenheit!$J$3:$J$199,Abwesenheit!$D$3:$D$199,AG16))</f>
        <v>0</v>
      </c>
      <c r="AI16" s="35">
        <f>IF($B16&gt;DAY(EOMONTH(AG$4,0)),"",IF(OR(AG16&lt;IF(YEAR(Eintritt)&lt;Jahr,DATE(Jahr,1,1),Eintritt),AG16&gt;IF(Austritt="",DATE(Jahr,12,31),Austritt)),0,IF(OR(ISERROR(VLOOKUP(AG16,Stammdaten!$I$9:$J$26,2,FALSE)),SUMIFS(Stammdaten!$J$9:$J$26,Stammdaten!$I$9:$I$26,AG16)=0),VLOOKUP(TEXT(AG16,"TTT"),Stammdaten!$B$20:$F$26,5,FALSE),0)))</f>
        <v>0</v>
      </c>
      <c r="AJ16" s="36">
        <f t="shared" si="11"/>
        <v>46003</v>
      </c>
      <c r="AK16" s="34">
        <f ca="1">IF($B16&gt;DAY(EOMONTH(AJ$4,0)),"",SUMIFS(INDIRECT(TEXT(AJ16,"MMM")&amp;"!$L$9:$L$999"),INDIRECT(TEXT(AJ16,"MMM")&amp;"!$B$9:$B$999"),AJ16)+SUMIFS(Abwesenheit!$J$3:$J$199,Abwesenheit!$D$3:$D$199,AJ16))</f>
        <v>0</v>
      </c>
      <c r="AL16" s="35">
        <f>IF($B16&gt;DAY(EOMONTH(AJ$4,0)),"",IF(OR(AJ16&lt;IF(YEAR(Eintritt)&lt;Jahr,DATE(Jahr,1,1),Eintritt),AJ16&gt;IF(Austritt="",DATE(Jahr,12,31),Austritt)),0,VLOOKUP(TEXT(AJ16,"TTT"),Stammdaten!$B$20:$F$26,5,FALSE)-IF(ISERROR(VLOOKUP(AJ16,Stammdaten!$I$9:$J$26,2,FALSE)),0,SUMIFS(Stammdaten!$J$9:$J$26,Stammdaten!$I$9:$I$26,AJ16)/24)))</f>
        <v>0</v>
      </c>
      <c r="AM16" s="37">
        <v>12</v>
      </c>
      <c r="AP16" s="8"/>
      <c r="AQ16" s="8"/>
      <c r="AR16" s="8"/>
      <c r="AS16" s="8"/>
    </row>
    <row r="17" spans="1:45" x14ac:dyDescent="0.3">
      <c r="A17" s="33"/>
      <c r="B17" s="37">
        <v>13</v>
      </c>
      <c r="C17" s="36">
        <f t="shared" si="0"/>
        <v>45670</v>
      </c>
      <c r="D17" s="34">
        <f ca="1">IF($B17&gt;DAY(EOMONTH(C$4,0)),"",SUMIFS(INDIRECT(TEXT(C17,"MMM")&amp;"!$L$9:$L$999"),INDIRECT(TEXT(C17,"MMM")&amp;"!$B$9:$B$999"),C17)+SUMIFS(Abwesenheit!$J$3:$J$199,Abwesenheit!$D$3:$D$199,C17))</f>
        <v>0</v>
      </c>
      <c r="E17" s="35">
        <f>IF($B17&gt;DAY(EOMONTH(C$4,0)),"",IF(OR(C17&lt;IF(YEAR(Eintritt)&lt;Jahr,DATE(Jahr,1,1),Eintritt),C17&gt;IF(Austritt="",DATE(Jahr,12,31),Austritt)),0,IF(OR(ISERROR(VLOOKUP(C17,Stammdaten!$I$9:$J$26,2,FALSE)),SUMIFS(Stammdaten!$J$9:$J$26,Stammdaten!$I$9:$I$26,C17)=0),VLOOKUP(TEXT(C17,"TTT"),Stammdaten!$B$20:$F$26,5,FALSE),0)))</f>
        <v>0</v>
      </c>
      <c r="F17" s="36">
        <f t="shared" si="1"/>
        <v>45701</v>
      </c>
      <c r="G17" s="34">
        <f ca="1">IF($B17&gt;DAY(EOMONTH(F$4,0)),"",SUMIFS(INDIRECT(TEXT(F17,"MMM")&amp;"!$L$9:$L$999"),INDIRECT(TEXT(F17,"MMM")&amp;"!$B$9:$B$999"),F17)+SUMIFS(Abwesenheit!$J$3:$J$199,Abwesenheit!$D$3:$D$199,F17))</f>
        <v>0</v>
      </c>
      <c r="H17" s="35">
        <f>IF($B17&gt;DAY(EOMONTH(F$4,0)),"",IF(OR(F17&lt;IF(YEAR(Eintritt)&lt;Jahr,DATE(Jahr,1,1),Eintritt),F17&gt;IF(Austritt="",DATE(Jahr,12,31),Austritt)),0,IF(OR(ISERROR(VLOOKUP(F17,Stammdaten!$I$9:$J$26,2,FALSE)),SUMIFS(Stammdaten!$J$9:$J$26,Stammdaten!$I$9:$I$26,F17)=0),VLOOKUP(TEXT(F17,"TTT"),Stammdaten!$B$20:$F$26,5,FALSE),0)))</f>
        <v>0</v>
      </c>
      <c r="I17" s="36">
        <f t="shared" si="2"/>
        <v>45729</v>
      </c>
      <c r="J17" s="34">
        <f ca="1">IF($B17&gt;DAY(EOMONTH(I$4,0)),"",SUMIFS(INDIRECT(TEXT(I17,"MMM")&amp;"!$L$9:$L$999"),INDIRECT(TEXT(I17,"MMM")&amp;"!$B$9:$B$999"),I17)+SUMIFS(Abwesenheit!$J$3:$J$199,Abwesenheit!$D$3:$D$199,I17))</f>
        <v>0</v>
      </c>
      <c r="K17" s="35">
        <f>IF($B17&gt;DAY(EOMONTH(I$4,0)),"",IF(OR(I17&lt;IF(YEAR(Eintritt)&lt;Jahr,DATE(Jahr,1,1),Eintritt),I17&gt;IF(Austritt="",DATE(Jahr,12,31),Austritt)),0,IF(OR(ISERROR(VLOOKUP(I17,Stammdaten!$I$9:$J$26,2,FALSE)),SUMIFS(Stammdaten!$J$9:$J$26,Stammdaten!$I$9:$I$26,I17)=0),VLOOKUP(TEXT(I17,"TTT"),Stammdaten!$B$20:$F$26,5,FALSE),0)))</f>
        <v>0</v>
      </c>
      <c r="L17" s="36">
        <f t="shared" si="3"/>
        <v>45760</v>
      </c>
      <c r="M17" s="34">
        <f ca="1">IF($B17&gt;DAY(EOMONTH(L$4,0)),"",SUMIFS(INDIRECT(TEXT(L17,"MMM")&amp;"!$L$9:$L$999"),INDIRECT(TEXT(L17,"MMM")&amp;"!$B$9:$B$999"),L17)+SUMIFS(Abwesenheit!$J$3:$J$199,Abwesenheit!$D$3:$D$199,L17))</f>
        <v>0</v>
      </c>
      <c r="N17" s="35">
        <f>IF($B17&gt;DAY(EOMONTH(L$4,0)),"",IF(OR(L17&lt;IF(YEAR(Eintritt)&lt;Jahr,DATE(Jahr,1,1),Eintritt),L17&gt;IF(Austritt="",DATE(Jahr,12,31),Austritt)),0,IF(OR(ISERROR(VLOOKUP(L17,Stammdaten!$I$9:$J$26,2,FALSE)),SUMIFS(Stammdaten!$J$9:$J$26,Stammdaten!$I$9:$I$26,L17)=0),VLOOKUP(TEXT(L17,"TTT"),Stammdaten!$B$20:$F$26,5,FALSE),0)))</f>
        <v>0</v>
      </c>
      <c r="O17" s="36">
        <f t="shared" si="4"/>
        <v>45790</v>
      </c>
      <c r="P17" s="34">
        <f ca="1">IF($B17&gt;DAY(EOMONTH(O$4,0)),"",SUMIFS(INDIRECT(TEXT(O17,"MMM")&amp;"!$L$9:$L$999"),INDIRECT(TEXT(O17,"MMM")&amp;"!$B$9:$B$999"),O17)+SUMIFS(Abwesenheit!$J$3:$J$199,Abwesenheit!$D$3:$D$199,O17))</f>
        <v>0</v>
      </c>
      <c r="Q17" s="35">
        <f>IF($B17&gt;DAY(EOMONTH(O$4,0)),"",IF(OR(O17&lt;IF(YEAR(Eintritt)&lt;Jahr,DATE(Jahr,1,1),Eintritt),O17&gt;IF(Austritt="",DATE(Jahr,12,31),Austritt)),0,IF(OR(ISERROR(VLOOKUP(O17,Stammdaten!$I$9:$J$26,2,FALSE)),SUMIFS(Stammdaten!$J$9:$J$26,Stammdaten!$I$9:$I$26,O17)=0),VLOOKUP(TEXT(O17,"TTT"),Stammdaten!$B$20:$F$26,5,FALSE),0)))</f>
        <v>0</v>
      </c>
      <c r="R17" s="36">
        <f t="shared" si="5"/>
        <v>45821</v>
      </c>
      <c r="S17" s="34">
        <f ca="1">IF($B17&gt;DAY(EOMONTH(R$4,0)),"",SUMIFS(INDIRECT(TEXT(R17,"MMM")&amp;"!$L$9:$L$999"),INDIRECT(TEXT(R17,"MMM")&amp;"!$B$9:$B$999"),R17)+SUMIFS(Abwesenheit!$J$3:$J$199,Abwesenheit!$D$3:$D$199,R17))</f>
        <v>0</v>
      </c>
      <c r="T17" s="35">
        <f>IF($B17&gt;DAY(EOMONTH(R$4,0)),"",IF(OR(R17&lt;IF(YEAR(Eintritt)&lt;Jahr,DATE(Jahr,1,1),Eintritt),R17&gt;IF(Austritt="",DATE(Jahr,12,31),Austritt)),0,IF(OR(ISERROR(VLOOKUP(R17,Stammdaten!$I$9:$J$26,2,FALSE)),SUMIFS(Stammdaten!$J$9:$J$26,Stammdaten!$I$9:$I$26,R17)=0),VLOOKUP(TEXT(R17,"TTT"),Stammdaten!$B$20:$F$26,5,FALSE),0)))</f>
        <v>0</v>
      </c>
      <c r="U17" s="36">
        <f t="shared" si="6"/>
        <v>45851</v>
      </c>
      <c r="V17" s="34">
        <f ca="1">IF($B17&gt;DAY(EOMONTH(U$4,0)),"",SUMIFS(INDIRECT(TEXT(U17,"MMM")&amp;"!$L$9:$L$999"),INDIRECT(TEXT(U17,"MMM")&amp;"!$B$9:$B$999"),U17)+SUMIFS(Abwesenheit!$J$3:$J$199,Abwesenheit!$D$3:$D$199,U17))</f>
        <v>0</v>
      </c>
      <c r="W17" s="35">
        <f>IF($B17&gt;DAY(EOMONTH(U$4,0)),"",IF(OR(U17&lt;IF(YEAR(Eintritt)&lt;Jahr,DATE(Jahr,1,1),Eintritt),U17&gt;IF(Austritt="",DATE(Jahr,12,31),Austritt)),0,IF(OR(ISERROR(VLOOKUP(U17,Stammdaten!$I$9:$J$26,2,FALSE)),SUMIFS(Stammdaten!$J$9:$J$26,Stammdaten!$I$9:$I$26,U17)=0),VLOOKUP(TEXT(U17,"TTT"),Stammdaten!$B$20:$F$26,5,FALSE),0)))</f>
        <v>0</v>
      </c>
      <c r="X17" s="36">
        <f t="shared" si="7"/>
        <v>45882</v>
      </c>
      <c r="Y17" s="34">
        <f ca="1">IF($B17&gt;DAY(EOMONTH(X$4,0)),"",SUMIFS(INDIRECT(TEXT(X17,"MMM")&amp;"!$L$9:$L$999"),INDIRECT(TEXT(X17,"MMM")&amp;"!$B$9:$B$999"),X17)+SUMIFS(Abwesenheit!$J$3:$J$199,Abwesenheit!$D$3:$D$199,X17))</f>
        <v>0</v>
      </c>
      <c r="Z17" s="35">
        <f>IF($B17&gt;DAY(EOMONTH(X$4,0)),"",IF(OR(X17&lt;IF(YEAR(Eintritt)&lt;Jahr,DATE(Jahr,1,1),Eintritt),X17&gt;IF(Austritt="",DATE(Jahr,12,31),Austritt)),0,IF(OR(ISERROR(VLOOKUP(X17,Stammdaten!$I$9:$J$26,2,FALSE)),SUMIFS(Stammdaten!$J$9:$J$26,Stammdaten!$I$9:$I$26,X17)=0),VLOOKUP(TEXT(X17,"TTT"),Stammdaten!$B$20:$F$26,5,FALSE),0)))</f>
        <v>0</v>
      </c>
      <c r="AA17" s="36">
        <f t="shared" si="8"/>
        <v>45913</v>
      </c>
      <c r="AB17" s="34">
        <f ca="1">IF($B17&gt;DAY(EOMONTH(AA$4,0)),"",SUMIFS(INDIRECT(TEXT(AA17,"MMM")&amp;"!$L$9:$L$999"),INDIRECT(TEXT(AA17,"MMM")&amp;"!$B$9:$B$999"),AA17)+SUMIFS(Abwesenheit!$J$3:$J$199,Abwesenheit!$D$3:$D$199,AA17))</f>
        <v>0</v>
      </c>
      <c r="AC17" s="35">
        <f>IF($B17&gt;DAY(EOMONTH(AA$4,0)),"",IF(OR(AA17&lt;IF(YEAR(Eintritt)&lt;Jahr,DATE(Jahr,1,1),Eintritt),AA17&gt;IF(Austritt="",DATE(Jahr,12,31),Austritt)),0,IF(OR(ISERROR(VLOOKUP(AA17,Stammdaten!$I$9:$J$26,2,FALSE)),SUMIFS(Stammdaten!$J$9:$J$26,Stammdaten!$I$9:$I$26,AA17)=0),VLOOKUP(TEXT(AA17,"TTT"),Stammdaten!$B$20:$F$26,5,FALSE),0)))</f>
        <v>0</v>
      </c>
      <c r="AD17" s="36">
        <f t="shared" si="9"/>
        <v>45943</v>
      </c>
      <c r="AE17" s="34">
        <f ca="1">IF($B17&gt;DAY(EOMONTH(AD$4,0)),"",SUMIFS(INDIRECT(TEXT(AD17,"MMM")&amp;"!$L$9:$L$999"),INDIRECT(TEXT(AD17,"MMM")&amp;"!$B$9:$B$999"),AD17)+SUMIFS(Abwesenheit!$J$3:$J$199,Abwesenheit!$D$3:$D$199,AD17))</f>
        <v>0</v>
      </c>
      <c r="AF17" s="35">
        <f>IF($B17&gt;DAY(EOMONTH(AD$4,0)),"",IF(OR(AD17&lt;IF(YEAR(Eintritt)&lt;Jahr,DATE(Jahr,1,1),Eintritt),AD17&gt;IF(Austritt="",DATE(Jahr,12,31),Austritt)),0,IF(OR(ISERROR(VLOOKUP(AD17,Stammdaten!$I$9:$J$26,2,FALSE)),SUMIFS(Stammdaten!$J$9:$J$26,Stammdaten!$I$9:$I$26,AD17)=0),VLOOKUP(TEXT(AD17,"TTT"),Stammdaten!$B$20:$F$26,5,FALSE),0)))</f>
        <v>0</v>
      </c>
      <c r="AG17" s="36">
        <f t="shared" si="10"/>
        <v>45974</v>
      </c>
      <c r="AH17" s="34">
        <f ca="1">IF($B17&gt;DAY(EOMONTH(AG$4,0)),"",SUMIFS(INDIRECT(TEXT(AG17,"MMM")&amp;"!$L$9:$L$999"),INDIRECT(TEXT(AG17,"MMM")&amp;"!$B$9:$B$999"),AG17)+SUMIFS(Abwesenheit!$J$3:$J$199,Abwesenheit!$D$3:$D$199,AG17))</f>
        <v>0</v>
      </c>
      <c r="AI17" s="35">
        <f>IF($B17&gt;DAY(EOMONTH(AG$4,0)),"",IF(OR(AG17&lt;IF(YEAR(Eintritt)&lt;Jahr,DATE(Jahr,1,1),Eintritt),AG17&gt;IF(Austritt="",DATE(Jahr,12,31),Austritt)),0,IF(OR(ISERROR(VLOOKUP(AG17,Stammdaten!$I$9:$J$26,2,FALSE)),SUMIFS(Stammdaten!$J$9:$J$26,Stammdaten!$I$9:$I$26,AG17)=0),VLOOKUP(TEXT(AG17,"TTT"),Stammdaten!$B$20:$F$26,5,FALSE),0)))</f>
        <v>0</v>
      </c>
      <c r="AJ17" s="36">
        <f t="shared" si="11"/>
        <v>46004</v>
      </c>
      <c r="AK17" s="34">
        <f ca="1">IF($B17&gt;DAY(EOMONTH(AJ$4,0)),"",SUMIFS(INDIRECT(TEXT(AJ17,"MMM")&amp;"!$L$9:$L$999"),INDIRECT(TEXT(AJ17,"MMM")&amp;"!$B$9:$B$999"),AJ17)+SUMIFS(Abwesenheit!$J$3:$J$199,Abwesenheit!$D$3:$D$199,AJ17))</f>
        <v>0</v>
      </c>
      <c r="AL17" s="35">
        <f>IF($B17&gt;DAY(EOMONTH(AJ$4,0)),"",IF(OR(AJ17&lt;IF(YEAR(Eintritt)&lt;Jahr,DATE(Jahr,1,1),Eintritt),AJ17&gt;IF(Austritt="",DATE(Jahr,12,31),Austritt)),0,VLOOKUP(TEXT(AJ17,"TTT"),Stammdaten!$B$20:$F$26,5,FALSE)-IF(ISERROR(VLOOKUP(AJ17,Stammdaten!$I$9:$J$26,2,FALSE)),0,SUMIFS(Stammdaten!$J$9:$J$26,Stammdaten!$I$9:$I$26,AJ17)/24)))</f>
        <v>0</v>
      </c>
      <c r="AM17" s="37">
        <v>13</v>
      </c>
      <c r="AP17" s="8"/>
      <c r="AQ17" s="8"/>
      <c r="AR17" s="8"/>
      <c r="AS17" s="8"/>
    </row>
    <row r="18" spans="1:45" x14ac:dyDescent="0.3">
      <c r="A18" s="33"/>
      <c r="B18" s="37">
        <v>14</v>
      </c>
      <c r="C18" s="36">
        <f t="shared" si="0"/>
        <v>45671</v>
      </c>
      <c r="D18" s="34">
        <f ca="1">IF($B18&gt;DAY(EOMONTH(C$4,0)),"",SUMIFS(INDIRECT(TEXT(C18,"MMM")&amp;"!$L$9:$L$999"),INDIRECT(TEXT(C18,"MMM")&amp;"!$B$9:$B$999"),C18)+SUMIFS(Abwesenheit!$J$3:$J$199,Abwesenheit!$D$3:$D$199,C18))</f>
        <v>0</v>
      </c>
      <c r="E18" s="35">
        <f>IF($B18&gt;DAY(EOMONTH(C$4,0)),"",IF(OR(C18&lt;IF(YEAR(Eintritt)&lt;Jahr,DATE(Jahr,1,1),Eintritt),C18&gt;IF(Austritt="",DATE(Jahr,12,31),Austritt)),0,IF(OR(ISERROR(VLOOKUP(C18,Stammdaten!$I$9:$J$26,2,FALSE)),SUMIFS(Stammdaten!$J$9:$J$26,Stammdaten!$I$9:$I$26,C18)=0),VLOOKUP(TEXT(C18,"TTT"),Stammdaten!$B$20:$F$26,5,FALSE),0)))</f>
        <v>0</v>
      </c>
      <c r="F18" s="36">
        <f t="shared" si="1"/>
        <v>45702</v>
      </c>
      <c r="G18" s="34">
        <f ca="1">IF($B18&gt;DAY(EOMONTH(F$4,0)),"",SUMIFS(INDIRECT(TEXT(F18,"MMM")&amp;"!$L$9:$L$999"),INDIRECT(TEXT(F18,"MMM")&amp;"!$B$9:$B$999"),F18)+SUMIFS(Abwesenheit!$J$3:$J$199,Abwesenheit!$D$3:$D$199,F18))</f>
        <v>0</v>
      </c>
      <c r="H18" s="35">
        <f>IF($B18&gt;DAY(EOMONTH(F$4,0)),"",IF(OR(F18&lt;IF(YEAR(Eintritt)&lt;Jahr,DATE(Jahr,1,1),Eintritt),F18&gt;IF(Austritt="",DATE(Jahr,12,31),Austritt)),0,IF(OR(ISERROR(VLOOKUP(F18,Stammdaten!$I$9:$J$26,2,FALSE)),SUMIFS(Stammdaten!$J$9:$J$26,Stammdaten!$I$9:$I$26,F18)=0),VLOOKUP(TEXT(F18,"TTT"),Stammdaten!$B$20:$F$26,5,FALSE),0)))</f>
        <v>0</v>
      </c>
      <c r="I18" s="36">
        <f t="shared" si="2"/>
        <v>45730</v>
      </c>
      <c r="J18" s="34">
        <f ca="1">IF($B18&gt;DAY(EOMONTH(I$4,0)),"",SUMIFS(INDIRECT(TEXT(I18,"MMM")&amp;"!$L$9:$L$999"),INDIRECT(TEXT(I18,"MMM")&amp;"!$B$9:$B$999"),I18)+SUMIFS(Abwesenheit!$J$3:$J$199,Abwesenheit!$D$3:$D$199,I18))</f>
        <v>0</v>
      </c>
      <c r="K18" s="35">
        <f>IF($B18&gt;DAY(EOMONTH(I$4,0)),"",IF(OR(I18&lt;IF(YEAR(Eintritt)&lt;Jahr,DATE(Jahr,1,1),Eintritt),I18&gt;IF(Austritt="",DATE(Jahr,12,31),Austritt)),0,IF(OR(ISERROR(VLOOKUP(I18,Stammdaten!$I$9:$J$26,2,FALSE)),SUMIFS(Stammdaten!$J$9:$J$26,Stammdaten!$I$9:$I$26,I18)=0),VLOOKUP(TEXT(I18,"TTT"),Stammdaten!$B$20:$F$26,5,FALSE),0)))</f>
        <v>0</v>
      </c>
      <c r="L18" s="36">
        <f t="shared" si="3"/>
        <v>45761</v>
      </c>
      <c r="M18" s="34">
        <f ca="1">IF($B18&gt;DAY(EOMONTH(L$4,0)),"",SUMIFS(INDIRECT(TEXT(L18,"MMM")&amp;"!$L$9:$L$999"),INDIRECT(TEXT(L18,"MMM")&amp;"!$B$9:$B$999"),L18)+SUMIFS(Abwesenheit!$J$3:$J$199,Abwesenheit!$D$3:$D$199,L18))</f>
        <v>0</v>
      </c>
      <c r="N18" s="35">
        <f>IF($B18&gt;DAY(EOMONTH(L$4,0)),"",IF(OR(L18&lt;IF(YEAR(Eintritt)&lt;Jahr,DATE(Jahr,1,1),Eintritt),L18&gt;IF(Austritt="",DATE(Jahr,12,31),Austritt)),0,IF(OR(ISERROR(VLOOKUP(L18,Stammdaten!$I$9:$J$26,2,FALSE)),SUMIFS(Stammdaten!$J$9:$J$26,Stammdaten!$I$9:$I$26,L18)=0),VLOOKUP(TEXT(L18,"TTT"),Stammdaten!$B$20:$F$26,5,FALSE),0)))</f>
        <v>0</v>
      </c>
      <c r="O18" s="36">
        <f t="shared" si="4"/>
        <v>45791</v>
      </c>
      <c r="P18" s="34">
        <f ca="1">IF($B18&gt;DAY(EOMONTH(O$4,0)),"",SUMIFS(INDIRECT(TEXT(O18,"MMM")&amp;"!$L$9:$L$999"),INDIRECT(TEXT(O18,"MMM")&amp;"!$B$9:$B$999"),O18)+SUMIFS(Abwesenheit!$J$3:$J$199,Abwesenheit!$D$3:$D$199,O18))</f>
        <v>0</v>
      </c>
      <c r="Q18" s="35">
        <f>IF($B18&gt;DAY(EOMONTH(O$4,0)),"",IF(OR(O18&lt;IF(YEAR(Eintritt)&lt;Jahr,DATE(Jahr,1,1),Eintritt),O18&gt;IF(Austritt="",DATE(Jahr,12,31),Austritt)),0,IF(OR(ISERROR(VLOOKUP(O18,Stammdaten!$I$9:$J$26,2,FALSE)),SUMIFS(Stammdaten!$J$9:$J$26,Stammdaten!$I$9:$I$26,O18)=0),VLOOKUP(TEXT(O18,"TTT"),Stammdaten!$B$20:$F$26,5,FALSE),0)))</f>
        <v>0</v>
      </c>
      <c r="R18" s="36">
        <f t="shared" si="5"/>
        <v>45822</v>
      </c>
      <c r="S18" s="34">
        <f ca="1">IF($B18&gt;DAY(EOMONTH(R$4,0)),"",SUMIFS(INDIRECT(TEXT(R18,"MMM")&amp;"!$L$9:$L$999"),INDIRECT(TEXT(R18,"MMM")&amp;"!$B$9:$B$999"),R18)+SUMIFS(Abwesenheit!$J$3:$J$199,Abwesenheit!$D$3:$D$199,R18))</f>
        <v>0</v>
      </c>
      <c r="T18" s="35">
        <f>IF($B18&gt;DAY(EOMONTH(R$4,0)),"",IF(OR(R18&lt;IF(YEAR(Eintritt)&lt;Jahr,DATE(Jahr,1,1),Eintritt),R18&gt;IF(Austritt="",DATE(Jahr,12,31),Austritt)),0,IF(OR(ISERROR(VLOOKUP(R18,Stammdaten!$I$9:$J$26,2,FALSE)),SUMIFS(Stammdaten!$J$9:$J$26,Stammdaten!$I$9:$I$26,R18)=0),VLOOKUP(TEXT(R18,"TTT"),Stammdaten!$B$20:$F$26,5,FALSE),0)))</f>
        <v>0</v>
      </c>
      <c r="U18" s="36">
        <f t="shared" si="6"/>
        <v>45852</v>
      </c>
      <c r="V18" s="34">
        <f ca="1">IF($B18&gt;DAY(EOMONTH(U$4,0)),"",SUMIFS(INDIRECT(TEXT(U18,"MMM")&amp;"!$L$9:$L$999"),INDIRECT(TEXT(U18,"MMM")&amp;"!$B$9:$B$999"),U18)+SUMIFS(Abwesenheit!$J$3:$J$199,Abwesenheit!$D$3:$D$199,U18))</f>
        <v>0</v>
      </c>
      <c r="W18" s="35">
        <f>IF($B18&gt;DAY(EOMONTH(U$4,0)),"",IF(OR(U18&lt;IF(YEAR(Eintritt)&lt;Jahr,DATE(Jahr,1,1),Eintritt),U18&gt;IF(Austritt="",DATE(Jahr,12,31),Austritt)),0,IF(OR(ISERROR(VLOOKUP(U18,Stammdaten!$I$9:$J$26,2,FALSE)),SUMIFS(Stammdaten!$J$9:$J$26,Stammdaten!$I$9:$I$26,U18)=0),VLOOKUP(TEXT(U18,"TTT"),Stammdaten!$B$20:$F$26,5,FALSE),0)))</f>
        <v>0.33333333333333337</v>
      </c>
      <c r="X18" s="36">
        <f t="shared" si="7"/>
        <v>45883</v>
      </c>
      <c r="Y18" s="34">
        <f ca="1">IF($B18&gt;DAY(EOMONTH(X$4,0)),"",SUMIFS(INDIRECT(TEXT(X18,"MMM")&amp;"!$L$9:$L$999"),INDIRECT(TEXT(X18,"MMM")&amp;"!$B$9:$B$999"),X18)+SUMIFS(Abwesenheit!$J$3:$J$199,Abwesenheit!$D$3:$D$199,X18))</f>
        <v>0</v>
      </c>
      <c r="Z18" s="35">
        <f>IF($B18&gt;DAY(EOMONTH(X$4,0)),"",IF(OR(X18&lt;IF(YEAR(Eintritt)&lt;Jahr,DATE(Jahr,1,1),Eintritt),X18&gt;IF(Austritt="",DATE(Jahr,12,31),Austritt)),0,IF(OR(ISERROR(VLOOKUP(X18,Stammdaten!$I$9:$J$26,2,FALSE)),SUMIFS(Stammdaten!$J$9:$J$26,Stammdaten!$I$9:$I$26,X18)=0),VLOOKUP(TEXT(X18,"TTT"),Stammdaten!$B$20:$F$26,5,FALSE),0)))</f>
        <v>0</v>
      </c>
      <c r="AA18" s="36">
        <f t="shared" si="8"/>
        <v>45914</v>
      </c>
      <c r="AB18" s="34">
        <f ca="1">IF($B18&gt;DAY(EOMONTH(AA$4,0)),"",SUMIFS(INDIRECT(TEXT(AA18,"MMM")&amp;"!$L$9:$L$999"),INDIRECT(TEXT(AA18,"MMM")&amp;"!$B$9:$B$999"),AA18)+SUMIFS(Abwesenheit!$J$3:$J$199,Abwesenheit!$D$3:$D$199,AA18))</f>
        <v>0</v>
      </c>
      <c r="AC18" s="35">
        <f>IF($B18&gt;DAY(EOMONTH(AA$4,0)),"",IF(OR(AA18&lt;IF(YEAR(Eintritt)&lt;Jahr,DATE(Jahr,1,1),Eintritt),AA18&gt;IF(Austritt="",DATE(Jahr,12,31),Austritt)),0,IF(OR(ISERROR(VLOOKUP(AA18,Stammdaten!$I$9:$J$26,2,FALSE)),SUMIFS(Stammdaten!$J$9:$J$26,Stammdaten!$I$9:$I$26,AA18)=0),VLOOKUP(TEXT(AA18,"TTT"),Stammdaten!$B$20:$F$26,5,FALSE),0)))</f>
        <v>0</v>
      </c>
      <c r="AD18" s="36">
        <f t="shared" si="9"/>
        <v>45944</v>
      </c>
      <c r="AE18" s="34">
        <f ca="1">IF($B18&gt;DAY(EOMONTH(AD$4,0)),"",SUMIFS(INDIRECT(TEXT(AD18,"MMM")&amp;"!$L$9:$L$999"),INDIRECT(TEXT(AD18,"MMM")&amp;"!$B$9:$B$999"),AD18)+SUMIFS(Abwesenheit!$J$3:$J$199,Abwesenheit!$D$3:$D$199,AD18))</f>
        <v>0</v>
      </c>
      <c r="AF18" s="35">
        <f>IF($B18&gt;DAY(EOMONTH(AD$4,0)),"",IF(OR(AD18&lt;IF(YEAR(Eintritt)&lt;Jahr,DATE(Jahr,1,1),Eintritt),AD18&gt;IF(Austritt="",DATE(Jahr,12,31),Austritt)),0,IF(OR(ISERROR(VLOOKUP(AD18,Stammdaten!$I$9:$J$26,2,FALSE)),SUMIFS(Stammdaten!$J$9:$J$26,Stammdaten!$I$9:$I$26,AD18)=0),VLOOKUP(TEXT(AD18,"TTT"),Stammdaten!$B$20:$F$26,5,FALSE),0)))</f>
        <v>0</v>
      </c>
      <c r="AG18" s="36">
        <f t="shared" si="10"/>
        <v>45975</v>
      </c>
      <c r="AH18" s="34">
        <f ca="1">IF($B18&gt;DAY(EOMONTH(AG$4,0)),"",SUMIFS(INDIRECT(TEXT(AG18,"MMM")&amp;"!$L$9:$L$999"),INDIRECT(TEXT(AG18,"MMM")&amp;"!$B$9:$B$999"),AG18)+SUMIFS(Abwesenheit!$J$3:$J$199,Abwesenheit!$D$3:$D$199,AG18))</f>
        <v>0</v>
      </c>
      <c r="AI18" s="35">
        <f>IF($B18&gt;DAY(EOMONTH(AG$4,0)),"",IF(OR(AG18&lt;IF(YEAR(Eintritt)&lt;Jahr,DATE(Jahr,1,1),Eintritt),AG18&gt;IF(Austritt="",DATE(Jahr,12,31),Austritt)),0,IF(OR(ISERROR(VLOOKUP(AG18,Stammdaten!$I$9:$J$26,2,FALSE)),SUMIFS(Stammdaten!$J$9:$J$26,Stammdaten!$I$9:$I$26,AG18)=0),VLOOKUP(TEXT(AG18,"TTT"),Stammdaten!$B$20:$F$26,5,FALSE),0)))</f>
        <v>0</v>
      </c>
      <c r="AJ18" s="36">
        <f t="shared" si="11"/>
        <v>46005</v>
      </c>
      <c r="AK18" s="34">
        <f ca="1">IF($B18&gt;DAY(EOMONTH(AJ$4,0)),"",SUMIFS(INDIRECT(TEXT(AJ18,"MMM")&amp;"!$L$9:$L$999"),INDIRECT(TEXT(AJ18,"MMM")&amp;"!$B$9:$B$999"),AJ18)+SUMIFS(Abwesenheit!$J$3:$J$199,Abwesenheit!$D$3:$D$199,AJ18))</f>
        <v>0</v>
      </c>
      <c r="AL18" s="35">
        <f>IF($B18&gt;DAY(EOMONTH(AJ$4,0)),"",IF(OR(AJ18&lt;IF(YEAR(Eintritt)&lt;Jahr,DATE(Jahr,1,1),Eintritt),AJ18&gt;IF(Austritt="",DATE(Jahr,12,31),Austritt)),0,VLOOKUP(TEXT(AJ18,"TTT"),Stammdaten!$B$20:$F$26,5,FALSE)-IF(ISERROR(VLOOKUP(AJ18,Stammdaten!$I$9:$J$26,2,FALSE)),0,SUMIFS(Stammdaten!$J$9:$J$26,Stammdaten!$I$9:$I$26,AJ18)/24)))</f>
        <v>0</v>
      </c>
      <c r="AM18" s="37">
        <v>14</v>
      </c>
      <c r="AP18" s="8"/>
      <c r="AQ18" s="8"/>
      <c r="AR18" s="8"/>
      <c r="AS18" s="8"/>
    </row>
    <row r="19" spans="1:45" x14ac:dyDescent="0.3">
      <c r="A19" s="33"/>
      <c r="B19" s="37">
        <v>15</v>
      </c>
      <c r="C19" s="36">
        <f t="shared" si="0"/>
        <v>45672</v>
      </c>
      <c r="D19" s="34">
        <f ca="1">IF($B19&gt;DAY(EOMONTH(C$4,0)),"",SUMIFS(INDIRECT(TEXT(C19,"MMM")&amp;"!$L$9:$L$999"),INDIRECT(TEXT(C19,"MMM")&amp;"!$B$9:$B$999"),C19)+SUMIFS(Abwesenheit!$J$3:$J$199,Abwesenheit!$D$3:$D$199,C19))</f>
        <v>0</v>
      </c>
      <c r="E19" s="35">
        <f>IF($B19&gt;DAY(EOMONTH(C$4,0)),"",IF(OR(C19&lt;IF(YEAR(Eintritt)&lt;Jahr,DATE(Jahr,1,1),Eintritt),C19&gt;IF(Austritt="",DATE(Jahr,12,31),Austritt)),0,IF(OR(ISERROR(VLOOKUP(C19,Stammdaten!$I$9:$J$26,2,FALSE)),SUMIFS(Stammdaten!$J$9:$J$26,Stammdaten!$I$9:$I$26,C19)=0),VLOOKUP(TEXT(C19,"TTT"),Stammdaten!$B$20:$F$26,5,FALSE),0)))</f>
        <v>0</v>
      </c>
      <c r="F19" s="36">
        <f t="shared" si="1"/>
        <v>45703</v>
      </c>
      <c r="G19" s="34">
        <f ca="1">IF($B19&gt;DAY(EOMONTH(F$4,0)),"",SUMIFS(INDIRECT(TEXT(F19,"MMM")&amp;"!$L$9:$L$999"),INDIRECT(TEXT(F19,"MMM")&amp;"!$B$9:$B$999"),F19)+SUMIFS(Abwesenheit!$J$3:$J$199,Abwesenheit!$D$3:$D$199,F19))</f>
        <v>0</v>
      </c>
      <c r="H19" s="35">
        <f>IF($B19&gt;DAY(EOMONTH(F$4,0)),"",IF(OR(F19&lt;IF(YEAR(Eintritt)&lt;Jahr,DATE(Jahr,1,1),Eintritt),F19&gt;IF(Austritt="",DATE(Jahr,12,31),Austritt)),0,IF(OR(ISERROR(VLOOKUP(F19,Stammdaten!$I$9:$J$26,2,FALSE)),SUMIFS(Stammdaten!$J$9:$J$26,Stammdaten!$I$9:$I$26,F19)=0),VLOOKUP(TEXT(F19,"TTT"),Stammdaten!$B$20:$F$26,5,FALSE),0)))</f>
        <v>0</v>
      </c>
      <c r="I19" s="36">
        <f t="shared" si="2"/>
        <v>45731</v>
      </c>
      <c r="J19" s="34">
        <f ca="1">IF($B19&gt;DAY(EOMONTH(I$4,0)),"",SUMIFS(INDIRECT(TEXT(I19,"MMM")&amp;"!$L$9:$L$999"),INDIRECT(TEXT(I19,"MMM")&amp;"!$B$9:$B$999"),I19)+SUMIFS(Abwesenheit!$J$3:$J$199,Abwesenheit!$D$3:$D$199,I19))</f>
        <v>0</v>
      </c>
      <c r="K19" s="35">
        <f>IF($B19&gt;DAY(EOMONTH(I$4,0)),"",IF(OR(I19&lt;IF(YEAR(Eintritt)&lt;Jahr,DATE(Jahr,1,1),Eintritt),I19&gt;IF(Austritt="",DATE(Jahr,12,31),Austritt)),0,IF(OR(ISERROR(VLOOKUP(I19,Stammdaten!$I$9:$J$26,2,FALSE)),SUMIFS(Stammdaten!$J$9:$J$26,Stammdaten!$I$9:$I$26,I19)=0),VLOOKUP(TEXT(I19,"TTT"),Stammdaten!$B$20:$F$26,5,FALSE),0)))</f>
        <v>0</v>
      </c>
      <c r="L19" s="36">
        <f t="shared" si="3"/>
        <v>45762</v>
      </c>
      <c r="M19" s="34">
        <f ca="1">IF($B19&gt;DAY(EOMONTH(L$4,0)),"",SUMIFS(INDIRECT(TEXT(L19,"MMM")&amp;"!$L$9:$L$999"),INDIRECT(TEXT(L19,"MMM")&amp;"!$B$9:$B$999"),L19)+SUMIFS(Abwesenheit!$J$3:$J$199,Abwesenheit!$D$3:$D$199,L19))</f>
        <v>0</v>
      </c>
      <c r="N19" s="35">
        <f>IF($B19&gt;DAY(EOMONTH(L$4,0)),"",IF(OR(L19&lt;IF(YEAR(Eintritt)&lt;Jahr,DATE(Jahr,1,1),Eintritt),L19&gt;IF(Austritt="",DATE(Jahr,12,31),Austritt)),0,IF(OR(ISERROR(VLOOKUP(L19,Stammdaten!$I$9:$J$26,2,FALSE)),SUMIFS(Stammdaten!$J$9:$J$26,Stammdaten!$I$9:$I$26,L19)=0),VLOOKUP(TEXT(L19,"TTT"),Stammdaten!$B$20:$F$26,5,FALSE),0)))</f>
        <v>0</v>
      </c>
      <c r="O19" s="36">
        <f t="shared" si="4"/>
        <v>45792</v>
      </c>
      <c r="P19" s="34">
        <f ca="1">IF($B19&gt;DAY(EOMONTH(O$4,0)),"",SUMIFS(INDIRECT(TEXT(O19,"MMM")&amp;"!$L$9:$L$999"),INDIRECT(TEXT(O19,"MMM")&amp;"!$B$9:$B$999"),O19)+SUMIFS(Abwesenheit!$J$3:$J$199,Abwesenheit!$D$3:$D$199,O19))</f>
        <v>0</v>
      </c>
      <c r="Q19" s="35">
        <f>IF($B19&gt;DAY(EOMONTH(O$4,0)),"",IF(OR(O19&lt;IF(YEAR(Eintritt)&lt;Jahr,DATE(Jahr,1,1),Eintritt),O19&gt;IF(Austritt="",DATE(Jahr,12,31),Austritt)),0,IF(OR(ISERROR(VLOOKUP(O19,Stammdaten!$I$9:$J$26,2,FALSE)),SUMIFS(Stammdaten!$J$9:$J$26,Stammdaten!$I$9:$I$26,O19)=0),VLOOKUP(TEXT(O19,"TTT"),Stammdaten!$B$20:$F$26,5,FALSE),0)))</f>
        <v>0</v>
      </c>
      <c r="R19" s="36">
        <f t="shared" si="5"/>
        <v>45823</v>
      </c>
      <c r="S19" s="34">
        <f ca="1">IF($B19&gt;DAY(EOMONTH(R$4,0)),"",SUMIFS(INDIRECT(TEXT(R19,"MMM")&amp;"!$L$9:$L$999"),INDIRECT(TEXT(R19,"MMM")&amp;"!$B$9:$B$999"),R19)+SUMIFS(Abwesenheit!$J$3:$J$199,Abwesenheit!$D$3:$D$199,R19))</f>
        <v>0</v>
      </c>
      <c r="T19" s="35">
        <f>IF($B19&gt;DAY(EOMONTH(R$4,0)),"",IF(OR(R19&lt;IF(YEAR(Eintritt)&lt;Jahr,DATE(Jahr,1,1),Eintritt),R19&gt;IF(Austritt="",DATE(Jahr,12,31),Austritt)),0,IF(OR(ISERROR(VLOOKUP(R19,Stammdaten!$I$9:$J$26,2,FALSE)),SUMIFS(Stammdaten!$J$9:$J$26,Stammdaten!$I$9:$I$26,R19)=0),VLOOKUP(TEXT(R19,"TTT"),Stammdaten!$B$20:$F$26,5,FALSE),0)))</f>
        <v>0</v>
      </c>
      <c r="U19" s="36">
        <f t="shared" si="6"/>
        <v>45853</v>
      </c>
      <c r="V19" s="34">
        <f ca="1">IF($B19&gt;DAY(EOMONTH(U$4,0)),"",SUMIFS(INDIRECT(TEXT(U19,"MMM")&amp;"!$L$9:$L$999"),INDIRECT(TEXT(U19,"MMM")&amp;"!$B$9:$B$999"),U19)+SUMIFS(Abwesenheit!$J$3:$J$199,Abwesenheit!$D$3:$D$199,U19))</f>
        <v>0</v>
      </c>
      <c r="W19" s="35">
        <f>IF($B19&gt;DAY(EOMONTH(U$4,0)),"",IF(OR(U19&lt;IF(YEAR(Eintritt)&lt;Jahr,DATE(Jahr,1,1),Eintritt),U19&gt;IF(Austritt="",DATE(Jahr,12,31),Austritt)),0,IF(OR(ISERROR(VLOOKUP(U19,Stammdaten!$I$9:$J$26,2,FALSE)),SUMIFS(Stammdaten!$J$9:$J$26,Stammdaten!$I$9:$I$26,U19)=0),VLOOKUP(TEXT(U19,"TTT"),Stammdaten!$B$20:$F$26,5,FALSE),0)))</f>
        <v>0.33333333333333337</v>
      </c>
      <c r="X19" s="36">
        <f t="shared" si="7"/>
        <v>45884</v>
      </c>
      <c r="Y19" s="34">
        <f ca="1">IF($B19&gt;DAY(EOMONTH(X$4,0)),"",SUMIFS(INDIRECT(TEXT(X19,"MMM")&amp;"!$L$9:$L$999"),INDIRECT(TEXT(X19,"MMM")&amp;"!$B$9:$B$999"),X19)+SUMIFS(Abwesenheit!$J$3:$J$199,Abwesenheit!$D$3:$D$199,X19))</f>
        <v>0</v>
      </c>
      <c r="Z19" s="35">
        <f>IF($B19&gt;DAY(EOMONTH(X$4,0)),"",IF(OR(X19&lt;IF(YEAR(Eintritt)&lt;Jahr,DATE(Jahr,1,1),Eintritt),X19&gt;IF(Austritt="",DATE(Jahr,12,31),Austritt)),0,IF(OR(ISERROR(VLOOKUP(X19,Stammdaten!$I$9:$J$26,2,FALSE)),SUMIFS(Stammdaten!$J$9:$J$26,Stammdaten!$I$9:$I$26,X19)=0),VLOOKUP(TEXT(X19,"TTT"),Stammdaten!$B$20:$F$26,5,FALSE),0)))</f>
        <v>0</v>
      </c>
      <c r="AA19" s="36">
        <f t="shared" si="8"/>
        <v>45915</v>
      </c>
      <c r="AB19" s="34">
        <f ca="1">IF($B19&gt;DAY(EOMONTH(AA$4,0)),"",SUMIFS(INDIRECT(TEXT(AA19,"MMM")&amp;"!$L$9:$L$999"),INDIRECT(TEXT(AA19,"MMM")&amp;"!$B$9:$B$999"),AA19)+SUMIFS(Abwesenheit!$J$3:$J$199,Abwesenheit!$D$3:$D$199,AA19))</f>
        <v>0</v>
      </c>
      <c r="AC19" s="35">
        <f>IF($B19&gt;DAY(EOMONTH(AA$4,0)),"",IF(OR(AA19&lt;IF(YEAR(Eintritt)&lt;Jahr,DATE(Jahr,1,1),Eintritt),AA19&gt;IF(Austritt="",DATE(Jahr,12,31),Austritt)),0,IF(OR(ISERROR(VLOOKUP(AA19,Stammdaten!$I$9:$J$26,2,FALSE)),SUMIFS(Stammdaten!$J$9:$J$26,Stammdaten!$I$9:$I$26,AA19)=0),VLOOKUP(TEXT(AA19,"TTT"),Stammdaten!$B$20:$F$26,5,FALSE),0)))</f>
        <v>0</v>
      </c>
      <c r="AD19" s="36">
        <f t="shared" si="9"/>
        <v>45945</v>
      </c>
      <c r="AE19" s="34">
        <f ca="1">IF($B19&gt;DAY(EOMONTH(AD$4,0)),"",SUMIFS(INDIRECT(TEXT(AD19,"MMM")&amp;"!$L$9:$L$999"),INDIRECT(TEXT(AD19,"MMM")&amp;"!$B$9:$B$999"),AD19)+SUMIFS(Abwesenheit!$J$3:$J$199,Abwesenheit!$D$3:$D$199,AD19))</f>
        <v>0</v>
      </c>
      <c r="AF19" s="35">
        <f>IF($B19&gt;DAY(EOMONTH(AD$4,0)),"",IF(OR(AD19&lt;IF(YEAR(Eintritt)&lt;Jahr,DATE(Jahr,1,1),Eintritt),AD19&gt;IF(Austritt="",DATE(Jahr,12,31),Austritt)),0,IF(OR(ISERROR(VLOOKUP(AD19,Stammdaten!$I$9:$J$26,2,FALSE)),SUMIFS(Stammdaten!$J$9:$J$26,Stammdaten!$I$9:$I$26,AD19)=0),VLOOKUP(TEXT(AD19,"TTT"),Stammdaten!$B$20:$F$26,5,FALSE),0)))</f>
        <v>0</v>
      </c>
      <c r="AG19" s="36">
        <f t="shared" si="10"/>
        <v>45976</v>
      </c>
      <c r="AH19" s="34">
        <f ca="1">IF($B19&gt;DAY(EOMONTH(AG$4,0)),"",SUMIFS(INDIRECT(TEXT(AG19,"MMM")&amp;"!$L$9:$L$999"),INDIRECT(TEXT(AG19,"MMM")&amp;"!$B$9:$B$999"),AG19)+SUMIFS(Abwesenheit!$J$3:$J$199,Abwesenheit!$D$3:$D$199,AG19))</f>
        <v>0</v>
      </c>
      <c r="AI19" s="35">
        <f>IF($B19&gt;DAY(EOMONTH(AG$4,0)),"",IF(OR(AG19&lt;IF(YEAR(Eintritt)&lt;Jahr,DATE(Jahr,1,1),Eintritt),AG19&gt;IF(Austritt="",DATE(Jahr,12,31),Austritt)),0,IF(OR(ISERROR(VLOOKUP(AG19,Stammdaten!$I$9:$J$26,2,FALSE)),SUMIFS(Stammdaten!$J$9:$J$26,Stammdaten!$I$9:$I$26,AG19)=0),VLOOKUP(TEXT(AG19,"TTT"),Stammdaten!$B$20:$F$26,5,FALSE),0)))</f>
        <v>0</v>
      </c>
      <c r="AJ19" s="36">
        <f t="shared" si="11"/>
        <v>46006</v>
      </c>
      <c r="AK19" s="34">
        <f ca="1">IF($B19&gt;DAY(EOMONTH(AJ$4,0)),"",SUMIFS(INDIRECT(TEXT(AJ19,"MMM")&amp;"!$L$9:$L$999"),INDIRECT(TEXT(AJ19,"MMM")&amp;"!$B$9:$B$999"),AJ19)+SUMIFS(Abwesenheit!$J$3:$J$199,Abwesenheit!$D$3:$D$199,AJ19))</f>
        <v>0</v>
      </c>
      <c r="AL19" s="35">
        <f>IF($B19&gt;DAY(EOMONTH(AJ$4,0)),"",IF(OR(AJ19&lt;IF(YEAR(Eintritt)&lt;Jahr,DATE(Jahr,1,1),Eintritt),AJ19&gt;IF(Austritt="",DATE(Jahr,12,31),Austritt)),0,VLOOKUP(TEXT(AJ19,"TTT"),Stammdaten!$B$20:$F$26,5,FALSE)-IF(ISERROR(VLOOKUP(AJ19,Stammdaten!$I$9:$J$26,2,FALSE)),0,SUMIFS(Stammdaten!$J$9:$J$26,Stammdaten!$I$9:$I$26,AJ19)/24)))</f>
        <v>0</v>
      </c>
      <c r="AM19" s="37">
        <v>15</v>
      </c>
      <c r="AP19" s="8"/>
      <c r="AQ19" s="8"/>
      <c r="AR19" s="8"/>
      <c r="AS19" s="8"/>
    </row>
    <row r="20" spans="1:45" x14ac:dyDescent="0.3">
      <c r="A20" s="33"/>
      <c r="B20" s="37">
        <v>16</v>
      </c>
      <c r="C20" s="36">
        <f t="shared" si="0"/>
        <v>45673</v>
      </c>
      <c r="D20" s="34">
        <f ca="1">IF($B20&gt;DAY(EOMONTH(C$4,0)),"",SUMIFS(INDIRECT(TEXT(C20,"MMM")&amp;"!$L$9:$L$999"),INDIRECT(TEXT(C20,"MMM")&amp;"!$B$9:$B$999"),C20)+SUMIFS(Abwesenheit!$J$3:$J$199,Abwesenheit!$D$3:$D$199,C20))</f>
        <v>0</v>
      </c>
      <c r="E20" s="35">
        <f>IF($B20&gt;DAY(EOMONTH(C$4,0)),"",IF(OR(C20&lt;IF(YEAR(Eintritt)&lt;Jahr,DATE(Jahr,1,1),Eintritt),C20&gt;IF(Austritt="",DATE(Jahr,12,31),Austritt)),0,IF(OR(ISERROR(VLOOKUP(C20,Stammdaten!$I$9:$J$26,2,FALSE)),SUMIFS(Stammdaten!$J$9:$J$26,Stammdaten!$I$9:$I$26,C20)=0),VLOOKUP(TEXT(C20,"TTT"),Stammdaten!$B$20:$F$26,5,FALSE),0)))</f>
        <v>0</v>
      </c>
      <c r="F20" s="36">
        <f t="shared" si="1"/>
        <v>45704</v>
      </c>
      <c r="G20" s="34">
        <f ca="1">IF($B20&gt;DAY(EOMONTH(F$4,0)),"",SUMIFS(INDIRECT(TEXT(F20,"MMM")&amp;"!$L$9:$L$999"),INDIRECT(TEXT(F20,"MMM")&amp;"!$B$9:$B$999"),F20)+SUMIFS(Abwesenheit!$J$3:$J$199,Abwesenheit!$D$3:$D$199,F20))</f>
        <v>0</v>
      </c>
      <c r="H20" s="35">
        <f>IF($B20&gt;DAY(EOMONTH(F$4,0)),"",IF(OR(F20&lt;IF(YEAR(Eintritt)&lt;Jahr,DATE(Jahr,1,1),Eintritt),F20&gt;IF(Austritt="",DATE(Jahr,12,31),Austritt)),0,IF(OR(ISERROR(VLOOKUP(F20,Stammdaten!$I$9:$J$26,2,FALSE)),SUMIFS(Stammdaten!$J$9:$J$26,Stammdaten!$I$9:$I$26,F20)=0),VLOOKUP(TEXT(F20,"TTT"),Stammdaten!$B$20:$F$26,5,FALSE),0)))</f>
        <v>0</v>
      </c>
      <c r="I20" s="36">
        <f t="shared" si="2"/>
        <v>45732</v>
      </c>
      <c r="J20" s="34">
        <f ca="1">IF($B20&gt;DAY(EOMONTH(I$4,0)),"",SUMIFS(INDIRECT(TEXT(I20,"MMM")&amp;"!$L$9:$L$999"),INDIRECT(TEXT(I20,"MMM")&amp;"!$B$9:$B$999"),I20)+SUMIFS(Abwesenheit!$J$3:$J$199,Abwesenheit!$D$3:$D$199,I20))</f>
        <v>0</v>
      </c>
      <c r="K20" s="35">
        <f>IF($B20&gt;DAY(EOMONTH(I$4,0)),"",IF(OR(I20&lt;IF(YEAR(Eintritt)&lt;Jahr,DATE(Jahr,1,1),Eintritt),I20&gt;IF(Austritt="",DATE(Jahr,12,31),Austritt)),0,IF(OR(ISERROR(VLOOKUP(I20,Stammdaten!$I$9:$J$26,2,FALSE)),SUMIFS(Stammdaten!$J$9:$J$26,Stammdaten!$I$9:$I$26,I20)=0),VLOOKUP(TEXT(I20,"TTT"),Stammdaten!$B$20:$F$26,5,FALSE),0)))</f>
        <v>0</v>
      </c>
      <c r="L20" s="36">
        <f t="shared" si="3"/>
        <v>45763</v>
      </c>
      <c r="M20" s="34">
        <f ca="1">IF($B20&gt;DAY(EOMONTH(L$4,0)),"",SUMIFS(INDIRECT(TEXT(L20,"MMM")&amp;"!$L$9:$L$999"),INDIRECT(TEXT(L20,"MMM")&amp;"!$B$9:$B$999"),L20)+SUMIFS(Abwesenheit!$J$3:$J$199,Abwesenheit!$D$3:$D$199,L20))</f>
        <v>0</v>
      </c>
      <c r="N20" s="35">
        <f>IF($B20&gt;DAY(EOMONTH(L$4,0)),"",IF(OR(L20&lt;IF(YEAR(Eintritt)&lt;Jahr,DATE(Jahr,1,1),Eintritt),L20&gt;IF(Austritt="",DATE(Jahr,12,31),Austritt)),0,IF(OR(ISERROR(VLOOKUP(L20,Stammdaten!$I$9:$J$26,2,FALSE)),SUMIFS(Stammdaten!$J$9:$J$26,Stammdaten!$I$9:$I$26,L20)=0),VLOOKUP(TEXT(L20,"TTT"),Stammdaten!$B$20:$F$26,5,FALSE),0)))</f>
        <v>0</v>
      </c>
      <c r="O20" s="36">
        <f t="shared" si="4"/>
        <v>45793</v>
      </c>
      <c r="P20" s="34">
        <f ca="1">IF($B20&gt;DAY(EOMONTH(O$4,0)),"",SUMIFS(INDIRECT(TEXT(O20,"MMM")&amp;"!$L$9:$L$999"),INDIRECT(TEXT(O20,"MMM")&amp;"!$B$9:$B$999"),O20)+SUMIFS(Abwesenheit!$J$3:$J$199,Abwesenheit!$D$3:$D$199,O20))</f>
        <v>0</v>
      </c>
      <c r="Q20" s="35">
        <f>IF($B20&gt;DAY(EOMONTH(O$4,0)),"",IF(OR(O20&lt;IF(YEAR(Eintritt)&lt;Jahr,DATE(Jahr,1,1),Eintritt),O20&gt;IF(Austritt="",DATE(Jahr,12,31),Austritt)),0,IF(OR(ISERROR(VLOOKUP(O20,Stammdaten!$I$9:$J$26,2,FALSE)),SUMIFS(Stammdaten!$J$9:$J$26,Stammdaten!$I$9:$I$26,O20)=0),VLOOKUP(TEXT(O20,"TTT"),Stammdaten!$B$20:$F$26,5,FALSE),0)))</f>
        <v>0</v>
      </c>
      <c r="R20" s="36">
        <f t="shared" si="5"/>
        <v>45824</v>
      </c>
      <c r="S20" s="34">
        <f ca="1">IF($B20&gt;DAY(EOMONTH(R$4,0)),"",SUMIFS(INDIRECT(TEXT(R20,"MMM")&amp;"!$L$9:$L$999"),INDIRECT(TEXT(R20,"MMM")&amp;"!$B$9:$B$999"),R20)+SUMIFS(Abwesenheit!$J$3:$J$199,Abwesenheit!$D$3:$D$199,R20))</f>
        <v>0</v>
      </c>
      <c r="T20" s="35">
        <f>IF($B20&gt;DAY(EOMONTH(R$4,0)),"",IF(OR(R20&lt;IF(YEAR(Eintritt)&lt;Jahr,DATE(Jahr,1,1),Eintritt),R20&gt;IF(Austritt="",DATE(Jahr,12,31),Austritt)),0,IF(OR(ISERROR(VLOOKUP(R20,Stammdaten!$I$9:$J$26,2,FALSE)),SUMIFS(Stammdaten!$J$9:$J$26,Stammdaten!$I$9:$I$26,R20)=0),VLOOKUP(TEXT(R20,"TTT"),Stammdaten!$B$20:$F$26,5,FALSE),0)))</f>
        <v>0</v>
      </c>
      <c r="U20" s="36">
        <f t="shared" si="6"/>
        <v>45854</v>
      </c>
      <c r="V20" s="34">
        <f ca="1">IF($B20&gt;DAY(EOMONTH(U$4,0)),"",SUMIFS(INDIRECT(TEXT(U20,"MMM")&amp;"!$L$9:$L$999"),INDIRECT(TEXT(U20,"MMM")&amp;"!$B$9:$B$999"),U20)+SUMIFS(Abwesenheit!$J$3:$J$199,Abwesenheit!$D$3:$D$199,U20))</f>
        <v>0</v>
      </c>
      <c r="W20" s="35">
        <f>IF($B20&gt;DAY(EOMONTH(U$4,0)),"",IF(OR(U20&lt;IF(YEAR(Eintritt)&lt;Jahr,DATE(Jahr,1,1),Eintritt),U20&gt;IF(Austritt="",DATE(Jahr,12,31),Austritt)),0,IF(OR(ISERROR(VLOOKUP(U20,Stammdaten!$I$9:$J$26,2,FALSE)),SUMIFS(Stammdaten!$J$9:$J$26,Stammdaten!$I$9:$I$26,U20)=0),VLOOKUP(TEXT(U20,"TTT"),Stammdaten!$B$20:$F$26,5,FALSE),0)))</f>
        <v>0.33333333333333337</v>
      </c>
      <c r="X20" s="36">
        <f t="shared" si="7"/>
        <v>45885</v>
      </c>
      <c r="Y20" s="34">
        <f ca="1">IF($B20&gt;DAY(EOMONTH(X$4,0)),"",SUMIFS(INDIRECT(TEXT(X20,"MMM")&amp;"!$L$9:$L$999"),INDIRECT(TEXT(X20,"MMM")&amp;"!$B$9:$B$999"),X20)+SUMIFS(Abwesenheit!$J$3:$J$199,Abwesenheit!$D$3:$D$199,X20))</f>
        <v>0</v>
      </c>
      <c r="Z20" s="35">
        <f>IF($B20&gt;DAY(EOMONTH(X$4,0)),"",IF(OR(X20&lt;IF(YEAR(Eintritt)&lt;Jahr,DATE(Jahr,1,1),Eintritt),X20&gt;IF(Austritt="",DATE(Jahr,12,31),Austritt)),0,IF(OR(ISERROR(VLOOKUP(X20,Stammdaten!$I$9:$J$26,2,FALSE)),SUMIFS(Stammdaten!$J$9:$J$26,Stammdaten!$I$9:$I$26,X20)=0),VLOOKUP(TEXT(X20,"TTT"),Stammdaten!$B$20:$F$26,5,FALSE),0)))</f>
        <v>0</v>
      </c>
      <c r="AA20" s="36">
        <f t="shared" si="8"/>
        <v>45916</v>
      </c>
      <c r="AB20" s="34">
        <f ca="1">IF($B20&gt;DAY(EOMONTH(AA$4,0)),"",SUMIFS(INDIRECT(TEXT(AA20,"MMM")&amp;"!$L$9:$L$999"),INDIRECT(TEXT(AA20,"MMM")&amp;"!$B$9:$B$999"),AA20)+SUMIFS(Abwesenheit!$J$3:$J$199,Abwesenheit!$D$3:$D$199,AA20))</f>
        <v>0</v>
      </c>
      <c r="AC20" s="35">
        <f>IF($B20&gt;DAY(EOMONTH(AA$4,0)),"",IF(OR(AA20&lt;IF(YEAR(Eintritt)&lt;Jahr,DATE(Jahr,1,1),Eintritt),AA20&gt;IF(Austritt="",DATE(Jahr,12,31),Austritt)),0,IF(OR(ISERROR(VLOOKUP(AA20,Stammdaten!$I$9:$J$26,2,FALSE)),SUMIFS(Stammdaten!$J$9:$J$26,Stammdaten!$I$9:$I$26,AA20)=0),VLOOKUP(TEXT(AA20,"TTT"),Stammdaten!$B$20:$F$26,5,FALSE),0)))</f>
        <v>0</v>
      </c>
      <c r="AD20" s="36">
        <f t="shared" si="9"/>
        <v>45946</v>
      </c>
      <c r="AE20" s="34">
        <f ca="1">IF($B20&gt;DAY(EOMONTH(AD$4,0)),"",SUMIFS(INDIRECT(TEXT(AD20,"MMM")&amp;"!$L$9:$L$999"),INDIRECT(TEXT(AD20,"MMM")&amp;"!$B$9:$B$999"),AD20)+SUMIFS(Abwesenheit!$J$3:$J$199,Abwesenheit!$D$3:$D$199,AD20))</f>
        <v>0</v>
      </c>
      <c r="AF20" s="35">
        <f>IF($B20&gt;DAY(EOMONTH(AD$4,0)),"",IF(OR(AD20&lt;IF(YEAR(Eintritt)&lt;Jahr,DATE(Jahr,1,1),Eintritt),AD20&gt;IF(Austritt="",DATE(Jahr,12,31),Austritt)),0,IF(OR(ISERROR(VLOOKUP(AD20,Stammdaten!$I$9:$J$26,2,FALSE)),SUMIFS(Stammdaten!$J$9:$J$26,Stammdaten!$I$9:$I$26,AD20)=0),VLOOKUP(TEXT(AD20,"TTT"),Stammdaten!$B$20:$F$26,5,FALSE),0)))</f>
        <v>0</v>
      </c>
      <c r="AG20" s="36">
        <f t="shared" si="10"/>
        <v>45977</v>
      </c>
      <c r="AH20" s="34">
        <f ca="1">IF($B20&gt;DAY(EOMONTH(AG$4,0)),"",SUMIFS(INDIRECT(TEXT(AG20,"MMM")&amp;"!$L$9:$L$999"),INDIRECT(TEXT(AG20,"MMM")&amp;"!$B$9:$B$999"),AG20)+SUMIFS(Abwesenheit!$J$3:$J$199,Abwesenheit!$D$3:$D$199,AG20))</f>
        <v>0</v>
      </c>
      <c r="AI20" s="35">
        <f>IF($B20&gt;DAY(EOMONTH(AG$4,0)),"",IF(OR(AG20&lt;IF(YEAR(Eintritt)&lt;Jahr,DATE(Jahr,1,1),Eintritt),AG20&gt;IF(Austritt="",DATE(Jahr,12,31),Austritt)),0,IF(OR(ISERROR(VLOOKUP(AG20,Stammdaten!$I$9:$J$26,2,FALSE)),SUMIFS(Stammdaten!$J$9:$J$26,Stammdaten!$I$9:$I$26,AG20)=0),VLOOKUP(TEXT(AG20,"TTT"),Stammdaten!$B$20:$F$26,5,FALSE),0)))</f>
        <v>0</v>
      </c>
      <c r="AJ20" s="36">
        <f t="shared" si="11"/>
        <v>46007</v>
      </c>
      <c r="AK20" s="34">
        <f ca="1">IF($B20&gt;DAY(EOMONTH(AJ$4,0)),"",SUMIFS(INDIRECT(TEXT(AJ20,"MMM")&amp;"!$L$9:$L$999"),INDIRECT(TEXT(AJ20,"MMM")&amp;"!$B$9:$B$999"),AJ20)+SUMIFS(Abwesenheit!$J$3:$J$199,Abwesenheit!$D$3:$D$199,AJ20))</f>
        <v>0</v>
      </c>
      <c r="AL20" s="35">
        <f>IF($B20&gt;DAY(EOMONTH(AJ$4,0)),"",IF(OR(AJ20&lt;IF(YEAR(Eintritt)&lt;Jahr,DATE(Jahr,1,1),Eintritt),AJ20&gt;IF(Austritt="",DATE(Jahr,12,31),Austritt)),0,VLOOKUP(TEXT(AJ20,"TTT"),Stammdaten!$B$20:$F$26,5,FALSE)-IF(ISERROR(VLOOKUP(AJ20,Stammdaten!$I$9:$J$26,2,FALSE)),0,SUMIFS(Stammdaten!$J$9:$J$26,Stammdaten!$I$9:$I$26,AJ20)/24)))</f>
        <v>0</v>
      </c>
      <c r="AM20" s="37">
        <v>16</v>
      </c>
      <c r="AP20" s="8"/>
      <c r="AQ20" s="8"/>
      <c r="AR20" s="8"/>
      <c r="AS20" s="8"/>
    </row>
    <row r="21" spans="1:45" x14ac:dyDescent="0.3">
      <c r="A21" s="33"/>
      <c r="B21" s="37">
        <v>17</v>
      </c>
      <c r="C21" s="36">
        <f t="shared" si="0"/>
        <v>45674</v>
      </c>
      <c r="D21" s="34">
        <f ca="1">IF($B21&gt;DAY(EOMONTH(C$4,0)),"",SUMIFS(INDIRECT(TEXT(C21,"MMM")&amp;"!$L$9:$L$999"),INDIRECT(TEXT(C21,"MMM")&amp;"!$B$9:$B$999"),C21)+SUMIFS(Abwesenheit!$J$3:$J$199,Abwesenheit!$D$3:$D$199,C21))</f>
        <v>0</v>
      </c>
      <c r="E21" s="35">
        <f>IF($B21&gt;DAY(EOMONTH(C$4,0)),"",IF(OR(C21&lt;IF(YEAR(Eintritt)&lt;Jahr,DATE(Jahr,1,1),Eintritt),C21&gt;IF(Austritt="",DATE(Jahr,12,31),Austritt)),0,IF(OR(ISERROR(VLOOKUP(C21,Stammdaten!$I$9:$J$26,2,FALSE)),SUMIFS(Stammdaten!$J$9:$J$26,Stammdaten!$I$9:$I$26,C21)=0),VLOOKUP(TEXT(C21,"TTT"),Stammdaten!$B$20:$F$26,5,FALSE),0)))</f>
        <v>0</v>
      </c>
      <c r="F21" s="36">
        <f t="shared" si="1"/>
        <v>45705</v>
      </c>
      <c r="G21" s="34">
        <f ca="1">IF($B21&gt;DAY(EOMONTH(F$4,0)),"",SUMIFS(INDIRECT(TEXT(F21,"MMM")&amp;"!$L$9:$L$999"),INDIRECT(TEXT(F21,"MMM")&amp;"!$B$9:$B$999"),F21)+SUMIFS(Abwesenheit!$J$3:$J$199,Abwesenheit!$D$3:$D$199,F21))</f>
        <v>0</v>
      </c>
      <c r="H21" s="35">
        <f>IF($B21&gt;DAY(EOMONTH(F$4,0)),"",IF(OR(F21&lt;IF(YEAR(Eintritt)&lt;Jahr,DATE(Jahr,1,1),Eintritt),F21&gt;IF(Austritt="",DATE(Jahr,12,31),Austritt)),0,IF(OR(ISERROR(VLOOKUP(F21,Stammdaten!$I$9:$J$26,2,FALSE)),SUMIFS(Stammdaten!$J$9:$J$26,Stammdaten!$I$9:$I$26,F21)=0),VLOOKUP(TEXT(F21,"TTT"),Stammdaten!$B$20:$F$26,5,FALSE),0)))</f>
        <v>0</v>
      </c>
      <c r="I21" s="36">
        <f t="shared" si="2"/>
        <v>45733</v>
      </c>
      <c r="J21" s="34">
        <f ca="1">IF($B21&gt;DAY(EOMONTH(I$4,0)),"",SUMIFS(INDIRECT(TEXT(I21,"MMM")&amp;"!$L$9:$L$999"),INDIRECT(TEXT(I21,"MMM")&amp;"!$B$9:$B$999"),I21)+SUMIFS(Abwesenheit!$J$3:$J$199,Abwesenheit!$D$3:$D$199,I21))</f>
        <v>0</v>
      </c>
      <c r="K21" s="35">
        <f>IF($B21&gt;DAY(EOMONTH(I$4,0)),"",IF(OR(I21&lt;IF(YEAR(Eintritt)&lt;Jahr,DATE(Jahr,1,1),Eintritt),I21&gt;IF(Austritt="",DATE(Jahr,12,31),Austritt)),0,IF(OR(ISERROR(VLOOKUP(I21,Stammdaten!$I$9:$J$26,2,FALSE)),SUMIFS(Stammdaten!$J$9:$J$26,Stammdaten!$I$9:$I$26,I21)=0),VLOOKUP(TEXT(I21,"TTT"),Stammdaten!$B$20:$F$26,5,FALSE),0)))</f>
        <v>0</v>
      </c>
      <c r="L21" s="36">
        <f t="shared" si="3"/>
        <v>45764</v>
      </c>
      <c r="M21" s="34">
        <f ca="1">IF($B21&gt;DAY(EOMONTH(L$4,0)),"",SUMIFS(INDIRECT(TEXT(L21,"MMM")&amp;"!$L$9:$L$999"),INDIRECT(TEXT(L21,"MMM")&amp;"!$B$9:$B$999"),L21)+SUMIFS(Abwesenheit!$J$3:$J$199,Abwesenheit!$D$3:$D$199,L21))</f>
        <v>0</v>
      </c>
      <c r="N21" s="35">
        <f>IF($B21&gt;DAY(EOMONTH(L$4,0)),"",IF(OR(L21&lt;IF(YEAR(Eintritt)&lt;Jahr,DATE(Jahr,1,1),Eintritt),L21&gt;IF(Austritt="",DATE(Jahr,12,31),Austritt)),0,IF(OR(ISERROR(VLOOKUP(L21,Stammdaten!$I$9:$J$26,2,FALSE)),SUMIFS(Stammdaten!$J$9:$J$26,Stammdaten!$I$9:$I$26,L21)=0),VLOOKUP(TEXT(L21,"TTT"),Stammdaten!$B$20:$F$26,5,FALSE),0)))</f>
        <v>0</v>
      </c>
      <c r="O21" s="36">
        <f t="shared" si="4"/>
        <v>45794</v>
      </c>
      <c r="P21" s="34">
        <f ca="1">IF($B21&gt;DAY(EOMONTH(O$4,0)),"",SUMIFS(INDIRECT(TEXT(O21,"MMM")&amp;"!$L$9:$L$999"),INDIRECT(TEXT(O21,"MMM")&amp;"!$B$9:$B$999"),O21)+SUMIFS(Abwesenheit!$J$3:$J$199,Abwesenheit!$D$3:$D$199,O21))</f>
        <v>0</v>
      </c>
      <c r="Q21" s="35">
        <f>IF($B21&gt;DAY(EOMONTH(O$4,0)),"",IF(OR(O21&lt;IF(YEAR(Eintritt)&lt;Jahr,DATE(Jahr,1,1),Eintritt),O21&gt;IF(Austritt="",DATE(Jahr,12,31),Austritt)),0,IF(OR(ISERROR(VLOOKUP(O21,Stammdaten!$I$9:$J$26,2,FALSE)),SUMIFS(Stammdaten!$J$9:$J$26,Stammdaten!$I$9:$I$26,O21)=0),VLOOKUP(TEXT(O21,"TTT"),Stammdaten!$B$20:$F$26,5,FALSE),0)))</f>
        <v>0</v>
      </c>
      <c r="R21" s="36">
        <f t="shared" si="5"/>
        <v>45825</v>
      </c>
      <c r="S21" s="34">
        <f ca="1">IF($B21&gt;DAY(EOMONTH(R$4,0)),"",SUMIFS(INDIRECT(TEXT(R21,"MMM")&amp;"!$L$9:$L$999"),INDIRECT(TEXT(R21,"MMM")&amp;"!$B$9:$B$999"),R21)+SUMIFS(Abwesenheit!$J$3:$J$199,Abwesenheit!$D$3:$D$199,R21))</f>
        <v>0</v>
      </c>
      <c r="T21" s="35">
        <f>IF($B21&gt;DAY(EOMONTH(R$4,0)),"",IF(OR(R21&lt;IF(YEAR(Eintritt)&lt;Jahr,DATE(Jahr,1,1),Eintritt),R21&gt;IF(Austritt="",DATE(Jahr,12,31),Austritt)),0,IF(OR(ISERROR(VLOOKUP(R21,Stammdaten!$I$9:$J$26,2,FALSE)),SUMIFS(Stammdaten!$J$9:$J$26,Stammdaten!$I$9:$I$26,R21)=0),VLOOKUP(TEXT(R21,"TTT"),Stammdaten!$B$20:$F$26,5,FALSE),0)))</f>
        <v>0</v>
      </c>
      <c r="U21" s="36">
        <f t="shared" si="6"/>
        <v>45855</v>
      </c>
      <c r="V21" s="34">
        <f ca="1">IF($B21&gt;DAY(EOMONTH(U$4,0)),"",SUMIFS(INDIRECT(TEXT(U21,"MMM")&amp;"!$L$9:$L$999"),INDIRECT(TEXT(U21,"MMM")&amp;"!$B$9:$B$999"),U21)+SUMIFS(Abwesenheit!$J$3:$J$199,Abwesenheit!$D$3:$D$199,U21))</f>
        <v>0</v>
      </c>
      <c r="W21" s="35">
        <f>IF($B21&gt;DAY(EOMONTH(U$4,0)),"",IF(OR(U21&lt;IF(YEAR(Eintritt)&lt;Jahr,DATE(Jahr,1,1),Eintritt),U21&gt;IF(Austritt="",DATE(Jahr,12,31),Austritt)),0,IF(OR(ISERROR(VLOOKUP(U21,Stammdaten!$I$9:$J$26,2,FALSE)),SUMIFS(Stammdaten!$J$9:$J$26,Stammdaten!$I$9:$I$26,U21)=0),VLOOKUP(TEXT(U21,"TTT"),Stammdaten!$B$20:$F$26,5,FALSE),0)))</f>
        <v>0.33333333333333337</v>
      </c>
      <c r="X21" s="36">
        <f t="shared" si="7"/>
        <v>45886</v>
      </c>
      <c r="Y21" s="34">
        <f ca="1">IF($B21&gt;DAY(EOMONTH(X$4,0)),"",SUMIFS(INDIRECT(TEXT(X21,"MMM")&amp;"!$L$9:$L$999"),INDIRECT(TEXT(X21,"MMM")&amp;"!$B$9:$B$999"),X21)+SUMIFS(Abwesenheit!$J$3:$J$199,Abwesenheit!$D$3:$D$199,X21))</f>
        <v>0</v>
      </c>
      <c r="Z21" s="35">
        <f>IF($B21&gt;DAY(EOMONTH(X$4,0)),"",IF(OR(X21&lt;IF(YEAR(Eintritt)&lt;Jahr,DATE(Jahr,1,1),Eintritt),X21&gt;IF(Austritt="",DATE(Jahr,12,31),Austritt)),0,IF(OR(ISERROR(VLOOKUP(X21,Stammdaten!$I$9:$J$26,2,FALSE)),SUMIFS(Stammdaten!$J$9:$J$26,Stammdaten!$I$9:$I$26,X21)=0),VLOOKUP(TEXT(X21,"TTT"),Stammdaten!$B$20:$F$26,5,FALSE),0)))</f>
        <v>0</v>
      </c>
      <c r="AA21" s="36">
        <f t="shared" si="8"/>
        <v>45917</v>
      </c>
      <c r="AB21" s="34">
        <f ca="1">IF($B21&gt;DAY(EOMONTH(AA$4,0)),"",SUMIFS(INDIRECT(TEXT(AA21,"MMM")&amp;"!$L$9:$L$999"),INDIRECT(TEXT(AA21,"MMM")&amp;"!$B$9:$B$999"),AA21)+SUMIFS(Abwesenheit!$J$3:$J$199,Abwesenheit!$D$3:$D$199,AA21))</f>
        <v>0</v>
      </c>
      <c r="AC21" s="35">
        <f>IF($B21&gt;DAY(EOMONTH(AA$4,0)),"",IF(OR(AA21&lt;IF(YEAR(Eintritt)&lt;Jahr,DATE(Jahr,1,1),Eintritt),AA21&gt;IF(Austritt="",DATE(Jahr,12,31),Austritt)),0,IF(OR(ISERROR(VLOOKUP(AA21,Stammdaten!$I$9:$J$26,2,FALSE)),SUMIFS(Stammdaten!$J$9:$J$26,Stammdaten!$I$9:$I$26,AA21)=0),VLOOKUP(TEXT(AA21,"TTT"),Stammdaten!$B$20:$F$26,5,FALSE),0)))</f>
        <v>0</v>
      </c>
      <c r="AD21" s="36">
        <f t="shared" si="9"/>
        <v>45947</v>
      </c>
      <c r="AE21" s="34">
        <f ca="1">IF($B21&gt;DAY(EOMONTH(AD$4,0)),"",SUMIFS(INDIRECT(TEXT(AD21,"MMM")&amp;"!$L$9:$L$999"),INDIRECT(TEXT(AD21,"MMM")&amp;"!$B$9:$B$999"),AD21)+SUMIFS(Abwesenheit!$J$3:$J$199,Abwesenheit!$D$3:$D$199,AD21))</f>
        <v>0</v>
      </c>
      <c r="AF21" s="35">
        <f>IF($B21&gt;DAY(EOMONTH(AD$4,0)),"",IF(OR(AD21&lt;IF(YEAR(Eintritt)&lt;Jahr,DATE(Jahr,1,1),Eintritt),AD21&gt;IF(Austritt="",DATE(Jahr,12,31),Austritt)),0,IF(OR(ISERROR(VLOOKUP(AD21,Stammdaten!$I$9:$J$26,2,FALSE)),SUMIFS(Stammdaten!$J$9:$J$26,Stammdaten!$I$9:$I$26,AD21)=0),VLOOKUP(TEXT(AD21,"TTT"),Stammdaten!$B$20:$F$26,5,FALSE),0)))</f>
        <v>0</v>
      </c>
      <c r="AG21" s="36">
        <f t="shared" si="10"/>
        <v>45978</v>
      </c>
      <c r="AH21" s="34">
        <f ca="1">IF($B21&gt;DAY(EOMONTH(AG$4,0)),"",SUMIFS(INDIRECT(TEXT(AG21,"MMM")&amp;"!$L$9:$L$999"),INDIRECT(TEXT(AG21,"MMM")&amp;"!$B$9:$B$999"),AG21)+SUMIFS(Abwesenheit!$J$3:$J$199,Abwesenheit!$D$3:$D$199,AG21))</f>
        <v>0</v>
      </c>
      <c r="AI21" s="35">
        <f>IF($B21&gt;DAY(EOMONTH(AG$4,0)),"",IF(OR(AG21&lt;IF(YEAR(Eintritt)&lt;Jahr,DATE(Jahr,1,1),Eintritt),AG21&gt;IF(Austritt="",DATE(Jahr,12,31),Austritt)),0,IF(OR(ISERROR(VLOOKUP(AG21,Stammdaten!$I$9:$J$26,2,FALSE)),SUMIFS(Stammdaten!$J$9:$J$26,Stammdaten!$I$9:$I$26,AG21)=0),VLOOKUP(TEXT(AG21,"TTT"),Stammdaten!$B$20:$F$26,5,FALSE),0)))</f>
        <v>0</v>
      </c>
      <c r="AJ21" s="36">
        <f t="shared" si="11"/>
        <v>46008</v>
      </c>
      <c r="AK21" s="34">
        <f ca="1">IF($B21&gt;DAY(EOMONTH(AJ$4,0)),"",SUMIFS(INDIRECT(TEXT(AJ21,"MMM")&amp;"!$L$9:$L$999"),INDIRECT(TEXT(AJ21,"MMM")&amp;"!$B$9:$B$999"),AJ21)+SUMIFS(Abwesenheit!$J$3:$J$199,Abwesenheit!$D$3:$D$199,AJ21))</f>
        <v>0</v>
      </c>
      <c r="AL21" s="35">
        <f>IF($B21&gt;DAY(EOMONTH(AJ$4,0)),"",IF(OR(AJ21&lt;IF(YEAR(Eintritt)&lt;Jahr,DATE(Jahr,1,1),Eintritt),AJ21&gt;IF(Austritt="",DATE(Jahr,12,31),Austritt)),0,VLOOKUP(TEXT(AJ21,"TTT"),Stammdaten!$B$20:$F$26,5,FALSE)-IF(ISERROR(VLOOKUP(AJ21,Stammdaten!$I$9:$J$26,2,FALSE)),0,SUMIFS(Stammdaten!$J$9:$J$26,Stammdaten!$I$9:$I$26,AJ21)/24)))</f>
        <v>0</v>
      </c>
      <c r="AM21" s="37">
        <v>17</v>
      </c>
      <c r="AP21" s="8"/>
      <c r="AQ21" s="8"/>
      <c r="AR21" s="8"/>
      <c r="AS21" s="8"/>
    </row>
    <row r="22" spans="1:45" x14ac:dyDescent="0.3">
      <c r="A22" s="33"/>
      <c r="B22" s="37">
        <v>18</v>
      </c>
      <c r="C22" s="36">
        <f t="shared" si="0"/>
        <v>45675</v>
      </c>
      <c r="D22" s="34">
        <f ca="1">IF($B22&gt;DAY(EOMONTH(C$4,0)),"",SUMIFS(INDIRECT(TEXT(C22,"MMM")&amp;"!$L$9:$L$999"),INDIRECT(TEXT(C22,"MMM")&amp;"!$B$9:$B$999"),C22)+SUMIFS(Abwesenheit!$J$3:$J$199,Abwesenheit!$D$3:$D$199,C22))</f>
        <v>0</v>
      </c>
      <c r="E22" s="35">
        <f>IF($B22&gt;DAY(EOMONTH(C$4,0)),"",IF(OR(C22&lt;IF(YEAR(Eintritt)&lt;Jahr,DATE(Jahr,1,1),Eintritt),C22&gt;IF(Austritt="",DATE(Jahr,12,31),Austritt)),0,IF(OR(ISERROR(VLOOKUP(C22,Stammdaten!$I$9:$J$26,2,FALSE)),SUMIFS(Stammdaten!$J$9:$J$26,Stammdaten!$I$9:$I$26,C22)=0),VLOOKUP(TEXT(C22,"TTT"),Stammdaten!$B$20:$F$26,5,FALSE),0)))</f>
        <v>0</v>
      </c>
      <c r="F22" s="36">
        <f t="shared" si="1"/>
        <v>45706</v>
      </c>
      <c r="G22" s="34">
        <f ca="1">IF($B22&gt;DAY(EOMONTH(F$4,0)),"",SUMIFS(INDIRECT(TEXT(F22,"MMM")&amp;"!$L$9:$L$999"),INDIRECT(TEXT(F22,"MMM")&amp;"!$B$9:$B$999"),F22)+SUMIFS(Abwesenheit!$J$3:$J$199,Abwesenheit!$D$3:$D$199,F22))</f>
        <v>0</v>
      </c>
      <c r="H22" s="35">
        <f>IF($B22&gt;DAY(EOMONTH(F$4,0)),"",IF(OR(F22&lt;IF(YEAR(Eintritt)&lt;Jahr,DATE(Jahr,1,1),Eintritt),F22&gt;IF(Austritt="",DATE(Jahr,12,31),Austritt)),0,IF(OR(ISERROR(VLOOKUP(F22,Stammdaten!$I$9:$J$26,2,FALSE)),SUMIFS(Stammdaten!$J$9:$J$26,Stammdaten!$I$9:$I$26,F22)=0),VLOOKUP(TEXT(F22,"TTT"),Stammdaten!$B$20:$F$26,5,FALSE),0)))</f>
        <v>0</v>
      </c>
      <c r="I22" s="36">
        <f t="shared" si="2"/>
        <v>45734</v>
      </c>
      <c r="J22" s="34">
        <f ca="1">IF($B22&gt;DAY(EOMONTH(I$4,0)),"",SUMIFS(INDIRECT(TEXT(I22,"MMM")&amp;"!$L$9:$L$999"),INDIRECT(TEXT(I22,"MMM")&amp;"!$B$9:$B$999"),I22)+SUMIFS(Abwesenheit!$J$3:$J$199,Abwesenheit!$D$3:$D$199,I22))</f>
        <v>0</v>
      </c>
      <c r="K22" s="35">
        <f>IF($B22&gt;DAY(EOMONTH(I$4,0)),"",IF(OR(I22&lt;IF(YEAR(Eintritt)&lt;Jahr,DATE(Jahr,1,1),Eintritt),I22&gt;IF(Austritt="",DATE(Jahr,12,31),Austritt)),0,IF(OR(ISERROR(VLOOKUP(I22,Stammdaten!$I$9:$J$26,2,FALSE)),SUMIFS(Stammdaten!$J$9:$J$26,Stammdaten!$I$9:$I$26,I22)=0),VLOOKUP(TEXT(I22,"TTT"),Stammdaten!$B$20:$F$26,5,FALSE),0)))</f>
        <v>0</v>
      </c>
      <c r="L22" s="36">
        <f t="shared" si="3"/>
        <v>45765</v>
      </c>
      <c r="M22" s="34">
        <f ca="1">IF($B22&gt;DAY(EOMONTH(L$4,0)),"",SUMIFS(INDIRECT(TEXT(L22,"MMM")&amp;"!$L$9:$L$999"),INDIRECT(TEXT(L22,"MMM")&amp;"!$B$9:$B$999"),L22)+SUMIFS(Abwesenheit!$J$3:$J$199,Abwesenheit!$D$3:$D$199,L22))</f>
        <v>0</v>
      </c>
      <c r="N22" s="35">
        <f>IF($B22&gt;DAY(EOMONTH(L$4,0)),"",IF(OR(L22&lt;IF(YEAR(Eintritt)&lt;Jahr,DATE(Jahr,1,1),Eintritt),L22&gt;IF(Austritt="",DATE(Jahr,12,31),Austritt)),0,IF(OR(ISERROR(VLOOKUP(L22,Stammdaten!$I$9:$J$26,2,FALSE)),SUMIFS(Stammdaten!$J$9:$J$26,Stammdaten!$I$9:$I$26,L22)=0),VLOOKUP(TEXT(L22,"TTT"),Stammdaten!$B$20:$F$26,5,FALSE),0)))</f>
        <v>0</v>
      </c>
      <c r="O22" s="36">
        <f t="shared" si="4"/>
        <v>45795</v>
      </c>
      <c r="P22" s="34">
        <f ca="1">IF($B22&gt;DAY(EOMONTH(O$4,0)),"",SUMIFS(INDIRECT(TEXT(O22,"MMM")&amp;"!$L$9:$L$999"),INDIRECT(TEXT(O22,"MMM")&amp;"!$B$9:$B$999"),O22)+SUMIFS(Abwesenheit!$J$3:$J$199,Abwesenheit!$D$3:$D$199,O22))</f>
        <v>0</v>
      </c>
      <c r="Q22" s="35">
        <f>IF($B22&gt;DAY(EOMONTH(O$4,0)),"",IF(OR(O22&lt;IF(YEAR(Eintritt)&lt;Jahr,DATE(Jahr,1,1),Eintritt),O22&gt;IF(Austritt="",DATE(Jahr,12,31),Austritt)),0,IF(OR(ISERROR(VLOOKUP(O22,Stammdaten!$I$9:$J$26,2,FALSE)),SUMIFS(Stammdaten!$J$9:$J$26,Stammdaten!$I$9:$I$26,O22)=0),VLOOKUP(TEXT(O22,"TTT"),Stammdaten!$B$20:$F$26,5,FALSE),0)))</f>
        <v>0</v>
      </c>
      <c r="R22" s="36">
        <f t="shared" si="5"/>
        <v>45826</v>
      </c>
      <c r="S22" s="34">
        <f ca="1">IF($B22&gt;DAY(EOMONTH(R$4,0)),"",SUMIFS(INDIRECT(TEXT(R22,"MMM")&amp;"!$L$9:$L$999"),INDIRECT(TEXT(R22,"MMM")&amp;"!$B$9:$B$999"),R22)+SUMIFS(Abwesenheit!$J$3:$J$199,Abwesenheit!$D$3:$D$199,R22))</f>
        <v>0</v>
      </c>
      <c r="T22" s="35">
        <f>IF($B22&gt;DAY(EOMONTH(R$4,0)),"",IF(OR(R22&lt;IF(YEAR(Eintritt)&lt;Jahr,DATE(Jahr,1,1),Eintritt),R22&gt;IF(Austritt="",DATE(Jahr,12,31),Austritt)),0,IF(OR(ISERROR(VLOOKUP(R22,Stammdaten!$I$9:$J$26,2,FALSE)),SUMIFS(Stammdaten!$J$9:$J$26,Stammdaten!$I$9:$I$26,R22)=0),VLOOKUP(TEXT(R22,"TTT"),Stammdaten!$B$20:$F$26,5,FALSE),0)))</f>
        <v>0</v>
      </c>
      <c r="U22" s="36">
        <f t="shared" si="6"/>
        <v>45856</v>
      </c>
      <c r="V22" s="34">
        <f ca="1">IF($B22&gt;DAY(EOMONTH(U$4,0)),"",SUMIFS(INDIRECT(TEXT(U22,"MMM")&amp;"!$L$9:$L$999"),INDIRECT(TEXT(U22,"MMM")&amp;"!$B$9:$B$999"),U22)+SUMIFS(Abwesenheit!$J$3:$J$199,Abwesenheit!$D$3:$D$199,U22))</f>
        <v>0</v>
      </c>
      <c r="W22" s="35">
        <f>IF($B22&gt;DAY(EOMONTH(U$4,0)),"",IF(OR(U22&lt;IF(YEAR(Eintritt)&lt;Jahr,DATE(Jahr,1,1),Eintritt),U22&gt;IF(Austritt="",DATE(Jahr,12,31),Austritt)),0,IF(OR(ISERROR(VLOOKUP(U22,Stammdaten!$I$9:$J$26,2,FALSE)),SUMIFS(Stammdaten!$J$9:$J$26,Stammdaten!$I$9:$I$26,U22)=0),VLOOKUP(TEXT(U22,"TTT"),Stammdaten!$B$20:$F$26,5,FALSE),0)))</f>
        <v>0.33333333333333337</v>
      </c>
      <c r="X22" s="36">
        <f t="shared" si="7"/>
        <v>45887</v>
      </c>
      <c r="Y22" s="34">
        <f ca="1">IF($B22&gt;DAY(EOMONTH(X$4,0)),"",SUMIFS(INDIRECT(TEXT(X22,"MMM")&amp;"!$L$9:$L$999"),INDIRECT(TEXT(X22,"MMM")&amp;"!$B$9:$B$999"),X22)+SUMIFS(Abwesenheit!$J$3:$J$199,Abwesenheit!$D$3:$D$199,X22))</f>
        <v>0</v>
      </c>
      <c r="Z22" s="35">
        <f>IF($B22&gt;DAY(EOMONTH(X$4,0)),"",IF(OR(X22&lt;IF(YEAR(Eintritt)&lt;Jahr,DATE(Jahr,1,1),Eintritt),X22&gt;IF(Austritt="",DATE(Jahr,12,31),Austritt)),0,IF(OR(ISERROR(VLOOKUP(X22,Stammdaten!$I$9:$J$26,2,FALSE)),SUMIFS(Stammdaten!$J$9:$J$26,Stammdaten!$I$9:$I$26,X22)=0),VLOOKUP(TEXT(X22,"TTT"),Stammdaten!$B$20:$F$26,5,FALSE),0)))</f>
        <v>0</v>
      </c>
      <c r="AA22" s="36">
        <f t="shared" si="8"/>
        <v>45918</v>
      </c>
      <c r="AB22" s="34">
        <f ca="1">IF($B22&gt;DAY(EOMONTH(AA$4,0)),"",SUMIFS(INDIRECT(TEXT(AA22,"MMM")&amp;"!$L$9:$L$999"),INDIRECT(TEXT(AA22,"MMM")&amp;"!$B$9:$B$999"),AA22)+SUMIFS(Abwesenheit!$J$3:$J$199,Abwesenheit!$D$3:$D$199,AA22))</f>
        <v>0</v>
      </c>
      <c r="AC22" s="35">
        <f>IF($B22&gt;DAY(EOMONTH(AA$4,0)),"",IF(OR(AA22&lt;IF(YEAR(Eintritt)&lt;Jahr,DATE(Jahr,1,1),Eintritt),AA22&gt;IF(Austritt="",DATE(Jahr,12,31),Austritt)),0,IF(OR(ISERROR(VLOOKUP(AA22,Stammdaten!$I$9:$J$26,2,FALSE)),SUMIFS(Stammdaten!$J$9:$J$26,Stammdaten!$I$9:$I$26,AA22)=0),VLOOKUP(TEXT(AA22,"TTT"),Stammdaten!$B$20:$F$26,5,FALSE),0)))</f>
        <v>0</v>
      </c>
      <c r="AD22" s="36">
        <f t="shared" si="9"/>
        <v>45948</v>
      </c>
      <c r="AE22" s="34">
        <f ca="1">IF($B22&gt;DAY(EOMONTH(AD$4,0)),"",SUMIFS(INDIRECT(TEXT(AD22,"MMM")&amp;"!$L$9:$L$999"),INDIRECT(TEXT(AD22,"MMM")&amp;"!$B$9:$B$999"),AD22)+SUMIFS(Abwesenheit!$J$3:$J$199,Abwesenheit!$D$3:$D$199,AD22))</f>
        <v>0</v>
      </c>
      <c r="AF22" s="35">
        <f>IF($B22&gt;DAY(EOMONTH(AD$4,0)),"",IF(OR(AD22&lt;IF(YEAR(Eintritt)&lt;Jahr,DATE(Jahr,1,1),Eintritt),AD22&gt;IF(Austritt="",DATE(Jahr,12,31),Austritt)),0,IF(OR(ISERROR(VLOOKUP(AD22,Stammdaten!$I$9:$J$26,2,FALSE)),SUMIFS(Stammdaten!$J$9:$J$26,Stammdaten!$I$9:$I$26,AD22)=0),VLOOKUP(TEXT(AD22,"TTT"),Stammdaten!$B$20:$F$26,5,FALSE),0)))</f>
        <v>0</v>
      </c>
      <c r="AG22" s="36">
        <f t="shared" si="10"/>
        <v>45979</v>
      </c>
      <c r="AH22" s="34">
        <f ca="1">IF($B22&gt;DAY(EOMONTH(AG$4,0)),"",SUMIFS(INDIRECT(TEXT(AG22,"MMM")&amp;"!$L$9:$L$999"),INDIRECT(TEXT(AG22,"MMM")&amp;"!$B$9:$B$999"),AG22)+SUMIFS(Abwesenheit!$J$3:$J$199,Abwesenheit!$D$3:$D$199,AG22))</f>
        <v>0</v>
      </c>
      <c r="AI22" s="35">
        <f>IF($B22&gt;DAY(EOMONTH(AG$4,0)),"",IF(OR(AG22&lt;IF(YEAR(Eintritt)&lt;Jahr,DATE(Jahr,1,1),Eintritt),AG22&gt;IF(Austritt="",DATE(Jahr,12,31),Austritt)),0,IF(OR(ISERROR(VLOOKUP(AG22,Stammdaten!$I$9:$J$26,2,FALSE)),SUMIFS(Stammdaten!$J$9:$J$26,Stammdaten!$I$9:$I$26,AG22)=0),VLOOKUP(TEXT(AG22,"TTT"),Stammdaten!$B$20:$F$26,5,FALSE),0)))</f>
        <v>0</v>
      </c>
      <c r="AJ22" s="36">
        <f t="shared" si="11"/>
        <v>46009</v>
      </c>
      <c r="AK22" s="34">
        <f ca="1">IF($B22&gt;DAY(EOMONTH(AJ$4,0)),"",SUMIFS(INDIRECT(TEXT(AJ22,"MMM")&amp;"!$L$9:$L$999"),INDIRECT(TEXT(AJ22,"MMM")&amp;"!$B$9:$B$999"),AJ22)+SUMIFS(Abwesenheit!$J$3:$J$199,Abwesenheit!$D$3:$D$199,AJ22))</f>
        <v>0</v>
      </c>
      <c r="AL22" s="35">
        <f>IF($B22&gt;DAY(EOMONTH(AJ$4,0)),"",IF(OR(AJ22&lt;IF(YEAR(Eintritt)&lt;Jahr,DATE(Jahr,1,1),Eintritt),AJ22&gt;IF(Austritt="",DATE(Jahr,12,31),Austritt)),0,VLOOKUP(TEXT(AJ22,"TTT"),Stammdaten!$B$20:$F$26,5,FALSE)-IF(ISERROR(VLOOKUP(AJ22,Stammdaten!$I$9:$J$26,2,FALSE)),0,SUMIFS(Stammdaten!$J$9:$J$26,Stammdaten!$I$9:$I$26,AJ22)/24)))</f>
        <v>0</v>
      </c>
      <c r="AM22" s="37">
        <v>18</v>
      </c>
      <c r="AP22" s="8"/>
      <c r="AQ22" s="8"/>
      <c r="AR22" s="8"/>
      <c r="AS22" s="8"/>
    </row>
    <row r="23" spans="1:45" x14ac:dyDescent="0.3">
      <c r="A23" s="33"/>
      <c r="B23" s="37">
        <v>19</v>
      </c>
      <c r="C23" s="36">
        <f t="shared" si="0"/>
        <v>45676</v>
      </c>
      <c r="D23" s="34">
        <f ca="1">IF($B23&gt;DAY(EOMONTH(C$4,0)),"",SUMIFS(INDIRECT(TEXT(C23,"MMM")&amp;"!$L$9:$L$999"),INDIRECT(TEXT(C23,"MMM")&amp;"!$B$9:$B$999"),C23)+SUMIFS(Abwesenheit!$J$3:$J$199,Abwesenheit!$D$3:$D$199,C23))</f>
        <v>0</v>
      </c>
      <c r="E23" s="35">
        <f>IF($B23&gt;DAY(EOMONTH(C$4,0)),"",IF(OR(C23&lt;IF(YEAR(Eintritt)&lt;Jahr,DATE(Jahr,1,1),Eintritt),C23&gt;IF(Austritt="",DATE(Jahr,12,31),Austritt)),0,IF(OR(ISERROR(VLOOKUP(C23,Stammdaten!$I$9:$J$26,2,FALSE)),SUMIFS(Stammdaten!$J$9:$J$26,Stammdaten!$I$9:$I$26,C23)=0),VLOOKUP(TEXT(C23,"TTT"),Stammdaten!$B$20:$F$26,5,FALSE),0)))</f>
        <v>0</v>
      </c>
      <c r="F23" s="36">
        <f t="shared" si="1"/>
        <v>45707</v>
      </c>
      <c r="G23" s="34">
        <f ca="1">IF($B23&gt;DAY(EOMONTH(F$4,0)),"",SUMIFS(INDIRECT(TEXT(F23,"MMM")&amp;"!$L$9:$L$999"),INDIRECT(TEXT(F23,"MMM")&amp;"!$B$9:$B$999"),F23)+SUMIFS(Abwesenheit!$J$3:$J$199,Abwesenheit!$D$3:$D$199,F23))</f>
        <v>0</v>
      </c>
      <c r="H23" s="35">
        <f>IF($B23&gt;DAY(EOMONTH(F$4,0)),"",IF(OR(F23&lt;IF(YEAR(Eintritt)&lt;Jahr,DATE(Jahr,1,1),Eintritt),F23&gt;IF(Austritt="",DATE(Jahr,12,31),Austritt)),0,IF(OR(ISERROR(VLOOKUP(F23,Stammdaten!$I$9:$J$26,2,FALSE)),SUMIFS(Stammdaten!$J$9:$J$26,Stammdaten!$I$9:$I$26,F23)=0),VLOOKUP(TEXT(F23,"TTT"),Stammdaten!$B$20:$F$26,5,FALSE),0)))</f>
        <v>0</v>
      </c>
      <c r="I23" s="36">
        <f t="shared" si="2"/>
        <v>45735</v>
      </c>
      <c r="J23" s="34">
        <f ca="1">IF($B23&gt;DAY(EOMONTH(I$4,0)),"",SUMIFS(INDIRECT(TEXT(I23,"MMM")&amp;"!$L$9:$L$999"),INDIRECT(TEXT(I23,"MMM")&amp;"!$B$9:$B$999"),I23)+SUMIFS(Abwesenheit!$J$3:$J$199,Abwesenheit!$D$3:$D$199,I23))</f>
        <v>0</v>
      </c>
      <c r="K23" s="35">
        <f>IF($B23&gt;DAY(EOMONTH(I$4,0)),"",IF(OR(I23&lt;IF(YEAR(Eintritt)&lt;Jahr,DATE(Jahr,1,1),Eintritt),I23&gt;IF(Austritt="",DATE(Jahr,12,31),Austritt)),0,IF(OR(ISERROR(VLOOKUP(I23,Stammdaten!$I$9:$J$26,2,FALSE)),SUMIFS(Stammdaten!$J$9:$J$26,Stammdaten!$I$9:$I$26,I23)=0),VLOOKUP(TEXT(I23,"TTT"),Stammdaten!$B$20:$F$26,5,FALSE),0)))</f>
        <v>0</v>
      </c>
      <c r="L23" s="36">
        <f t="shared" si="3"/>
        <v>45766</v>
      </c>
      <c r="M23" s="34">
        <f ca="1">IF($B23&gt;DAY(EOMONTH(L$4,0)),"",SUMIFS(INDIRECT(TEXT(L23,"MMM")&amp;"!$L$9:$L$999"),INDIRECT(TEXT(L23,"MMM")&amp;"!$B$9:$B$999"),L23)+SUMIFS(Abwesenheit!$J$3:$J$199,Abwesenheit!$D$3:$D$199,L23))</f>
        <v>0</v>
      </c>
      <c r="N23" s="35">
        <f>IF($B23&gt;DAY(EOMONTH(L$4,0)),"",IF(OR(L23&lt;IF(YEAR(Eintritt)&lt;Jahr,DATE(Jahr,1,1),Eintritt),L23&gt;IF(Austritt="",DATE(Jahr,12,31),Austritt)),0,IF(OR(ISERROR(VLOOKUP(L23,Stammdaten!$I$9:$J$26,2,FALSE)),SUMIFS(Stammdaten!$J$9:$J$26,Stammdaten!$I$9:$I$26,L23)=0),VLOOKUP(TEXT(L23,"TTT"),Stammdaten!$B$20:$F$26,5,FALSE),0)))</f>
        <v>0</v>
      </c>
      <c r="O23" s="36">
        <f t="shared" si="4"/>
        <v>45796</v>
      </c>
      <c r="P23" s="34">
        <f ca="1">IF($B23&gt;DAY(EOMONTH(O$4,0)),"",SUMIFS(INDIRECT(TEXT(O23,"MMM")&amp;"!$L$9:$L$999"),INDIRECT(TEXT(O23,"MMM")&amp;"!$B$9:$B$999"),O23)+SUMIFS(Abwesenheit!$J$3:$J$199,Abwesenheit!$D$3:$D$199,O23))</f>
        <v>0</v>
      </c>
      <c r="Q23" s="35">
        <f>IF($B23&gt;DAY(EOMONTH(O$4,0)),"",IF(OR(O23&lt;IF(YEAR(Eintritt)&lt;Jahr,DATE(Jahr,1,1),Eintritt),O23&gt;IF(Austritt="",DATE(Jahr,12,31),Austritt)),0,IF(OR(ISERROR(VLOOKUP(O23,Stammdaten!$I$9:$J$26,2,FALSE)),SUMIFS(Stammdaten!$J$9:$J$26,Stammdaten!$I$9:$I$26,O23)=0),VLOOKUP(TEXT(O23,"TTT"),Stammdaten!$B$20:$F$26,5,FALSE),0)))</f>
        <v>0</v>
      </c>
      <c r="R23" s="36">
        <f t="shared" si="5"/>
        <v>45827</v>
      </c>
      <c r="S23" s="34">
        <f ca="1">IF($B23&gt;DAY(EOMONTH(R$4,0)),"",SUMIFS(INDIRECT(TEXT(R23,"MMM")&amp;"!$L$9:$L$999"),INDIRECT(TEXT(R23,"MMM")&amp;"!$B$9:$B$999"),R23)+SUMIFS(Abwesenheit!$J$3:$J$199,Abwesenheit!$D$3:$D$199,R23))</f>
        <v>0</v>
      </c>
      <c r="T23" s="35">
        <f>IF($B23&gt;DAY(EOMONTH(R$4,0)),"",IF(OR(R23&lt;IF(YEAR(Eintritt)&lt;Jahr,DATE(Jahr,1,1),Eintritt),R23&gt;IF(Austritt="",DATE(Jahr,12,31),Austritt)),0,IF(OR(ISERROR(VLOOKUP(R23,Stammdaten!$I$9:$J$26,2,FALSE)),SUMIFS(Stammdaten!$J$9:$J$26,Stammdaten!$I$9:$I$26,R23)=0),VLOOKUP(TEXT(R23,"TTT"),Stammdaten!$B$20:$F$26,5,FALSE),0)))</f>
        <v>0</v>
      </c>
      <c r="U23" s="36">
        <f t="shared" si="6"/>
        <v>45857</v>
      </c>
      <c r="V23" s="34">
        <f ca="1">IF($B23&gt;DAY(EOMONTH(U$4,0)),"",SUMIFS(INDIRECT(TEXT(U23,"MMM")&amp;"!$L$9:$L$999"),INDIRECT(TEXT(U23,"MMM")&amp;"!$B$9:$B$999"),U23)+SUMIFS(Abwesenheit!$J$3:$J$199,Abwesenheit!$D$3:$D$199,U23))</f>
        <v>0</v>
      </c>
      <c r="W23" s="35">
        <f>IF($B23&gt;DAY(EOMONTH(U$4,0)),"",IF(OR(U23&lt;IF(YEAR(Eintritt)&lt;Jahr,DATE(Jahr,1,1),Eintritt),U23&gt;IF(Austritt="",DATE(Jahr,12,31),Austritt)),0,IF(OR(ISERROR(VLOOKUP(U23,Stammdaten!$I$9:$J$26,2,FALSE)),SUMIFS(Stammdaten!$J$9:$J$26,Stammdaten!$I$9:$I$26,U23)=0),VLOOKUP(TEXT(U23,"TTT"),Stammdaten!$B$20:$F$26,5,FALSE),0)))</f>
        <v>0</v>
      </c>
      <c r="X23" s="36">
        <f t="shared" si="7"/>
        <v>45888</v>
      </c>
      <c r="Y23" s="34">
        <f ca="1">IF($B23&gt;DAY(EOMONTH(X$4,0)),"",SUMIFS(INDIRECT(TEXT(X23,"MMM")&amp;"!$L$9:$L$999"),INDIRECT(TEXT(X23,"MMM")&amp;"!$B$9:$B$999"),X23)+SUMIFS(Abwesenheit!$J$3:$J$199,Abwesenheit!$D$3:$D$199,X23))</f>
        <v>0</v>
      </c>
      <c r="Z23" s="35">
        <f>IF($B23&gt;DAY(EOMONTH(X$4,0)),"",IF(OR(X23&lt;IF(YEAR(Eintritt)&lt;Jahr,DATE(Jahr,1,1),Eintritt),X23&gt;IF(Austritt="",DATE(Jahr,12,31),Austritt)),0,IF(OR(ISERROR(VLOOKUP(X23,Stammdaten!$I$9:$J$26,2,FALSE)),SUMIFS(Stammdaten!$J$9:$J$26,Stammdaten!$I$9:$I$26,X23)=0),VLOOKUP(TEXT(X23,"TTT"),Stammdaten!$B$20:$F$26,5,FALSE),0)))</f>
        <v>0</v>
      </c>
      <c r="AA23" s="36">
        <f t="shared" si="8"/>
        <v>45919</v>
      </c>
      <c r="AB23" s="34">
        <f ca="1">IF($B23&gt;DAY(EOMONTH(AA$4,0)),"",SUMIFS(INDIRECT(TEXT(AA23,"MMM")&amp;"!$L$9:$L$999"),INDIRECT(TEXT(AA23,"MMM")&amp;"!$B$9:$B$999"),AA23)+SUMIFS(Abwesenheit!$J$3:$J$199,Abwesenheit!$D$3:$D$199,AA23))</f>
        <v>0</v>
      </c>
      <c r="AC23" s="35">
        <f>IF($B23&gt;DAY(EOMONTH(AA$4,0)),"",IF(OR(AA23&lt;IF(YEAR(Eintritt)&lt;Jahr,DATE(Jahr,1,1),Eintritt),AA23&gt;IF(Austritt="",DATE(Jahr,12,31),Austritt)),0,IF(OR(ISERROR(VLOOKUP(AA23,Stammdaten!$I$9:$J$26,2,FALSE)),SUMIFS(Stammdaten!$J$9:$J$26,Stammdaten!$I$9:$I$26,AA23)=0),VLOOKUP(TEXT(AA23,"TTT"),Stammdaten!$B$20:$F$26,5,FALSE),0)))</f>
        <v>0</v>
      </c>
      <c r="AD23" s="36">
        <f t="shared" si="9"/>
        <v>45949</v>
      </c>
      <c r="AE23" s="34">
        <f ca="1">IF($B23&gt;DAY(EOMONTH(AD$4,0)),"",SUMIFS(INDIRECT(TEXT(AD23,"MMM")&amp;"!$L$9:$L$999"),INDIRECT(TEXT(AD23,"MMM")&amp;"!$B$9:$B$999"),AD23)+SUMIFS(Abwesenheit!$J$3:$J$199,Abwesenheit!$D$3:$D$199,AD23))</f>
        <v>0</v>
      </c>
      <c r="AF23" s="35">
        <f>IF($B23&gt;DAY(EOMONTH(AD$4,0)),"",IF(OR(AD23&lt;IF(YEAR(Eintritt)&lt;Jahr,DATE(Jahr,1,1),Eintritt),AD23&gt;IF(Austritt="",DATE(Jahr,12,31),Austritt)),0,IF(OR(ISERROR(VLOOKUP(AD23,Stammdaten!$I$9:$J$26,2,FALSE)),SUMIFS(Stammdaten!$J$9:$J$26,Stammdaten!$I$9:$I$26,AD23)=0),VLOOKUP(TEXT(AD23,"TTT"),Stammdaten!$B$20:$F$26,5,FALSE),0)))</f>
        <v>0</v>
      </c>
      <c r="AG23" s="36">
        <f t="shared" si="10"/>
        <v>45980</v>
      </c>
      <c r="AH23" s="34">
        <f ca="1">IF($B23&gt;DAY(EOMONTH(AG$4,0)),"",SUMIFS(INDIRECT(TEXT(AG23,"MMM")&amp;"!$L$9:$L$999"),INDIRECT(TEXT(AG23,"MMM")&amp;"!$B$9:$B$999"),AG23)+SUMIFS(Abwesenheit!$J$3:$J$199,Abwesenheit!$D$3:$D$199,AG23))</f>
        <v>0</v>
      </c>
      <c r="AI23" s="35">
        <f>IF($B23&gt;DAY(EOMONTH(AG$4,0)),"",IF(OR(AG23&lt;IF(YEAR(Eintritt)&lt;Jahr,DATE(Jahr,1,1),Eintritt),AG23&gt;IF(Austritt="",DATE(Jahr,12,31),Austritt)),0,IF(OR(ISERROR(VLOOKUP(AG23,Stammdaten!$I$9:$J$26,2,FALSE)),SUMIFS(Stammdaten!$J$9:$J$26,Stammdaten!$I$9:$I$26,AG23)=0),VLOOKUP(TEXT(AG23,"TTT"),Stammdaten!$B$20:$F$26,5,FALSE),0)))</f>
        <v>0</v>
      </c>
      <c r="AJ23" s="36">
        <f t="shared" si="11"/>
        <v>46010</v>
      </c>
      <c r="AK23" s="34">
        <f ca="1">IF($B23&gt;DAY(EOMONTH(AJ$4,0)),"",SUMIFS(INDIRECT(TEXT(AJ23,"MMM")&amp;"!$L$9:$L$999"),INDIRECT(TEXT(AJ23,"MMM")&amp;"!$B$9:$B$999"),AJ23)+SUMIFS(Abwesenheit!$J$3:$J$199,Abwesenheit!$D$3:$D$199,AJ23))</f>
        <v>0</v>
      </c>
      <c r="AL23" s="35">
        <f>IF($B23&gt;DAY(EOMONTH(AJ$4,0)),"",IF(OR(AJ23&lt;IF(YEAR(Eintritt)&lt;Jahr,DATE(Jahr,1,1),Eintritt),AJ23&gt;IF(Austritt="",DATE(Jahr,12,31),Austritt)),0,VLOOKUP(TEXT(AJ23,"TTT"),Stammdaten!$B$20:$F$26,5,FALSE)-IF(ISERROR(VLOOKUP(AJ23,Stammdaten!$I$9:$J$26,2,FALSE)),0,SUMIFS(Stammdaten!$J$9:$J$26,Stammdaten!$I$9:$I$26,AJ23)/24)))</f>
        <v>0</v>
      </c>
      <c r="AM23" s="37">
        <v>19</v>
      </c>
      <c r="AP23" s="8"/>
      <c r="AQ23" s="8"/>
      <c r="AR23" s="8"/>
      <c r="AS23" s="8"/>
    </row>
    <row r="24" spans="1:45" x14ac:dyDescent="0.3">
      <c r="A24" s="33"/>
      <c r="B24" s="37">
        <v>20</v>
      </c>
      <c r="C24" s="36">
        <f t="shared" si="0"/>
        <v>45677</v>
      </c>
      <c r="D24" s="34">
        <f ca="1">IF($B24&gt;DAY(EOMONTH(C$4,0)),"",SUMIFS(INDIRECT(TEXT(C24,"MMM")&amp;"!$L$9:$L$999"),INDIRECT(TEXT(C24,"MMM")&amp;"!$B$9:$B$999"),C24)+SUMIFS(Abwesenheit!$J$3:$J$199,Abwesenheit!$D$3:$D$199,C24))</f>
        <v>0</v>
      </c>
      <c r="E24" s="35">
        <f>IF($B24&gt;DAY(EOMONTH(C$4,0)),"",IF(OR(C24&lt;IF(YEAR(Eintritt)&lt;Jahr,DATE(Jahr,1,1),Eintritt),C24&gt;IF(Austritt="",DATE(Jahr,12,31),Austritt)),0,IF(OR(ISERROR(VLOOKUP(C24,Stammdaten!$I$9:$J$26,2,FALSE)),SUMIFS(Stammdaten!$J$9:$J$26,Stammdaten!$I$9:$I$26,C24)=0),VLOOKUP(TEXT(C24,"TTT"),Stammdaten!$B$20:$F$26,5,FALSE),0)))</f>
        <v>0</v>
      </c>
      <c r="F24" s="36">
        <f t="shared" si="1"/>
        <v>45708</v>
      </c>
      <c r="G24" s="34">
        <f ca="1">IF($B24&gt;DAY(EOMONTH(F$4,0)),"",SUMIFS(INDIRECT(TEXT(F24,"MMM")&amp;"!$L$9:$L$999"),INDIRECT(TEXT(F24,"MMM")&amp;"!$B$9:$B$999"),F24)+SUMIFS(Abwesenheit!$J$3:$J$199,Abwesenheit!$D$3:$D$199,F24))</f>
        <v>0</v>
      </c>
      <c r="H24" s="35">
        <f>IF($B24&gt;DAY(EOMONTH(F$4,0)),"",IF(OR(F24&lt;IF(YEAR(Eintritt)&lt;Jahr,DATE(Jahr,1,1),Eintritt),F24&gt;IF(Austritt="",DATE(Jahr,12,31),Austritt)),0,IF(OR(ISERROR(VLOOKUP(F24,Stammdaten!$I$9:$J$26,2,FALSE)),SUMIFS(Stammdaten!$J$9:$J$26,Stammdaten!$I$9:$I$26,F24)=0),VLOOKUP(TEXT(F24,"TTT"),Stammdaten!$B$20:$F$26,5,FALSE),0)))</f>
        <v>0</v>
      </c>
      <c r="I24" s="36">
        <f t="shared" si="2"/>
        <v>45736</v>
      </c>
      <c r="J24" s="34">
        <f ca="1">IF($B24&gt;DAY(EOMONTH(I$4,0)),"",SUMIFS(INDIRECT(TEXT(I24,"MMM")&amp;"!$L$9:$L$999"),INDIRECT(TEXT(I24,"MMM")&amp;"!$B$9:$B$999"),I24)+SUMIFS(Abwesenheit!$J$3:$J$199,Abwesenheit!$D$3:$D$199,I24))</f>
        <v>0</v>
      </c>
      <c r="K24" s="35">
        <f>IF($B24&gt;DAY(EOMONTH(I$4,0)),"",IF(OR(I24&lt;IF(YEAR(Eintritt)&lt;Jahr,DATE(Jahr,1,1),Eintritt),I24&gt;IF(Austritt="",DATE(Jahr,12,31),Austritt)),0,IF(OR(ISERROR(VLOOKUP(I24,Stammdaten!$I$9:$J$26,2,FALSE)),SUMIFS(Stammdaten!$J$9:$J$26,Stammdaten!$I$9:$I$26,I24)=0),VLOOKUP(TEXT(I24,"TTT"),Stammdaten!$B$20:$F$26,5,FALSE),0)))</f>
        <v>0</v>
      </c>
      <c r="L24" s="36">
        <f t="shared" si="3"/>
        <v>45767</v>
      </c>
      <c r="M24" s="34">
        <f ca="1">IF($B24&gt;DAY(EOMONTH(L$4,0)),"",SUMIFS(INDIRECT(TEXT(L24,"MMM")&amp;"!$L$9:$L$999"),INDIRECT(TEXT(L24,"MMM")&amp;"!$B$9:$B$999"),L24)+SUMIFS(Abwesenheit!$J$3:$J$199,Abwesenheit!$D$3:$D$199,L24))</f>
        <v>0</v>
      </c>
      <c r="N24" s="35">
        <f>IF($B24&gt;DAY(EOMONTH(L$4,0)),"",IF(OR(L24&lt;IF(YEAR(Eintritt)&lt;Jahr,DATE(Jahr,1,1),Eintritt),L24&gt;IF(Austritt="",DATE(Jahr,12,31),Austritt)),0,IF(OR(ISERROR(VLOOKUP(L24,Stammdaten!$I$9:$J$26,2,FALSE)),SUMIFS(Stammdaten!$J$9:$J$26,Stammdaten!$I$9:$I$26,L24)=0),VLOOKUP(TEXT(L24,"TTT"),Stammdaten!$B$20:$F$26,5,FALSE),0)))</f>
        <v>0</v>
      </c>
      <c r="O24" s="36">
        <f t="shared" si="4"/>
        <v>45797</v>
      </c>
      <c r="P24" s="34">
        <f ca="1">IF($B24&gt;DAY(EOMONTH(O$4,0)),"",SUMIFS(INDIRECT(TEXT(O24,"MMM")&amp;"!$L$9:$L$999"),INDIRECT(TEXT(O24,"MMM")&amp;"!$B$9:$B$999"),O24)+SUMIFS(Abwesenheit!$J$3:$J$199,Abwesenheit!$D$3:$D$199,O24))</f>
        <v>0</v>
      </c>
      <c r="Q24" s="35">
        <f>IF($B24&gt;DAY(EOMONTH(O$4,0)),"",IF(OR(O24&lt;IF(YEAR(Eintritt)&lt;Jahr,DATE(Jahr,1,1),Eintritt),O24&gt;IF(Austritt="",DATE(Jahr,12,31),Austritt)),0,IF(OR(ISERROR(VLOOKUP(O24,Stammdaten!$I$9:$J$26,2,FALSE)),SUMIFS(Stammdaten!$J$9:$J$26,Stammdaten!$I$9:$I$26,O24)=0),VLOOKUP(TEXT(O24,"TTT"),Stammdaten!$B$20:$F$26,5,FALSE),0)))</f>
        <v>0</v>
      </c>
      <c r="R24" s="36">
        <f t="shared" si="5"/>
        <v>45828</v>
      </c>
      <c r="S24" s="34">
        <f ca="1">IF($B24&gt;DAY(EOMONTH(R$4,0)),"",SUMIFS(INDIRECT(TEXT(R24,"MMM")&amp;"!$L$9:$L$999"),INDIRECT(TEXT(R24,"MMM")&amp;"!$B$9:$B$999"),R24)+SUMIFS(Abwesenheit!$J$3:$J$199,Abwesenheit!$D$3:$D$199,R24))</f>
        <v>0</v>
      </c>
      <c r="T24" s="35">
        <f>IF($B24&gt;DAY(EOMONTH(R$4,0)),"",IF(OR(R24&lt;IF(YEAR(Eintritt)&lt;Jahr,DATE(Jahr,1,1),Eintritt),R24&gt;IF(Austritt="",DATE(Jahr,12,31),Austritt)),0,IF(OR(ISERROR(VLOOKUP(R24,Stammdaten!$I$9:$J$26,2,FALSE)),SUMIFS(Stammdaten!$J$9:$J$26,Stammdaten!$I$9:$I$26,R24)=0),VLOOKUP(TEXT(R24,"TTT"),Stammdaten!$B$20:$F$26,5,FALSE),0)))</f>
        <v>0</v>
      </c>
      <c r="U24" s="36">
        <f t="shared" si="6"/>
        <v>45858</v>
      </c>
      <c r="V24" s="34">
        <f ca="1">IF($B24&gt;DAY(EOMONTH(U$4,0)),"",SUMIFS(INDIRECT(TEXT(U24,"MMM")&amp;"!$L$9:$L$999"),INDIRECT(TEXT(U24,"MMM")&amp;"!$B$9:$B$999"),U24)+SUMIFS(Abwesenheit!$J$3:$J$199,Abwesenheit!$D$3:$D$199,U24))</f>
        <v>0</v>
      </c>
      <c r="W24" s="35">
        <f>IF($B24&gt;DAY(EOMONTH(U$4,0)),"",IF(OR(U24&lt;IF(YEAR(Eintritt)&lt;Jahr,DATE(Jahr,1,1),Eintritt),U24&gt;IF(Austritt="",DATE(Jahr,12,31),Austritt)),0,IF(OR(ISERROR(VLOOKUP(U24,Stammdaten!$I$9:$J$26,2,FALSE)),SUMIFS(Stammdaten!$J$9:$J$26,Stammdaten!$I$9:$I$26,U24)=0),VLOOKUP(TEXT(U24,"TTT"),Stammdaten!$B$20:$F$26,5,FALSE),0)))</f>
        <v>0</v>
      </c>
      <c r="X24" s="36">
        <f t="shared" si="7"/>
        <v>45889</v>
      </c>
      <c r="Y24" s="34">
        <f ca="1">IF($B24&gt;DAY(EOMONTH(X$4,0)),"",SUMIFS(INDIRECT(TEXT(X24,"MMM")&amp;"!$L$9:$L$999"),INDIRECT(TEXT(X24,"MMM")&amp;"!$B$9:$B$999"),X24)+SUMIFS(Abwesenheit!$J$3:$J$199,Abwesenheit!$D$3:$D$199,X24))</f>
        <v>0</v>
      </c>
      <c r="Z24" s="35">
        <f>IF($B24&gt;DAY(EOMONTH(X$4,0)),"",IF(OR(X24&lt;IF(YEAR(Eintritt)&lt;Jahr,DATE(Jahr,1,1),Eintritt),X24&gt;IF(Austritt="",DATE(Jahr,12,31),Austritt)),0,IF(OR(ISERROR(VLOOKUP(X24,Stammdaten!$I$9:$J$26,2,FALSE)),SUMIFS(Stammdaten!$J$9:$J$26,Stammdaten!$I$9:$I$26,X24)=0),VLOOKUP(TEXT(X24,"TTT"),Stammdaten!$B$20:$F$26,5,FALSE),0)))</f>
        <v>0</v>
      </c>
      <c r="AA24" s="36">
        <f t="shared" si="8"/>
        <v>45920</v>
      </c>
      <c r="AB24" s="34">
        <f ca="1">IF($B24&gt;DAY(EOMONTH(AA$4,0)),"",SUMIFS(INDIRECT(TEXT(AA24,"MMM")&amp;"!$L$9:$L$999"),INDIRECT(TEXT(AA24,"MMM")&amp;"!$B$9:$B$999"),AA24)+SUMIFS(Abwesenheit!$J$3:$J$199,Abwesenheit!$D$3:$D$199,AA24))</f>
        <v>0</v>
      </c>
      <c r="AC24" s="35">
        <f>IF($B24&gt;DAY(EOMONTH(AA$4,0)),"",IF(OR(AA24&lt;IF(YEAR(Eintritt)&lt;Jahr,DATE(Jahr,1,1),Eintritt),AA24&gt;IF(Austritt="",DATE(Jahr,12,31),Austritt)),0,IF(OR(ISERROR(VLOOKUP(AA24,Stammdaten!$I$9:$J$26,2,FALSE)),SUMIFS(Stammdaten!$J$9:$J$26,Stammdaten!$I$9:$I$26,AA24)=0),VLOOKUP(TEXT(AA24,"TTT"),Stammdaten!$B$20:$F$26,5,FALSE),0)))</f>
        <v>0</v>
      </c>
      <c r="AD24" s="36">
        <f t="shared" si="9"/>
        <v>45950</v>
      </c>
      <c r="AE24" s="34">
        <f ca="1">IF($B24&gt;DAY(EOMONTH(AD$4,0)),"",SUMIFS(INDIRECT(TEXT(AD24,"MMM")&amp;"!$L$9:$L$999"),INDIRECT(TEXT(AD24,"MMM")&amp;"!$B$9:$B$999"),AD24)+SUMIFS(Abwesenheit!$J$3:$J$199,Abwesenheit!$D$3:$D$199,AD24))</f>
        <v>0</v>
      </c>
      <c r="AF24" s="35">
        <f>IF($B24&gt;DAY(EOMONTH(AD$4,0)),"",IF(OR(AD24&lt;IF(YEAR(Eintritt)&lt;Jahr,DATE(Jahr,1,1),Eintritt),AD24&gt;IF(Austritt="",DATE(Jahr,12,31),Austritt)),0,IF(OR(ISERROR(VLOOKUP(AD24,Stammdaten!$I$9:$J$26,2,FALSE)),SUMIFS(Stammdaten!$J$9:$J$26,Stammdaten!$I$9:$I$26,AD24)=0),VLOOKUP(TEXT(AD24,"TTT"),Stammdaten!$B$20:$F$26,5,FALSE),0)))</f>
        <v>0</v>
      </c>
      <c r="AG24" s="36">
        <f t="shared" si="10"/>
        <v>45981</v>
      </c>
      <c r="AH24" s="34">
        <f ca="1">IF($B24&gt;DAY(EOMONTH(AG$4,0)),"",SUMIFS(INDIRECT(TEXT(AG24,"MMM")&amp;"!$L$9:$L$999"),INDIRECT(TEXT(AG24,"MMM")&amp;"!$B$9:$B$999"),AG24)+SUMIFS(Abwesenheit!$J$3:$J$199,Abwesenheit!$D$3:$D$199,AG24))</f>
        <v>0</v>
      </c>
      <c r="AI24" s="35">
        <f>IF($B24&gt;DAY(EOMONTH(AG$4,0)),"",IF(OR(AG24&lt;IF(YEAR(Eintritt)&lt;Jahr,DATE(Jahr,1,1),Eintritt),AG24&gt;IF(Austritt="",DATE(Jahr,12,31),Austritt)),0,IF(OR(ISERROR(VLOOKUP(AG24,Stammdaten!$I$9:$J$26,2,FALSE)),SUMIFS(Stammdaten!$J$9:$J$26,Stammdaten!$I$9:$I$26,AG24)=0),VLOOKUP(TEXT(AG24,"TTT"),Stammdaten!$B$20:$F$26,5,FALSE),0)))</f>
        <v>0</v>
      </c>
      <c r="AJ24" s="36">
        <f t="shared" si="11"/>
        <v>46011</v>
      </c>
      <c r="AK24" s="34">
        <f ca="1">IF($B24&gt;DAY(EOMONTH(AJ$4,0)),"",SUMIFS(INDIRECT(TEXT(AJ24,"MMM")&amp;"!$L$9:$L$999"),INDIRECT(TEXT(AJ24,"MMM")&amp;"!$B$9:$B$999"),AJ24)+SUMIFS(Abwesenheit!$J$3:$J$199,Abwesenheit!$D$3:$D$199,AJ24))</f>
        <v>0</v>
      </c>
      <c r="AL24" s="35">
        <f>IF($B24&gt;DAY(EOMONTH(AJ$4,0)),"",IF(OR(AJ24&lt;IF(YEAR(Eintritt)&lt;Jahr,DATE(Jahr,1,1),Eintritt),AJ24&gt;IF(Austritt="",DATE(Jahr,12,31),Austritt)),0,VLOOKUP(TEXT(AJ24,"TTT"),Stammdaten!$B$20:$F$26,5,FALSE)-IF(ISERROR(VLOOKUP(AJ24,Stammdaten!$I$9:$J$26,2,FALSE)),0,SUMIFS(Stammdaten!$J$9:$J$26,Stammdaten!$I$9:$I$26,AJ24)/24)))</f>
        <v>0</v>
      </c>
      <c r="AM24" s="37">
        <v>20</v>
      </c>
      <c r="AP24" s="8"/>
      <c r="AQ24" s="8"/>
      <c r="AR24" s="8"/>
      <c r="AS24" s="8"/>
    </row>
    <row r="25" spans="1:45" x14ac:dyDescent="0.3">
      <c r="A25" s="33"/>
      <c r="B25" s="37">
        <v>21</v>
      </c>
      <c r="C25" s="36">
        <f t="shared" si="0"/>
        <v>45678</v>
      </c>
      <c r="D25" s="34">
        <f ca="1">IF($B25&gt;DAY(EOMONTH(C$4,0)),"",SUMIFS(INDIRECT(TEXT(C25,"MMM")&amp;"!$L$9:$L$999"),INDIRECT(TEXT(C25,"MMM")&amp;"!$B$9:$B$999"),C25)+SUMIFS(Abwesenheit!$J$3:$J$199,Abwesenheit!$D$3:$D$199,C25))</f>
        <v>0</v>
      </c>
      <c r="E25" s="35">
        <f>IF($B25&gt;DAY(EOMONTH(C$4,0)),"",IF(OR(C25&lt;IF(YEAR(Eintritt)&lt;Jahr,DATE(Jahr,1,1),Eintritt),C25&gt;IF(Austritt="",DATE(Jahr,12,31),Austritt)),0,IF(OR(ISERROR(VLOOKUP(C25,Stammdaten!$I$9:$J$26,2,FALSE)),SUMIFS(Stammdaten!$J$9:$J$26,Stammdaten!$I$9:$I$26,C25)=0),VLOOKUP(TEXT(C25,"TTT"),Stammdaten!$B$20:$F$26,5,FALSE),0)))</f>
        <v>0</v>
      </c>
      <c r="F25" s="36">
        <f t="shared" si="1"/>
        <v>45709</v>
      </c>
      <c r="G25" s="34">
        <f ca="1">IF($B25&gt;DAY(EOMONTH(F$4,0)),"",SUMIFS(INDIRECT(TEXT(F25,"MMM")&amp;"!$L$9:$L$999"),INDIRECT(TEXT(F25,"MMM")&amp;"!$B$9:$B$999"),F25)+SUMIFS(Abwesenheit!$J$3:$J$199,Abwesenheit!$D$3:$D$199,F25))</f>
        <v>0</v>
      </c>
      <c r="H25" s="35">
        <f>IF($B25&gt;DAY(EOMONTH(F$4,0)),"",IF(OR(F25&lt;IF(YEAR(Eintritt)&lt;Jahr,DATE(Jahr,1,1),Eintritt),F25&gt;IF(Austritt="",DATE(Jahr,12,31),Austritt)),0,IF(OR(ISERROR(VLOOKUP(F25,Stammdaten!$I$9:$J$26,2,FALSE)),SUMIFS(Stammdaten!$J$9:$J$26,Stammdaten!$I$9:$I$26,F25)=0),VLOOKUP(TEXT(F25,"TTT"),Stammdaten!$B$20:$F$26,5,FALSE),0)))</f>
        <v>0</v>
      </c>
      <c r="I25" s="36">
        <f t="shared" si="2"/>
        <v>45737</v>
      </c>
      <c r="J25" s="34">
        <f ca="1">IF($B25&gt;DAY(EOMONTH(I$4,0)),"",SUMIFS(INDIRECT(TEXT(I25,"MMM")&amp;"!$L$9:$L$999"),INDIRECT(TEXT(I25,"MMM")&amp;"!$B$9:$B$999"),I25)+SUMIFS(Abwesenheit!$J$3:$J$199,Abwesenheit!$D$3:$D$199,I25))</f>
        <v>0</v>
      </c>
      <c r="K25" s="35">
        <f>IF($B25&gt;DAY(EOMONTH(I$4,0)),"",IF(OR(I25&lt;IF(YEAR(Eintritt)&lt;Jahr,DATE(Jahr,1,1),Eintritt),I25&gt;IF(Austritt="",DATE(Jahr,12,31),Austritt)),0,IF(OR(ISERROR(VLOOKUP(I25,Stammdaten!$I$9:$J$26,2,FALSE)),SUMIFS(Stammdaten!$J$9:$J$26,Stammdaten!$I$9:$I$26,I25)=0),VLOOKUP(TEXT(I25,"TTT"),Stammdaten!$B$20:$F$26,5,FALSE),0)))</f>
        <v>0</v>
      </c>
      <c r="L25" s="36">
        <f t="shared" si="3"/>
        <v>45768</v>
      </c>
      <c r="M25" s="34">
        <f ca="1">IF($B25&gt;DAY(EOMONTH(L$4,0)),"",SUMIFS(INDIRECT(TEXT(L25,"MMM")&amp;"!$L$9:$L$999"),INDIRECT(TEXT(L25,"MMM")&amp;"!$B$9:$B$999"),L25)+SUMIFS(Abwesenheit!$J$3:$J$199,Abwesenheit!$D$3:$D$199,L25))</f>
        <v>0</v>
      </c>
      <c r="N25" s="35">
        <f>IF($B25&gt;DAY(EOMONTH(L$4,0)),"",IF(OR(L25&lt;IF(YEAR(Eintritt)&lt;Jahr,DATE(Jahr,1,1),Eintritt),L25&gt;IF(Austritt="",DATE(Jahr,12,31),Austritt)),0,IF(OR(ISERROR(VLOOKUP(L25,Stammdaten!$I$9:$J$26,2,FALSE)),SUMIFS(Stammdaten!$J$9:$J$26,Stammdaten!$I$9:$I$26,L25)=0),VLOOKUP(TEXT(L25,"TTT"),Stammdaten!$B$20:$F$26,5,FALSE),0)))</f>
        <v>0</v>
      </c>
      <c r="O25" s="36">
        <f t="shared" si="4"/>
        <v>45798</v>
      </c>
      <c r="P25" s="34">
        <f ca="1">IF($B25&gt;DAY(EOMONTH(O$4,0)),"",SUMIFS(INDIRECT(TEXT(O25,"MMM")&amp;"!$L$9:$L$999"),INDIRECT(TEXT(O25,"MMM")&amp;"!$B$9:$B$999"),O25)+SUMIFS(Abwesenheit!$J$3:$J$199,Abwesenheit!$D$3:$D$199,O25))</f>
        <v>0</v>
      </c>
      <c r="Q25" s="35">
        <f>IF($B25&gt;DAY(EOMONTH(O$4,0)),"",IF(OR(O25&lt;IF(YEAR(Eintritt)&lt;Jahr,DATE(Jahr,1,1),Eintritt),O25&gt;IF(Austritt="",DATE(Jahr,12,31),Austritt)),0,IF(OR(ISERROR(VLOOKUP(O25,Stammdaten!$I$9:$J$26,2,FALSE)),SUMIFS(Stammdaten!$J$9:$J$26,Stammdaten!$I$9:$I$26,O25)=0),VLOOKUP(TEXT(O25,"TTT"),Stammdaten!$B$20:$F$26,5,FALSE),0)))</f>
        <v>0</v>
      </c>
      <c r="R25" s="36">
        <f t="shared" si="5"/>
        <v>45829</v>
      </c>
      <c r="S25" s="34">
        <f ca="1">IF($B25&gt;DAY(EOMONTH(R$4,0)),"",SUMIFS(INDIRECT(TEXT(R25,"MMM")&amp;"!$L$9:$L$999"),INDIRECT(TEXT(R25,"MMM")&amp;"!$B$9:$B$999"),R25)+SUMIFS(Abwesenheit!$J$3:$J$199,Abwesenheit!$D$3:$D$199,R25))</f>
        <v>0</v>
      </c>
      <c r="T25" s="35">
        <f>IF($B25&gt;DAY(EOMONTH(R$4,0)),"",IF(OR(R25&lt;IF(YEAR(Eintritt)&lt;Jahr,DATE(Jahr,1,1),Eintritt),R25&gt;IF(Austritt="",DATE(Jahr,12,31),Austritt)),0,IF(OR(ISERROR(VLOOKUP(R25,Stammdaten!$I$9:$J$26,2,FALSE)),SUMIFS(Stammdaten!$J$9:$J$26,Stammdaten!$I$9:$I$26,R25)=0),VLOOKUP(TEXT(R25,"TTT"),Stammdaten!$B$20:$F$26,5,FALSE),0)))</f>
        <v>0</v>
      </c>
      <c r="U25" s="36">
        <f t="shared" si="6"/>
        <v>45859</v>
      </c>
      <c r="V25" s="34">
        <f ca="1">IF($B25&gt;DAY(EOMONTH(U$4,0)),"",SUMIFS(INDIRECT(TEXT(U25,"MMM")&amp;"!$L$9:$L$999"),INDIRECT(TEXT(U25,"MMM")&amp;"!$B$9:$B$999"),U25)+SUMIFS(Abwesenheit!$J$3:$J$199,Abwesenheit!$D$3:$D$199,U25))</f>
        <v>0</v>
      </c>
      <c r="W25" s="35">
        <f>IF($B25&gt;DAY(EOMONTH(U$4,0)),"",IF(OR(U25&lt;IF(YEAR(Eintritt)&lt;Jahr,DATE(Jahr,1,1),Eintritt),U25&gt;IF(Austritt="",DATE(Jahr,12,31),Austritt)),0,IF(OR(ISERROR(VLOOKUP(U25,Stammdaten!$I$9:$J$26,2,FALSE)),SUMIFS(Stammdaten!$J$9:$J$26,Stammdaten!$I$9:$I$26,U25)=0),VLOOKUP(TEXT(U25,"TTT"),Stammdaten!$B$20:$F$26,5,FALSE),0)))</f>
        <v>0.33333333333333337</v>
      </c>
      <c r="X25" s="36">
        <f t="shared" si="7"/>
        <v>45890</v>
      </c>
      <c r="Y25" s="34">
        <f ca="1">IF($B25&gt;DAY(EOMONTH(X$4,0)),"",SUMIFS(INDIRECT(TEXT(X25,"MMM")&amp;"!$L$9:$L$999"),INDIRECT(TEXT(X25,"MMM")&amp;"!$B$9:$B$999"),X25)+SUMIFS(Abwesenheit!$J$3:$J$199,Abwesenheit!$D$3:$D$199,X25))</f>
        <v>0</v>
      </c>
      <c r="Z25" s="35">
        <f>IF($B25&gt;DAY(EOMONTH(X$4,0)),"",IF(OR(X25&lt;IF(YEAR(Eintritt)&lt;Jahr,DATE(Jahr,1,1),Eintritt),X25&gt;IF(Austritt="",DATE(Jahr,12,31),Austritt)),0,IF(OR(ISERROR(VLOOKUP(X25,Stammdaten!$I$9:$J$26,2,FALSE)),SUMIFS(Stammdaten!$J$9:$J$26,Stammdaten!$I$9:$I$26,X25)=0),VLOOKUP(TEXT(X25,"TTT"),Stammdaten!$B$20:$F$26,5,FALSE),0)))</f>
        <v>0</v>
      </c>
      <c r="AA25" s="36">
        <f t="shared" si="8"/>
        <v>45921</v>
      </c>
      <c r="AB25" s="34">
        <f ca="1">IF($B25&gt;DAY(EOMONTH(AA$4,0)),"",SUMIFS(INDIRECT(TEXT(AA25,"MMM")&amp;"!$L$9:$L$999"),INDIRECT(TEXT(AA25,"MMM")&amp;"!$B$9:$B$999"),AA25)+SUMIFS(Abwesenheit!$J$3:$J$199,Abwesenheit!$D$3:$D$199,AA25))</f>
        <v>0</v>
      </c>
      <c r="AC25" s="35">
        <f>IF($B25&gt;DAY(EOMONTH(AA$4,0)),"",IF(OR(AA25&lt;IF(YEAR(Eintritt)&lt;Jahr,DATE(Jahr,1,1),Eintritt),AA25&gt;IF(Austritt="",DATE(Jahr,12,31),Austritt)),0,IF(OR(ISERROR(VLOOKUP(AA25,Stammdaten!$I$9:$J$26,2,FALSE)),SUMIFS(Stammdaten!$J$9:$J$26,Stammdaten!$I$9:$I$26,AA25)=0),VLOOKUP(TEXT(AA25,"TTT"),Stammdaten!$B$20:$F$26,5,FALSE),0)))</f>
        <v>0</v>
      </c>
      <c r="AD25" s="36">
        <f t="shared" si="9"/>
        <v>45951</v>
      </c>
      <c r="AE25" s="34">
        <f ca="1">IF($B25&gt;DAY(EOMONTH(AD$4,0)),"",SUMIFS(INDIRECT(TEXT(AD25,"MMM")&amp;"!$L$9:$L$999"),INDIRECT(TEXT(AD25,"MMM")&amp;"!$B$9:$B$999"),AD25)+SUMIFS(Abwesenheit!$J$3:$J$199,Abwesenheit!$D$3:$D$199,AD25))</f>
        <v>0</v>
      </c>
      <c r="AF25" s="35">
        <f>IF($B25&gt;DAY(EOMONTH(AD$4,0)),"",IF(OR(AD25&lt;IF(YEAR(Eintritt)&lt;Jahr,DATE(Jahr,1,1),Eintritt),AD25&gt;IF(Austritt="",DATE(Jahr,12,31),Austritt)),0,IF(OR(ISERROR(VLOOKUP(AD25,Stammdaten!$I$9:$J$26,2,FALSE)),SUMIFS(Stammdaten!$J$9:$J$26,Stammdaten!$I$9:$I$26,AD25)=0),VLOOKUP(TEXT(AD25,"TTT"),Stammdaten!$B$20:$F$26,5,FALSE),0)))</f>
        <v>0</v>
      </c>
      <c r="AG25" s="36">
        <f t="shared" si="10"/>
        <v>45982</v>
      </c>
      <c r="AH25" s="34">
        <f ca="1">IF($B25&gt;DAY(EOMONTH(AG$4,0)),"",SUMIFS(INDIRECT(TEXT(AG25,"MMM")&amp;"!$L$9:$L$999"),INDIRECT(TEXT(AG25,"MMM")&amp;"!$B$9:$B$999"),AG25)+SUMIFS(Abwesenheit!$J$3:$J$199,Abwesenheit!$D$3:$D$199,AG25))</f>
        <v>0</v>
      </c>
      <c r="AI25" s="35">
        <f>IF($B25&gt;DAY(EOMONTH(AG$4,0)),"",IF(OR(AG25&lt;IF(YEAR(Eintritt)&lt;Jahr,DATE(Jahr,1,1),Eintritt),AG25&gt;IF(Austritt="",DATE(Jahr,12,31),Austritt)),0,IF(OR(ISERROR(VLOOKUP(AG25,Stammdaten!$I$9:$J$26,2,FALSE)),SUMIFS(Stammdaten!$J$9:$J$26,Stammdaten!$I$9:$I$26,AG25)=0),VLOOKUP(TEXT(AG25,"TTT"),Stammdaten!$B$20:$F$26,5,FALSE),0)))</f>
        <v>0</v>
      </c>
      <c r="AJ25" s="36">
        <f t="shared" si="11"/>
        <v>46012</v>
      </c>
      <c r="AK25" s="34">
        <f ca="1">IF($B25&gt;DAY(EOMONTH(AJ$4,0)),"",SUMIFS(INDIRECT(TEXT(AJ25,"MMM")&amp;"!$L$9:$L$999"),INDIRECT(TEXT(AJ25,"MMM")&amp;"!$B$9:$B$999"),AJ25)+SUMIFS(Abwesenheit!$J$3:$J$199,Abwesenheit!$D$3:$D$199,AJ25))</f>
        <v>0</v>
      </c>
      <c r="AL25" s="35">
        <f>IF($B25&gt;DAY(EOMONTH(AJ$4,0)),"",IF(OR(AJ25&lt;IF(YEAR(Eintritt)&lt;Jahr,DATE(Jahr,1,1),Eintritt),AJ25&gt;IF(Austritt="",DATE(Jahr,12,31),Austritt)),0,VLOOKUP(TEXT(AJ25,"TTT"),Stammdaten!$B$20:$F$26,5,FALSE)-IF(ISERROR(VLOOKUP(AJ25,Stammdaten!$I$9:$J$26,2,FALSE)),0,SUMIFS(Stammdaten!$J$9:$J$26,Stammdaten!$I$9:$I$26,AJ25)/24)))</f>
        <v>0</v>
      </c>
      <c r="AM25" s="37">
        <v>21</v>
      </c>
      <c r="AP25" s="8"/>
      <c r="AQ25" s="8"/>
      <c r="AR25" s="8"/>
      <c r="AS25" s="8"/>
    </row>
    <row r="26" spans="1:45" x14ac:dyDescent="0.3">
      <c r="A26" s="33"/>
      <c r="B26" s="37">
        <v>22</v>
      </c>
      <c r="C26" s="36">
        <f t="shared" si="0"/>
        <v>45679</v>
      </c>
      <c r="D26" s="34">
        <f ca="1">IF($B26&gt;DAY(EOMONTH(C$4,0)),"",SUMIFS(INDIRECT(TEXT(C26,"MMM")&amp;"!$L$9:$L$999"),INDIRECT(TEXT(C26,"MMM")&amp;"!$B$9:$B$999"),C26)+SUMIFS(Abwesenheit!$J$3:$J$199,Abwesenheit!$D$3:$D$199,C26))</f>
        <v>0</v>
      </c>
      <c r="E26" s="35">
        <f>IF($B26&gt;DAY(EOMONTH(C$4,0)),"",IF(OR(C26&lt;IF(YEAR(Eintritt)&lt;Jahr,DATE(Jahr,1,1),Eintritt),C26&gt;IF(Austritt="",DATE(Jahr,12,31),Austritt)),0,IF(OR(ISERROR(VLOOKUP(C26,Stammdaten!$I$9:$J$26,2,FALSE)),SUMIFS(Stammdaten!$J$9:$J$26,Stammdaten!$I$9:$I$26,C26)=0),VLOOKUP(TEXT(C26,"TTT"),Stammdaten!$B$20:$F$26,5,FALSE),0)))</f>
        <v>0</v>
      </c>
      <c r="F26" s="36">
        <f t="shared" si="1"/>
        <v>45710</v>
      </c>
      <c r="G26" s="34">
        <f ca="1">IF($B26&gt;DAY(EOMONTH(F$4,0)),"",SUMIFS(INDIRECT(TEXT(F26,"MMM")&amp;"!$L$9:$L$999"),INDIRECT(TEXT(F26,"MMM")&amp;"!$B$9:$B$999"),F26)+SUMIFS(Abwesenheit!$J$3:$J$199,Abwesenheit!$D$3:$D$199,F26))</f>
        <v>0</v>
      </c>
      <c r="H26" s="35">
        <f>IF($B26&gt;DAY(EOMONTH(F$4,0)),"",IF(OR(F26&lt;IF(YEAR(Eintritt)&lt;Jahr,DATE(Jahr,1,1),Eintritt),F26&gt;IF(Austritt="",DATE(Jahr,12,31),Austritt)),0,IF(OR(ISERROR(VLOOKUP(F26,Stammdaten!$I$9:$J$26,2,FALSE)),SUMIFS(Stammdaten!$J$9:$J$26,Stammdaten!$I$9:$I$26,F26)=0),VLOOKUP(TEXT(F26,"TTT"),Stammdaten!$B$20:$F$26,5,FALSE),0)))</f>
        <v>0</v>
      </c>
      <c r="I26" s="36">
        <f t="shared" si="2"/>
        <v>45738</v>
      </c>
      <c r="J26" s="34">
        <f ca="1">IF($B26&gt;DAY(EOMONTH(I$4,0)),"",SUMIFS(INDIRECT(TEXT(I26,"MMM")&amp;"!$L$9:$L$999"),INDIRECT(TEXT(I26,"MMM")&amp;"!$B$9:$B$999"),I26)+SUMIFS(Abwesenheit!$J$3:$J$199,Abwesenheit!$D$3:$D$199,I26))</f>
        <v>0</v>
      </c>
      <c r="K26" s="35">
        <f>IF($B26&gt;DAY(EOMONTH(I$4,0)),"",IF(OR(I26&lt;IF(YEAR(Eintritt)&lt;Jahr,DATE(Jahr,1,1),Eintritt),I26&gt;IF(Austritt="",DATE(Jahr,12,31),Austritt)),0,IF(OR(ISERROR(VLOOKUP(I26,Stammdaten!$I$9:$J$26,2,FALSE)),SUMIFS(Stammdaten!$J$9:$J$26,Stammdaten!$I$9:$I$26,I26)=0),VLOOKUP(TEXT(I26,"TTT"),Stammdaten!$B$20:$F$26,5,FALSE),0)))</f>
        <v>0</v>
      </c>
      <c r="L26" s="36">
        <f t="shared" si="3"/>
        <v>45769</v>
      </c>
      <c r="M26" s="34">
        <f ca="1">IF($B26&gt;DAY(EOMONTH(L$4,0)),"",SUMIFS(INDIRECT(TEXT(L26,"MMM")&amp;"!$L$9:$L$999"),INDIRECT(TEXT(L26,"MMM")&amp;"!$B$9:$B$999"),L26)+SUMIFS(Abwesenheit!$J$3:$J$199,Abwesenheit!$D$3:$D$199,L26))</f>
        <v>0</v>
      </c>
      <c r="N26" s="35">
        <f>IF($B26&gt;DAY(EOMONTH(L$4,0)),"",IF(OR(L26&lt;IF(YEAR(Eintritt)&lt;Jahr,DATE(Jahr,1,1),Eintritt),L26&gt;IF(Austritt="",DATE(Jahr,12,31),Austritt)),0,IF(OR(ISERROR(VLOOKUP(L26,Stammdaten!$I$9:$J$26,2,FALSE)),SUMIFS(Stammdaten!$J$9:$J$26,Stammdaten!$I$9:$I$26,L26)=0),VLOOKUP(TEXT(L26,"TTT"),Stammdaten!$B$20:$F$26,5,FALSE),0)))</f>
        <v>0</v>
      </c>
      <c r="O26" s="36">
        <f t="shared" si="4"/>
        <v>45799</v>
      </c>
      <c r="P26" s="34">
        <f ca="1">IF($B26&gt;DAY(EOMONTH(O$4,0)),"",SUMIFS(INDIRECT(TEXT(O26,"MMM")&amp;"!$L$9:$L$999"),INDIRECT(TEXT(O26,"MMM")&amp;"!$B$9:$B$999"),O26)+SUMIFS(Abwesenheit!$J$3:$J$199,Abwesenheit!$D$3:$D$199,O26))</f>
        <v>0</v>
      </c>
      <c r="Q26" s="35">
        <f>IF($B26&gt;DAY(EOMONTH(O$4,0)),"",IF(OR(O26&lt;IF(YEAR(Eintritt)&lt;Jahr,DATE(Jahr,1,1),Eintritt),O26&gt;IF(Austritt="",DATE(Jahr,12,31),Austritt)),0,IF(OR(ISERROR(VLOOKUP(O26,Stammdaten!$I$9:$J$26,2,FALSE)),SUMIFS(Stammdaten!$J$9:$J$26,Stammdaten!$I$9:$I$26,O26)=0),VLOOKUP(TEXT(O26,"TTT"),Stammdaten!$B$20:$F$26,5,FALSE),0)))</f>
        <v>0</v>
      </c>
      <c r="R26" s="36">
        <f t="shared" si="5"/>
        <v>45830</v>
      </c>
      <c r="S26" s="34">
        <f ca="1">IF($B26&gt;DAY(EOMONTH(R$4,0)),"",SUMIFS(INDIRECT(TEXT(R26,"MMM")&amp;"!$L$9:$L$999"),INDIRECT(TEXT(R26,"MMM")&amp;"!$B$9:$B$999"),R26)+SUMIFS(Abwesenheit!$J$3:$J$199,Abwesenheit!$D$3:$D$199,R26))</f>
        <v>0</v>
      </c>
      <c r="T26" s="35">
        <f>IF($B26&gt;DAY(EOMONTH(R$4,0)),"",IF(OR(R26&lt;IF(YEAR(Eintritt)&lt;Jahr,DATE(Jahr,1,1),Eintritt),R26&gt;IF(Austritt="",DATE(Jahr,12,31),Austritt)),0,IF(OR(ISERROR(VLOOKUP(R26,Stammdaten!$I$9:$J$26,2,FALSE)),SUMIFS(Stammdaten!$J$9:$J$26,Stammdaten!$I$9:$I$26,R26)=0),VLOOKUP(TEXT(R26,"TTT"),Stammdaten!$B$20:$F$26,5,FALSE),0)))</f>
        <v>0</v>
      </c>
      <c r="U26" s="36">
        <f t="shared" si="6"/>
        <v>45860</v>
      </c>
      <c r="V26" s="34">
        <f ca="1">IF($B26&gt;DAY(EOMONTH(U$4,0)),"",SUMIFS(INDIRECT(TEXT(U26,"MMM")&amp;"!$L$9:$L$999"),INDIRECT(TEXT(U26,"MMM")&amp;"!$B$9:$B$999"),U26)+SUMIFS(Abwesenheit!$J$3:$J$199,Abwesenheit!$D$3:$D$199,U26))</f>
        <v>0</v>
      </c>
      <c r="W26" s="35">
        <f>IF($B26&gt;DAY(EOMONTH(U$4,0)),"",IF(OR(U26&lt;IF(YEAR(Eintritt)&lt;Jahr,DATE(Jahr,1,1),Eintritt),U26&gt;IF(Austritt="",DATE(Jahr,12,31),Austritt)),0,IF(OR(ISERROR(VLOOKUP(U26,Stammdaten!$I$9:$J$26,2,FALSE)),SUMIFS(Stammdaten!$J$9:$J$26,Stammdaten!$I$9:$I$26,U26)=0),VLOOKUP(TEXT(U26,"TTT"),Stammdaten!$B$20:$F$26,5,FALSE),0)))</f>
        <v>0.33333333333333337</v>
      </c>
      <c r="X26" s="36">
        <f t="shared" si="7"/>
        <v>45891</v>
      </c>
      <c r="Y26" s="34">
        <f ca="1">IF($B26&gt;DAY(EOMONTH(X$4,0)),"",SUMIFS(INDIRECT(TEXT(X26,"MMM")&amp;"!$L$9:$L$999"),INDIRECT(TEXT(X26,"MMM")&amp;"!$B$9:$B$999"),X26)+SUMIFS(Abwesenheit!$J$3:$J$199,Abwesenheit!$D$3:$D$199,X26))</f>
        <v>0</v>
      </c>
      <c r="Z26" s="35">
        <f>IF($B26&gt;DAY(EOMONTH(X$4,0)),"",IF(OR(X26&lt;IF(YEAR(Eintritt)&lt;Jahr,DATE(Jahr,1,1),Eintritt),X26&gt;IF(Austritt="",DATE(Jahr,12,31),Austritt)),0,IF(OR(ISERROR(VLOOKUP(X26,Stammdaten!$I$9:$J$26,2,FALSE)),SUMIFS(Stammdaten!$J$9:$J$26,Stammdaten!$I$9:$I$26,X26)=0),VLOOKUP(TEXT(X26,"TTT"),Stammdaten!$B$20:$F$26,5,FALSE),0)))</f>
        <v>0</v>
      </c>
      <c r="AA26" s="36">
        <f t="shared" si="8"/>
        <v>45922</v>
      </c>
      <c r="AB26" s="34">
        <f ca="1">IF($B26&gt;DAY(EOMONTH(AA$4,0)),"",SUMIFS(INDIRECT(TEXT(AA26,"MMM")&amp;"!$L$9:$L$999"),INDIRECT(TEXT(AA26,"MMM")&amp;"!$B$9:$B$999"),AA26)+SUMIFS(Abwesenheit!$J$3:$J$199,Abwesenheit!$D$3:$D$199,AA26))</f>
        <v>0</v>
      </c>
      <c r="AC26" s="35">
        <f>IF($B26&gt;DAY(EOMONTH(AA$4,0)),"",IF(OR(AA26&lt;IF(YEAR(Eintritt)&lt;Jahr,DATE(Jahr,1,1),Eintritt),AA26&gt;IF(Austritt="",DATE(Jahr,12,31),Austritt)),0,IF(OR(ISERROR(VLOOKUP(AA26,Stammdaten!$I$9:$J$26,2,FALSE)),SUMIFS(Stammdaten!$J$9:$J$26,Stammdaten!$I$9:$I$26,AA26)=0),VLOOKUP(TEXT(AA26,"TTT"),Stammdaten!$B$20:$F$26,5,FALSE),0)))</f>
        <v>0</v>
      </c>
      <c r="AD26" s="36">
        <f t="shared" si="9"/>
        <v>45952</v>
      </c>
      <c r="AE26" s="34">
        <f ca="1">IF($B26&gt;DAY(EOMONTH(AD$4,0)),"",SUMIFS(INDIRECT(TEXT(AD26,"MMM")&amp;"!$L$9:$L$999"),INDIRECT(TEXT(AD26,"MMM")&amp;"!$B$9:$B$999"),AD26)+SUMIFS(Abwesenheit!$J$3:$J$199,Abwesenheit!$D$3:$D$199,AD26))</f>
        <v>0</v>
      </c>
      <c r="AF26" s="35">
        <f>IF($B26&gt;DAY(EOMONTH(AD$4,0)),"",IF(OR(AD26&lt;IF(YEAR(Eintritt)&lt;Jahr,DATE(Jahr,1,1),Eintritt),AD26&gt;IF(Austritt="",DATE(Jahr,12,31),Austritt)),0,IF(OR(ISERROR(VLOOKUP(AD26,Stammdaten!$I$9:$J$26,2,FALSE)),SUMIFS(Stammdaten!$J$9:$J$26,Stammdaten!$I$9:$I$26,AD26)=0),VLOOKUP(TEXT(AD26,"TTT"),Stammdaten!$B$20:$F$26,5,FALSE),0)))</f>
        <v>0</v>
      </c>
      <c r="AG26" s="36">
        <f t="shared" si="10"/>
        <v>45983</v>
      </c>
      <c r="AH26" s="34">
        <f ca="1">IF($B26&gt;DAY(EOMONTH(AG$4,0)),"",SUMIFS(INDIRECT(TEXT(AG26,"MMM")&amp;"!$L$9:$L$999"),INDIRECT(TEXT(AG26,"MMM")&amp;"!$B$9:$B$999"),AG26)+SUMIFS(Abwesenheit!$J$3:$J$199,Abwesenheit!$D$3:$D$199,AG26))</f>
        <v>0</v>
      </c>
      <c r="AI26" s="35">
        <f>IF($B26&gt;DAY(EOMONTH(AG$4,0)),"",IF(OR(AG26&lt;IF(YEAR(Eintritt)&lt;Jahr,DATE(Jahr,1,1),Eintritt),AG26&gt;IF(Austritt="",DATE(Jahr,12,31),Austritt)),0,IF(OR(ISERROR(VLOOKUP(AG26,Stammdaten!$I$9:$J$26,2,FALSE)),SUMIFS(Stammdaten!$J$9:$J$26,Stammdaten!$I$9:$I$26,AG26)=0),VLOOKUP(TEXT(AG26,"TTT"),Stammdaten!$B$20:$F$26,5,FALSE),0)))</f>
        <v>0</v>
      </c>
      <c r="AJ26" s="36">
        <f t="shared" si="11"/>
        <v>46013</v>
      </c>
      <c r="AK26" s="34">
        <f ca="1">IF($B26&gt;DAY(EOMONTH(AJ$4,0)),"",SUMIFS(INDIRECT(TEXT(AJ26,"MMM")&amp;"!$L$9:$L$999"),INDIRECT(TEXT(AJ26,"MMM")&amp;"!$B$9:$B$999"),AJ26)+SUMIFS(Abwesenheit!$J$3:$J$199,Abwesenheit!$D$3:$D$199,AJ26))</f>
        <v>0</v>
      </c>
      <c r="AL26" s="35">
        <f>IF($B26&gt;DAY(EOMONTH(AJ$4,0)),"",IF(OR(AJ26&lt;IF(YEAR(Eintritt)&lt;Jahr,DATE(Jahr,1,1),Eintritt),AJ26&gt;IF(Austritt="",DATE(Jahr,12,31),Austritt)),0,VLOOKUP(TEXT(AJ26,"TTT"),Stammdaten!$B$20:$F$26,5,FALSE)-IF(ISERROR(VLOOKUP(AJ26,Stammdaten!$I$9:$J$26,2,FALSE)),0,SUMIFS(Stammdaten!$J$9:$J$26,Stammdaten!$I$9:$I$26,AJ26)/24)))</f>
        <v>0</v>
      </c>
      <c r="AM26" s="37">
        <v>22</v>
      </c>
      <c r="AP26" s="8"/>
      <c r="AQ26" s="8"/>
      <c r="AR26" s="8"/>
      <c r="AS26" s="8"/>
    </row>
    <row r="27" spans="1:45" x14ac:dyDescent="0.3">
      <c r="A27" s="33"/>
      <c r="B27" s="37">
        <v>23</v>
      </c>
      <c r="C27" s="36">
        <f t="shared" si="0"/>
        <v>45680</v>
      </c>
      <c r="D27" s="34">
        <f ca="1">IF($B27&gt;DAY(EOMONTH(C$4,0)),"",SUMIFS(INDIRECT(TEXT(C27,"MMM")&amp;"!$L$9:$L$999"),INDIRECT(TEXT(C27,"MMM")&amp;"!$B$9:$B$999"),C27)+SUMIFS(Abwesenheit!$J$3:$J$199,Abwesenheit!$D$3:$D$199,C27))</f>
        <v>0</v>
      </c>
      <c r="E27" s="35">
        <f>IF($B27&gt;DAY(EOMONTH(C$4,0)),"",IF(OR(C27&lt;IF(YEAR(Eintritt)&lt;Jahr,DATE(Jahr,1,1),Eintritt),C27&gt;IF(Austritt="",DATE(Jahr,12,31),Austritt)),0,IF(OR(ISERROR(VLOOKUP(C27,Stammdaten!$I$9:$J$26,2,FALSE)),SUMIFS(Stammdaten!$J$9:$J$26,Stammdaten!$I$9:$I$26,C27)=0),VLOOKUP(TEXT(C27,"TTT"),Stammdaten!$B$20:$F$26,5,FALSE),0)))</f>
        <v>0</v>
      </c>
      <c r="F27" s="36">
        <f t="shared" si="1"/>
        <v>45711</v>
      </c>
      <c r="G27" s="34">
        <f ca="1">IF($B27&gt;DAY(EOMONTH(F$4,0)),"",SUMIFS(INDIRECT(TEXT(F27,"MMM")&amp;"!$L$9:$L$999"),INDIRECT(TEXT(F27,"MMM")&amp;"!$B$9:$B$999"),F27)+SUMIFS(Abwesenheit!$J$3:$J$199,Abwesenheit!$D$3:$D$199,F27))</f>
        <v>0</v>
      </c>
      <c r="H27" s="35">
        <f>IF($B27&gt;DAY(EOMONTH(F$4,0)),"",IF(OR(F27&lt;IF(YEAR(Eintritt)&lt;Jahr,DATE(Jahr,1,1),Eintritt),F27&gt;IF(Austritt="",DATE(Jahr,12,31),Austritt)),0,IF(OR(ISERROR(VLOOKUP(F27,Stammdaten!$I$9:$J$26,2,FALSE)),SUMIFS(Stammdaten!$J$9:$J$26,Stammdaten!$I$9:$I$26,F27)=0),VLOOKUP(TEXT(F27,"TTT"),Stammdaten!$B$20:$F$26,5,FALSE),0)))</f>
        <v>0</v>
      </c>
      <c r="I27" s="36">
        <f t="shared" si="2"/>
        <v>45739</v>
      </c>
      <c r="J27" s="34">
        <f ca="1">IF($B27&gt;DAY(EOMONTH(I$4,0)),"",SUMIFS(INDIRECT(TEXT(I27,"MMM")&amp;"!$L$9:$L$999"),INDIRECT(TEXT(I27,"MMM")&amp;"!$B$9:$B$999"),I27)+SUMIFS(Abwesenheit!$J$3:$J$199,Abwesenheit!$D$3:$D$199,I27))</f>
        <v>0</v>
      </c>
      <c r="K27" s="35">
        <f>IF($B27&gt;DAY(EOMONTH(I$4,0)),"",IF(OR(I27&lt;IF(YEAR(Eintritt)&lt;Jahr,DATE(Jahr,1,1),Eintritt),I27&gt;IF(Austritt="",DATE(Jahr,12,31),Austritt)),0,IF(OR(ISERROR(VLOOKUP(I27,Stammdaten!$I$9:$J$26,2,FALSE)),SUMIFS(Stammdaten!$J$9:$J$26,Stammdaten!$I$9:$I$26,I27)=0),VLOOKUP(TEXT(I27,"TTT"),Stammdaten!$B$20:$F$26,5,FALSE),0)))</f>
        <v>0</v>
      </c>
      <c r="L27" s="36">
        <f t="shared" si="3"/>
        <v>45770</v>
      </c>
      <c r="M27" s="34">
        <f ca="1">IF($B27&gt;DAY(EOMONTH(L$4,0)),"",SUMIFS(INDIRECT(TEXT(L27,"MMM")&amp;"!$L$9:$L$999"),INDIRECT(TEXT(L27,"MMM")&amp;"!$B$9:$B$999"),L27)+SUMIFS(Abwesenheit!$J$3:$J$199,Abwesenheit!$D$3:$D$199,L27))</f>
        <v>0</v>
      </c>
      <c r="N27" s="35">
        <f>IF($B27&gt;DAY(EOMONTH(L$4,0)),"",IF(OR(L27&lt;IF(YEAR(Eintritt)&lt;Jahr,DATE(Jahr,1,1),Eintritt),L27&gt;IF(Austritt="",DATE(Jahr,12,31),Austritt)),0,IF(OR(ISERROR(VLOOKUP(L27,Stammdaten!$I$9:$J$26,2,FALSE)),SUMIFS(Stammdaten!$J$9:$J$26,Stammdaten!$I$9:$I$26,L27)=0),VLOOKUP(TEXT(L27,"TTT"),Stammdaten!$B$20:$F$26,5,FALSE),0)))</f>
        <v>0</v>
      </c>
      <c r="O27" s="36">
        <f t="shared" si="4"/>
        <v>45800</v>
      </c>
      <c r="P27" s="34">
        <f ca="1">IF($B27&gt;DAY(EOMONTH(O$4,0)),"",SUMIFS(INDIRECT(TEXT(O27,"MMM")&amp;"!$L$9:$L$999"),INDIRECT(TEXT(O27,"MMM")&amp;"!$B$9:$B$999"),O27)+SUMIFS(Abwesenheit!$J$3:$J$199,Abwesenheit!$D$3:$D$199,O27))</f>
        <v>0</v>
      </c>
      <c r="Q27" s="35">
        <f>IF($B27&gt;DAY(EOMONTH(O$4,0)),"",IF(OR(O27&lt;IF(YEAR(Eintritt)&lt;Jahr,DATE(Jahr,1,1),Eintritt),O27&gt;IF(Austritt="",DATE(Jahr,12,31),Austritt)),0,IF(OR(ISERROR(VLOOKUP(O27,Stammdaten!$I$9:$J$26,2,FALSE)),SUMIFS(Stammdaten!$J$9:$J$26,Stammdaten!$I$9:$I$26,O27)=0),VLOOKUP(TEXT(O27,"TTT"),Stammdaten!$B$20:$F$26,5,FALSE),0)))</f>
        <v>0</v>
      </c>
      <c r="R27" s="36">
        <f t="shared" si="5"/>
        <v>45831</v>
      </c>
      <c r="S27" s="34">
        <f ca="1">IF($B27&gt;DAY(EOMONTH(R$4,0)),"",SUMIFS(INDIRECT(TEXT(R27,"MMM")&amp;"!$L$9:$L$999"),INDIRECT(TEXT(R27,"MMM")&amp;"!$B$9:$B$999"),R27)+SUMIFS(Abwesenheit!$J$3:$J$199,Abwesenheit!$D$3:$D$199,R27))</f>
        <v>0</v>
      </c>
      <c r="T27" s="35">
        <f>IF($B27&gt;DAY(EOMONTH(R$4,0)),"",IF(OR(R27&lt;IF(YEAR(Eintritt)&lt;Jahr,DATE(Jahr,1,1),Eintritt),R27&gt;IF(Austritt="",DATE(Jahr,12,31),Austritt)),0,IF(OR(ISERROR(VLOOKUP(R27,Stammdaten!$I$9:$J$26,2,FALSE)),SUMIFS(Stammdaten!$J$9:$J$26,Stammdaten!$I$9:$I$26,R27)=0),VLOOKUP(TEXT(R27,"TTT"),Stammdaten!$B$20:$F$26,5,FALSE),0)))</f>
        <v>0</v>
      </c>
      <c r="U27" s="36">
        <f t="shared" si="6"/>
        <v>45861</v>
      </c>
      <c r="V27" s="34">
        <f ca="1">IF($B27&gt;DAY(EOMONTH(U$4,0)),"",SUMIFS(INDIRECT(TEXT(U27,"MMM")&amp;"!$L$9:$L$999"),INDIRECT(TEXT(U27,"MMM")&amp;"!$B$9:$B$999"),U27)+SUMIFS(Abwesenheit!$J$3:$J$199,Abwesenheit!$D$3:$D$199,U27))</f>
        <v>0</v>
      </c>
      <c r="W27" s="35">
        <f>IF($B27&gt;DAY(EOMONTH(U$4,0)),"",IF(OR(U27&lt;IF(YEAR(Eintritt)&lt;Jahr,DATE(Jahr,1,1),Eintritt),U27&gt;IF(Austritt="",DATE(Jahr,12,31),Austritt)),0,IF(OR(ISERROR(VLOOKUP(U27,Stammdaten!$I$9:$J$26,2,FALSE)),SUMIFS(Stammdaten!$J$9:$J$26,Stammdaten!$I$9:$I$26,U27)=0),VLOOKUP(TEXT(U27,"TTT"),Stammdaten!$B$20:$F$26,5,FALSE),0)))</f>
        <v>0.33333333333333337</v>
      </c>
      <c r="X27" s="36">
        <f t="shared" si="7"/>
        <v>45892</v>
      </c>
      <c r="Y27" s="34">
        <f ca="1">IF($B27&gt;DAY(EOMONTH(X$4,0)),"",SUMIFS(INDIRECT(TEXT(X27,"MMM")&amp;"!$L$9:$L$999"),INDIRECT(TEXT(X27,"MMM")&amp;"!$B$9:$B$999"),X27)+SUMIFS(Abwesenheit!$J$3:$J$199,Abwesenheit!$D$3:$D$199,X27))</f>
        <v>0</v>
      </c>
      <c r="Z27" s="35">
        <f>IF($B27&gt;DAY(EOMONTH(X$4,0)),"",IF(OR(X27&lt;IF(YEAR(Eintritt)&lt;Jahr,DATE(Jahr,1,1),Eintritt),X27&gt;IF(Austritt="",DATE(Jahr,12,31),Austritt)),0,IF(OR(ISERROR(VLOOKUP(X27,Stammdaten!$I$9:$J$26,2,FALSE)),SUMIFS(Stammdaten!$J$9:$J$26,Stammdaten!$I$9:$I$26,X27)=0),VLOOKUP(TEXT(X27,"TTT"),Stammdaten!$B$20:$F$26,5,FALSE),0)))</f>
        <v>0</v>
      </c>
      <c r="AA27" s="36">
        <f t="shared" si="8"/>
        <v>45923</v>
      </c>
      <c r="AB27" s="34">
        <f ca="1">IF($B27&gt;DAY(EOMONTH(AA$4,0)),"",SUMIFS(INDIRECT(TEXT(AA27,"MMM")&amp;"!$L$9:$L$999"),INDIRECT(TEXT(AA27,"MMM")&amp;"!$B$9:$B$999"),AA27)+SUMIFS(Abwesenheit!$J$3:$J$199,Abwesenheit!$D$3:$D$199,AA27))</f>
        <v>0</v>
      </c>
      <c r="AC27" s="35">
        <f>IF($B27&gt;DAY(EOMONTH(AA$4,0)),"",IF(OR(AA27&lt;IF(YEAR(Eintritt)&lt;Jahr,DATE(Jahr,1,1),Eintritt),AA27&gt;IF(Austritt="",DATE(Jahr,12,31),Austritt)),0,IF(OR(ISERROR(VLOOKUP(AA27,Stammdaten!$I$9:$J$26,2,FALSE)),SUMIFS(Stammdaten!$J$9:$J$26,Stammdaten!$I$9:$I$26,AA27)=0),VLOOKUP(TEXT(AA27,"TTT"),Stammdaten!$B$20:$F$26,5,FALSE),0)))</f>
        <v>0</v>
      </c>
      <c r="AD27" s="36">
        <f t="shared" si="9"/>
        <v>45953</v>
      </c>
      <c r="AE27" s="34">
        <f ca="1">IF($B27&gt;DAY(EOMONTH(AD$4,0)),"",SUMIFS(INDIRECT(TEXT(AD27,"MMM")&amp;"!$L$9:$L$999"),INDIRECT(TEXT(AD27,"MMM")&amp;"!$B$9:$B$999"),AD27)+SUMIFS(Abwesenheit!$J$3:$J$199,Abwesenheit!$D$3:$D$199,AD27))</f>
        <v>0</v>
      </c>
      <c r="AF27" s="35">
        <f>IF($B27&gt;DAY(EOMONTH(AD$4,0)),"",IF(OR(AD27&lt;IF(YEAR(Eintritt)&lt;Jahr,DATE(Jahr,1,1),Eintritt),AD27&gt;IF(Austritt="",DATE(Jahr,12,31),Austritt)),0,IF(OR(ISERROR(VLOOKUP(AD27,Stammdaten!$I$9:$J$26,2,FALSE)),SUMIFS(Stammdaten!$J$9:$J$26,Stammdaten!$I$9:$I$26,AD27)=0),VLOOKUP(TEXT(AD27,"TTT"),Stammdaten!$B$20:$F$26,5,FALSE),0)))</f>
        <v>0</v>
      </c>
      <c r="AG27" s="36">
        <f t="shared" si="10"/>
        <v>45984</v>
      </c>
      <c r="AH27" s="34">
        <f ca="1">IF($B27&gt;DAY(EOMONTH(AG$4,0)),"",SUMIFS(INDIRECT(TEXT(AG27,"MMM")&amp;"!$L$9:$L$999"),INDIRECT(TEXT(AG27,"MMM")&amp;"!$B$9:$B$999"),AG27)+SUMIFS(Abwesenheit!$J$3:$J$199,Abwesenheit!$D$3:$D$199,AG27))</f>
        <v>0</v>
      </c>
      <c r="AI27" s="35">
        <f>IF($B27&gt;DAY(EOMONTH(AG$4,0)),"",IF(OR(AG27&lt;IF(YEAR(Eintritt)&lt;Jahr,DATE(Jahr,1,1),Eintritt),AG27&gt;IF(Austritt="",DATE(Jahr,12,31),Austritt)),0,IF(OR(ISERROR(VLOOKUP(AG27,Stammdaten!$I$9:$J$26,2,FALSE)),SUMIFS(Stammdaten!$J$9:$J$26,Stammdaten!$I$9:$I$26,AG27)=0),VLOOKUP(TEXT(AG27,"TTT"),Stammdaten!$B$20:$F$26,5,FALSE),0)))</f>
        <v>0</v>
      </c>
      <c r="AJ27" s="36">
        <f t="shared" si="11"/>
        <v>46014</v>
      </c>
      <c r="AK27" s="34">
        <f ca="1">IF($B27&gt;DAY(EOMONTH(AJ$4,0)),"",SUMIFS(INDIRECT(TEXT(AJ27,"MMM")&amp;"!$L$9:$L$999"),INDIRECT(TEXT(AJ27,"MMM")&amp;"!$B$9:$B$999"),AJ27)+SUMIFS(Abwesenheit!$J$3:$J$199,Abwesenheit!$D$3:$D$199,AJ27))</f>
        <v>0</v>
      </c>
      <c r="AL27" s="35">
        <f>IF($B27&gt;DAY(EOMONTH(AJ$4,0)),"",IF(OR(AJ27&lt;IF(YEAR(Eintritt)&lt;Jahr,DATE(Jahr,1,1),Eintritt),AJ27&gt;IF(Austritt="",DATE(Jahr,12,31),Austritt)),0,VLOOKUP(TEXT(AJ27,"TTT"),Stammdaten!$B$20:$F$26,5,FALSE)-IF(ISERROR(VLOOKUP(AJ27,Stammdaten!$I$9:$J$26,2,FALSE)),0,SUMIFS(Stammdaten!$J$9:$J$26,Stammdaten!$I$9:$I$26,AJ27)/24)))</f>
        <v>0</v>
      </c>
      <c r="AM27" s="37">
        <v>23</v>
      </c>
      <c r="AP27" s="8"/>
      <c r="AQ27" s="8"/>
      <c r="AR27" s="8"/>
      <c r="AS27" s="8"/>
    </row>
    <row r="28" spans="1:45" x14ac:dyDescent="0.3">
      <c r="A28" s="33"/>
      <c r="B28" s="37">
        <v>24</v>
      </c>
      <c r="C28" s="36">
        <f t="shared" si="0"/>
        <v>45681</v>
      </c>
      <c r="D28" s="34">
        <f ca="1">IF($B28&gt;DAY(EOMONTH(C$4,0)),"",SUMIFS(INDIRECT(TEXT(C28,"MMM")&amp;"!$L$9:$L$999"),INDIRECT(TEXT(C28,"MMM")&amp;"!$B$9:$B$999"),C28)+SUMIFS(Abwesenheit!$J$3:$J$199,Abwesenheit!$D$3:$D$199,C28))</f>
        <v>0</v>
      </c>
      <c r="E28" s="35">
        <f>IF($B28&gt;DAY(EOMONTH(C$4,0)),"",IF(OR(C28&lt;IF(YEAR(Eintritt)&lt;Jahr,DATE(Jahr,1,1),Eintritt),C28&gt;IF(Austritt="",DATE(Jahr,12,31),Austritt)),0,IF(OR(ISERROR(VLOOKUP(C28,Stammdaten!$I$9:$J$26,2,FALSE)),SUMIFS(Stammdaten!$J$9:$J$26,Stammdaten!$I$9:$I$26,C28)=0),VLOOKUP(TEXT(C28,"TTT"),Stammdaten!$B$20:$F$26,5,FALSE),0)))</f>
        <v>0</v>
      </c>
      <c r="F28" s="36">
        <f t="shared" si="1"/>
        <v>45712</v>
      </c>
      <c r="G28" s="34">
        <f ca="1">IF($B28&gt;DAY(EOMONTH(F$4,0)),"",SUMIFS(INDIRECT(TEXT(F28,"MMM")&amp;"!$L$9:$L$999"),INDIRECT(TEXT(F28,"MMM")&amp;"!$B$9:$B$999"),F28)+SUMIFS(Abwesenheit!$J$3:$J$199,Abwesenheit!$D$3:$D$199,F28))</f>
        <v>0</v>
      </c>
      <c r="H28" s="35">
        <f>IF($B28&gt;DAY(EOMONTH(F$4,0)),"",IF(OR(F28&lt;IF(YEAR(Eintritt)&lt;Jahr,DATE(Jahr,1,1),Eintritt),F28&gt;IF(Austritt="",DATE(Jahr,12,31),Austritt)),0,IF(OR(ISERROR(VLOOKUP(F28,Stammdaten!$I$9:$J$26,2,FALSE)),SUMIFS(Stammdaten!$J$9:$J$26,Stammdaten!$I$9:$I$26,F28)=0),VLOOKUP(TEXT(F28,"TTT"),Stammdaten!$B$20:$F$26,5,FALSE),0)))</f>
        <v>0</v>
      </c>
      <c r="I28" s="36">
        <f t="shared" si="2"/>
        <v>45740</v>
      </c>
      <c r="J28" s="34">
        <f ca="1">IF($B28&gt;DAY(EOMONTH(I$4,0)),"",SUMIFS(INDIRECT(TEXT(I28,"MMM")&amp;"!$L$9:$L$999"),INDIRECT(TEXT(I28,"MMM")&amp;"!$B$9:$B$999"),I28)+SUMIFS(Abwesenheit!$J$3:$J$199,Abwesenheit!$D$3:$D$199,I28))</f>
        <v>0</v>
      </c>
      <c r="K28" s="35">
        <f>IF($B28&gt;DAY(EOMONTH(I$4,0)),"",IF(OR(I28&lt;IF(YEAR(Eintritt)&lt;Jahr,DATE(Jahr,1,1),Eintritt),I28&gt;IF(Austritt="",DATE(Jahr,12,31),Austritt)),0,IF(OR(ISERROR(VLOOKUP(I28,Stammdaten!$I$9:$J$26,2,FALSE)),SUMIFS(Stammdaten!$J$9:$J$26,Stammdaten!$I$9:$I$26,I28)=0),VLOOKUP(TEXT(I28,"TTT"),Stammdaten!$B$20:$F$26,5,FALSE),0)))</f>
        <v>0</v>
      </c>
      <c r="L28" s="36">
        <f t="shared" si="3"/>
        <v>45771</v>
      </c>
      <c r="M28" s="34">
        <f ca="1">IF($B28&gt;DAY(EOMONTH(L$4,0)),"",SUMIFS(INDIRECT(TEXT(L28,"MMM")&amp;"!$L$9:$L$999"),INDIRECT(TEXT(L28,"MMM")&amp;"!$B$9:$B$999"),L28)+SUMIFS(Abwesenheit!$J$3:$J$199,Abwesenheit!$D$3:$D$199,L28))</f>
        <v>0</v>
      </c>
      <c r="N28" s="35">
        <f>IF($B28&gt;DAY(EOMONTH(L$4,0)),"",IF(OR(L28&lt;IF(YEAR(Eintritt)&lt;Jahr,DATE(Jahr,1,1),Eintritt),L28&gt;IF(Austritt="",DATE(Jahr,12,31),Austritt)),0,IF(OR(ISERROR(VLOOKUP(L28,Stammdaten!$I$9:$J$26,2,FALSE)),SUMIFS(Stammdaten!$J$9:$J$26,Stammdaten!$I$9:$I$26,L28)=0),VLOOKUP(TEXT(L28,"TTT"),Stammdaten!$B$20:$F$26,5,FALSE),0)))</f>
        <v>0</v>
      </c>
      <c r="O28" s="36">
        <f t="shared" si="4"/>
        <v>45801</v>
      </c>
      <c r="P28" s="34">
        <f ca="1">IF($B28&gt;DAY(EOMONTH(O$4,0)),"",SUMIFS(INDIRECT(TEXT(O28,"MMM")&amp;"!$L$9:$L$999"),INDIRECT(TEXT(O28,"MMM")&amp;"!$B$9:$B$999"),O28)+SUMIFS(Abwesenheit!$J$3:$J$199,Abwesenheit!$D$3:$D$199,O28))</f>
        <v>0</v>
      </c>
      <c r="Q28" s="35">
        <f>IF($B28&gt;DAY(EOMONTH(O$4,0)),"",IF(OR(O28&lt;IF(YEAR(Eintritt)&lt;Jahr,DATE(Jahr,1,1),Eintritt),O28&gt;IF(Austritt="",DATE(Jahr,12,31),Austritt)),0,IF(OR(ISERROR(VLOOKUP(O28,Stammdaten!$I$9:$J$26,2,FALSE)),SUMIFS(Stammdaten!$J$9:$J$26,Stammdaten!$I$9:$I$26,O28)=0),VLOOKUP(TEXT(O28,"TTT"),Stammdaten!$B$20:$F$26,5,FALSE),0)))</f>
        <v>0</v>
      </c>
      <c r="R28" s="36">
        <f t="shared" si="5"/>
        <v>45832</v>
      </c>
      <c r="S28" s="34">
        <f ca="1">IF($B28&gt;DAY(EOMONTH(R$4,0)),"",SUMIFS(INDIRECT(TEXT(R28,"MMM")&amp;"!$L$9:$L$999"),INDIRECT(TEXT(R28,"MMM")&amp;"!$B$9:$B$999"),R28)+SUMIFS(Abwesenheit!$J$3:$J$199,Abwesenheit!$D$3:$D$199,R28))</f>
        <v>0</v>
      </c>
      <c r="T28" s="35">
        <f>IF($B28&gt;DAY(EOMONTH(R$4,0)),"",IF(OR(R28&lt;IF(YEAR(Eintritt)&lt;Jahr,DATE(Jahr,1,1),Eintritt),R28&gt;IF(Austritt="",DATE(Jahr,12,31),Austritt)),0,IF(OR(ISERROR(VLOOKUP(R28,Stammdaten!$I$9:$J$26,2,FALSE)),SUMIFS(Stammdaten!$J$9:$J$26,Stammdaten!$I$9:$I$26,R28)=0),VLOOKUP(TEXT(R28,"TTT"),Stammdaten!$B$20:$F$26,5,FALSE),0)))</f>
        <v>0</v>
      </c>
      <c r="U28" s="36">
        <f t="shared" si="6"/>
        <v>45862</v>
      </c>
      <c r="V28" s="34">
        <f ca="1">IF($B28&gt;DAY(EOMONTH(U$4,0)),"",SUMIFS(INDIRECT(TEXT(U28,"MMM")&amp;"!$L$9:$L$999"),INDIRECT(TEXT(U28,"MMM")&amp;"!$B$9:$B$999"),U28)+SUMIFS(Abwesenheit!$J$3:$J$199,Abwesenheit!$D$3:$D$199,U28))</f>
        <v>0</v>
      </c>
      <c r="W28" s="35">
        <f>IF($B28&gt;DAY(EOMONTH(U$4,0)),"",IF(OR(U28&lt;IF(YEAR(Eintritt)&lt;Jahr,DATE(Jahr,1,1),Eintritt),U28&gt;IF(Austritt="",DATE(Jahr,12,31),Austritt)),0,IF(OR(ISERROR(VLOOKUP(U28,Stammdaten!$I$9:$J$26,2,FALSE)),SUMIFS(Stammdaten!$J$9:$J$26,Stammdaten!$I$9:$I$26,U28)=0),VLOOKUP(TEXT(U28,"TTT"),Stammdaten!$B$20:$F$26,5,FALSE),0)))</f>
        <v>0.33333333333333337</v>
      </c>
      <c r="X28" s="36">
        <f t="shared" si="7"/>
        <v>45893</v>
      </c>
      <c r="Y28" s="34">
        <f ca="1">IF($B28&gt;DAY(EOMONTH(X$4,0)),"",SUMIFS(INDIRECT(TEXT(X28,"MMM")&amp;"!$L$9:$L$999"),INDIRECT(TEXT(X28,"MMM")&amp;"!$B$9:$B$999"),X28)+SUMIFS(Abwesenheit!$J$3:$J$199,Abwesenheit!$D$3:$D$199,X28))</f>
        <v>0</v>
      </c>
      <c r="Z28" s="35">
        <f>IF($B28&gt;DAY(EOMONTH(X$4,0)),"",IF(OR(X28&lt;IF(YEAR(Eintritt)&lt;Jahr,DATE(Jahr,1,1),Eintritt),X28&gt;IF(Austritt="",DATE(Jahr,12,31),Austritt)),0,IF(OR(ISERROR(VLOOKUP(X28,Stammdaten!$I$9:$J$26,2,FALSE)),SUMIFS(Stammdaten!$J$9:$J$26,Stammdaten!$I$9:$I$26,X28)=0),VLOOKUP(TEXT(X28,"TTT"),Stammdaten!$B$20:$F$26,5,FALSE),0)))</f>
        <v>0</v>
      </c>
      <c r="AA28" s="36">
        <f t="shared" si="8"/>
        <v>45924</v>
      </c>
      <c r="AB28" s="34">
        <f ca="1">IF($B28&gt;DAY(EOMONTH(AA$4,0)),"",SUMIFS(INDIRECT(TEXT(AA28,"MMM")&amp;"!$L$9:$L$999"),INDIRECT(TEXT(AA28,"MMM")&amp;"!$B$9:$B$999"),AA28)+SUMIFS(Abwesenheit!$J$3:$J$199,Abwesenheit!$D$3:$D$199,AA28))</f>
        <v>0</v>
      </c>
      <c r="AC28" s="35">
        <f>IF($B28&gt;DAY(EOMONTH(AA$4,0)),"",IF(OR(AA28&lt;IF(YEAR(Eintritt)&lt;Jahr,DATE(Jahr,1,1),Eintritt),AA28&gt;IF(Austritt="",DATE(Jahr,12,31),Austritt)),0,IF(OR(ISERROR(VLOOKUP(AA28,Stammdaten!$I$9:$J$26,2,FALSE)),SUMIFS(Stammdaten!$J$9:$J$26,Stammdaten!$I$9:$I$26,AA28)=0),VLOOKUP(TEXT(AA28,"TTT"),Stammdaten!$B$20:$F$26,5,FALSE),0)))</f>
        <v>0</v>
      </c>
      <c r="AD28" s="36">
        <f t="shared" si="9"/>
        <v>45954</v>
      </c>
      <c r="AE28" s="34">
        <f ca="1">IF($B28&gt;DAY(EOMONTH(AD$4,0)),"",SUMIFS(INDIRECT(TEXT(AD28,"MMM")&amp;"!$L$9:$L$999"),INDIRECT(TEXT(AD28,"MMM")&amp;"!$B$9:$B$999"),AD28)+SUMIFS(Abwesenheit!$J$3:$J$199,Abwesenheit!$D$3:$D$199,AD28))</f>
        <v>0</v>
      </c>
      <c r="AF28" s="35">
        <f>IF($B28&gt;DAY(EOMONTH(AD$4,0)),"",IF(OR(AD28&lt;IF(YEAR(Eintritt)&lt;Jahr,DATE(Jahr,1,1),Eintritt),AD28&gt;IF(Austritt="",DATE(Jahr,12,31),Austritt)),0,IF(OR(ISERROR(VLOOKUP(AD28,Stammdaten!$I$9:$J$26,2,FALSE)),SUMIFS(Stammdaten!$J$9:$J$26,Stammdaten!$I$9:$I$26,AD28)=0),VLOOKUP(TEXT(AD28,"TTT"),Stammdaten!$B$20:$F$26,5,FALSE),0)))</f>
        <v>0</v>
      </c>
      <c r="AG28" s="36">
        <f t="shared" si="10"/>
        <v>45985</v>
      </c>
      <c r="AH28" s="34">
        <f ca="1">IF($B28&gt;DAY(EOMONTH(AG$4,0)),"",SUMIFS(INDIRECT(TEXT(AG28,"MMM")&amp;"!$L$9:$L$999"),INDIRECT(TEXT(AG28,"MMM")&amp;"!$B$9:$B$999"),AG28)+SUMIFS(Abwesenheit!$J$3:$J$199,Abwesenheit!$D$3:$D$199,AG28))</f>
        <v>0</v>
      </c>
      <c r="AI28" s="35">
        <f>IF($B28&gt;DAY(EOMONTH(AG$4,0)),"",IF(OR(AG28&lt;IF(YEAR(Eintritt)&lt;Jahr,DATE(Jahr,1,1),Eintritt),AG28&gt;IF(Austritt="",DATE(Jahr,12,31),Austritt)),0,IF(OR(ISERROR(VLOOKUP(AG28,Stammdaten!$I$9:$J$26,2,FALSE)),SUMIFS(Stammdaten!$J$9:$J$26,Stammdaten!$I$9:$I$26,AG28)=0),VLOOKUP(TEXT(AG28,"TTT"),Stammdaten!$B$20:$F$26,5,FALSE),0)))</f>
        <v>0</v>
      </c>
      <c r="AJ28" s="36">
        <f t="shared" si="11"/>
        <v>46015</v>
      </c>
      <c r="AK28" s="34">
        <f ca="1">IF($B28&gt;DAY(EOMONTH(AJ$4,0)),"",SUMIFS(INDIRECT(TEXT(AJ28,"MMM")&amp;"!$L$9:$L$999"),INDIRECT(TEXT(AJ28,"MMM")&amp;"!$B$9:$B$999"),AJ28)+SUMIFS(Abwesenheit!$J$3:$J$199,Abwesenheit!$D$3:$D$199,AJ28))</f>
        <v>0</v>
      </c>
      <c r="AL28" s="35">
        <f>IF($B28&gt;DAY(EOMONTH(AJ$4,0)),"",IF(OR(AJ28&lt;IF(YEAR(Eintritt)&lt;Jahr,DATE(Jahr,1,1),Eintritt),AJ28&gt;IF(Austritt="",DATE(Jahr,12,31),Austritt)),0,VLOOKUP(TEXT(AJ28,"TTT"),Stammdaten!$B$20:$F$26,5,FALSE)-IF(ISERROR(VLOOKUP(AJ28,Stammdaten!$I$9:$J$26,2,FALSE)),0,SUMIFS(Stammdaten!$J$9:$J$26,Stammdaten!$I$9:$I$26,AJ28)/24)))</f>
        <v>0</v>
      </c>
      <c r="AM28" s="37">
        <v>24</v>
      </c>
      <c r="AP28" s="40"/>
      <c r="AQ28" s="8"/>
      <c r="AR28" s="8"/>
      <c r="AS28" s="8"/>
    </row>
    <row r="29" spans="1:45" x14ac:dyDescent="0.3">
      <c r="A29" s="33"/>
      <c r="B29" s="37">
        <v>25</v>
      </c>
      <c r="C29" s="36">
        <f t="shared" si="0"/>
        <v>45682</v>
      </c>
      <c r="D29" s="34">
        <f ca="1">IF($B29&gt;DAY(EOMONTH(C$4,0)),"",SUMIFS(INDIRECT(TEXT(C29,"MMM")&amp;"!$L$9:$L$999"),INDIRECT(TEXT(C29,"MMM")&amp;"!$B$9:$B$999"),C29)+SUMIFS(Abwesenheit!$J$3:$J$199,Abwesenheit!$D$3:$D$199,C29))</f>
        <v>0</v>
      </c>
      <c r="E29" s="35">
        <f>IF($B29&gt;DAY(EOMONTH(C$4,0)),"",IF(OR(C29&lt;IF(YEAR(Eintritt)&lt;Jahr,DATE(Jahr,1,1),Eintritt),C29&gt;IF(Austritt="",DATE(Jahr,12,31),Austritt)),0,IF(OR(ISERROR(VLOOKUP(C29,Stammdaten!$I$9:$J$26,2,FALSE)),SUMIFS(Stammdaten!$J$9:$J$26,Stammdaten!$I$9:$I$26,C29)=0),VLOOKUP(TEXT(C29,"TTT"),Stammdaten!$B$20:$F$26,5,FALSE),0)))</f>
        <v>0</v>
      </c>
      <c r="F29" s="36">
        <f t="shared" si="1"/>
        <v>45713</v>
      </c>
      <c r="G29" s="34">
        <f ca="1">IF($B29&gt;DAY(EOMONTH(F$4,0)),"",SUMIFS(INDIRECT(TEXT(F29,"MMM")&amp;"!$L$9:$L$999"),INDIRECT(TEXT(F29,"MMM")&amp;"!$B$9:$B$999"),F29)+SUMIFS(Abwesenheit!$J$3:$J$199,Abwesenheit!$D$3:$D$199,F29))</f>
        <v>0</v>
      </c>
      <c r="H29" s="35">
        <f>IF($B29&gt;DAY(EOMONTH(F$4,0)),"",IF(OR(F29&lt;IF(YEAR(Eintritt)&lt;Jahr,DATE(Jahr,1,1),Eintritt),F29&gt;IF(Austritt="",DATE(Jahr,12,31),Austritt)),0,IF(OR(ISERROR(VLOOKUP(F29,Stammdaten!$I$9:$J$26,2,FALSE)),SUMIFS(Stammdaten!$J$9:$J$26,Stammdaten!$I$9:$I$26,F29)=0),VLOOKUP(TEXT(F29,"TTT"),Stammdaten!$B$20:$F$26,5,FALSE),0)))</f>
        <v>0</v>
      </c>
      <c r="I29" s="36">
        <f t="shared" si="2"/>
        <v>45741</v>
      </c>
      <c r="J29" s="34">
        <f ca="1">IF($B29&gt;DAY(EOMONTH(I$4,0)),"",SUMIFS(INDIRECT(TEXT(I29,"MMM")&amp;"!$L$9:$L$999"),INDIRECT(TEXT(I29,"MMM")&amp;"!$B$9:$B$999"),I29)+SUMIFS(Abwesenheit!$J$3:$J$199,Abwesenheit!$D$3:$D$199,I29))</f>
        <v>0</v>
      </c>
      <c r="K29" s="35">
        <f>IF($B29&gt;DAY(EOMONTH(I$4,0)),"",IF(OR(I29&lt;IF(YEAR(Eintritt)&lt;Jahr,DATE(Jahr,1,1),Eintritt),I29&gt;IF(Austritt="",DATE(Jahr,12,31),Austritt)),0,IF(OR(ISERROR(VLOOKUP(I29,Stammdaten!$I$9:$J$26,2,FALSE)),SUMIFS(Stammdaten!$J$9:$J$26,Stammdaten!$I$9:$I$26,I29)=0),VLOOKUP(TEXT(I29,"TTT"),Stammdaten!$B$20:$F$26,5,FALSE),0)))</f>
        <v>0</v>
      </c>
      <c r="L29" s="36">
        <f t="shared" si="3"/>
        <v>45772</v>
      </c>
      <c r="M29" s="34">
        <f ca="1">IF($B29&gt;DAY(EOMONTH(L$4,0)),"",SUMIFS(INDIRECT(TEXT(L29,"MMM")&amp;"!$L$9:$L$999"),INDIRECT(TEXT(L29,"MMM")&amp;"!$B$9:$B$999"),L29)+SUMIFS(Abwesenheit!$J$3:$J$199,Abwesenheit!$D$3:$D$199,L29))</f>
        <v>0</v>
      </c>
      <c r="N29" s="35">
        <f>IF($B29&gt;DAY(EOMONTH(L$4,0)),"",IF(OR(L29&lt;IF(YEAR(Eintritt)&lt;Jahr,DATE(Jahr,1,1),Eintritt),L29&gt;IF(Austritt="",DATE(Jahr,12,31),Austritt)),0,IF(OR(ISERROR(VLOOKUP(L29,Stammdaten!$I$9:$J$26,2,FALSE)),SUMIFS(Stammdaten!$J$9:$J$26,Stammdaten!$I$9:$I$26,L29)=0),VLOOKUP(TEXT(L29,"TTT"),Stammdaten!$B$20:$F$26,5,FALSE),0)))</f>
        <v>0</v>
      </c>
      <c r="O29" s="36">
        <f t="shared" si="4"/>
        <v>45802</v>
      </c>
      <c r="P29" s="34">
        <f ca="1">IF($B29&gt;DAY(EOMONTH(O$4,0)),"",SUMIFS(INDIRECT(TEXT(O29,"MMM")&amp;"!$L$9:$L$999"),INDIRECT(TEXT(O29,"MMM")&amp;"!$B$9:$B$999"),O29)+SUMIFS(Abwesenheit!$J$3:$J$199,Abwesenheit!$D$3:$D$199,O29))</f>
        <v>0</v>
      </c>
      <c r="Q29" s="35">
        <f>IF($B29&gt;DAY(EOMONTH(O$4,0)),"",IF(OR(O29&lt;IF(YEAR(Eintritt)&lt;Jahr,DATE(Jahr,1,1),Eintritt),O29&gt;IF(Austritt="",DATE(Jahr,12,31),Austritt)),0,IF(OR(ISERROR(VLOOKUP(O29,Stammdaten!$I$9:$J$26,2,FALSE)),SUMIFS(Stammdaten!$J$9:$J$26,Stammdaten!$I$9:$I$26,O29)=0),VLOOKUP(TEXT(O29,"TTT"),Stammdaten!$B$20:$F$26,5,FALSE),0)))</f>
        <v>0</v>
      </c>
      <c r="R29" s="36">
        <f t="shared" si="5"/>
        <v>45833</v>
      </c>
      <c r="S29" s="34">
        <f ca="1">IF($B29&gt;DAY(EOMONTH(R$4,0)),"",SUMIFS(INDIRECT(TEXT(R29,"MMM")&amp;"!$L$9:$L$999"),INDIRECT(TEXT(R29,"MMM")&amp;"!$B$9:$B$999"),R29)+SUMIFS(Abwesenheit!$J$3:$J$199,Abwesenheit!$D$3:$D$199,R29))</f>
        <v>0</v>
      </c>
      <c r="T29" s="35">
        <f>IF($B29&gt;DAY(EOMONTH(R$4,0)),"",IF(OR(R29&lt;IF(YEAR(Eintritt)&lt;Jahr,DATE(Jahr,1,1),Eintritt),R29&gt;IF(Austritt="",DATE(Jahr,12,31),Austritt)),0,IF(OR(ISERROR(VLOOKUP(R29,Stammdaten!$I$9:$J$26,2,FALSE)),SUMIFS(Stammdaten!$J$9:$J$26,Stammdaten!$I$9:$I$26,R29)=0),VLOOKUP(TEXT(R29,"TTT"),Stammdaten!$B$20:$F$26,5,FALSE),0)))</f>
        <v>0</v>
      </c>
      <c r="U29" s="36">
        <f t="shared" si="6"/>
        <v>45863</v>
      </c>
      <c r="V29" s="34">
        <f ca="1">IF($B29&gt;DAY(EOMONTH(U$4,0)),"",SUMIFS(INDIRECT(TEXT(U29,"MMM")&amp;"!$L$9:$L$999"),INDIRECT(TEXT(U29,"MMM")&amp;"!$B$9:$B$999"),U29)+SUMIFS(Abwesenheit!$J$3:$J$199,Abwesenheit!$D$3:$D$199,U29))</f>
        <v>0</v>
      </c>
      <c r="W29" s="35">
        <f>IF($B29&gt;DAY(EOMONTH(U$4,0)),"",IF(OR(U29&lt;IF(YEAR(Eintritt)&lt;Jahr,DATE(Jahr,1,1),Eintritt),U29&gt;IF(Austritt="",DATE(Jahr,12,31),Austritt)),0,IF(OR(ISERROR(VLOOKUP(U29,Stammdaten!$I$9:$J$26,2,FALSE)),SUMIFS(Stammdaten!$J$9:$J$26,Stammdaten!$I$9:$I$26,U29)=0),VLOOKUP(TEXT(U29,"TTT"),Stammdaten!$B$20:$F$26,5,FALSE),0)))</f>
        <v>0.33333333333333337</v>
      </c>
      <c r="X29" s="36">
        <f t="shared" si="7"/>
        <v>45894</v>
      </c>
      <c r="Y29" s="34">
        <f ca="1">IF($B29&gt;DAY(EOMONTH(X$4,0)),"",SUMIFS(INDIRECT(TEXT(X29,"MMM")&amp;"!$L$9:$L$999"),INDIRECT(TEXT(X29,"MMM")&amp;"!$B$9:$B$999"),X29)+SUMIFS(Abwesenheit!$J$3:$J$199,Abwesenheit!$D$3:$D$199,X29))</f>
        <v>0</v>
      </c>
      <c r="Z29" s="35">
        <f>IF($B29&gt;DAY(EOMONTH(X$4,0)),"",IF(OR(X29&lt;IF(YEAR(Eintritt)&lt;Jahr,DATE(Jahr,1,1),Eintritt),X29&gt;IF(Austritt="",DATE(Jahr,12,31),Austritt)),0,IF(OR(ISERROR(VLOOKUP(X29,Stammdaten!$I$9:$J$26,2,FALSE)),SUMIFS(Stammdaten!$J$9:$J$26,Stammdaten!$I$9:$I$26,X29)=0),VLOOKUP(TEXT(X29,"TTT"),Stammdaten!$B$20:$F$26,5,FALSE),0)))</f>
        <v>0</v>
      </c>
      <c r="AA29" s="36">
        <f t="shared" si="8"/>
        <v>45925</v>
      </c>
      <c r="AB29" s="34">
        <f ca="1">IF($B29&gt;DAY(EOMONTH(AA$4,0)),"",SUMIFS(INDIRECT(TEXT(AA29,"MMM")&amp;"!$L$9:$L$999"),INDIRECT(TEXT(AA29,"MMM")&amp;"!$B$9:$B$999"),AA29)+SUMIFS(Abwesenheit!$J$3:$J$199,Abwesenheit!$D$3:$D$199,AA29))</f>
        <v>0</v>
      </c>
      <c r="AC29" s="35">
        <f>IF($B29&gt;DAY(EOMONTH(AA$4,0)),"",IF(OR(AA29&lt;IF(YEAR(Eintritt)&lt;Jahr,DATE(Jahr,1,1),Eintritt),AA29&gt;IF(Austritt="",DATE(Jahr,12,31),Austritt)),0,IF(OR(ISERROR(VLOOKUP(AA29,Stammdaten!$I$9:$J$26,2,FALSE)),SUMIFS(Stammdaten!$J$9:$J$26,Stammdaten!$I$9:$I$26,AA29)=0),VLOOKUP(TEXT(AA29,"TTT"),Stammdaten!$B$20:$F$26,5,FALSE),0)))</f>
        <v>0</v>
      </c>
      <c r="AD29" s="36">
        <f t="shared" si="9"/>
        <v>45955</v>
      </c>
      <c r="AE29" s="34">
        <f ca="1">IF($B29&gt;DAY(EOMONTH(AD$4,0)),"",SUMIFS(INDIRECT(TEXT(AD29,"MMM")&amp;"!$L$9:$L$999"),INDIRECT(TEXT(AD29,"MMM")&amp;"!$B$9:$B$999"),AD29)+SUMIFS(Abwesenheit!$J$3:$J$199,Abwesenheit!$D$3:$D$199,AD29))</f>
        <v>0</v>
      </c>
      <c r="AF29" s="35">
        <f>IF($B29&gt;DAY(EOMONTH(AD$4,0)),"",IF(OR(AD29&lt;IF(YEAR(Eintritt)&lt;Jahr,DATE(Jahr,1,1),Eintritt),AD29&gt;IF(Austritt="",DATE(Jahr,12,31),Austritt)),0,IF(OR(ISERROR(VLOOKUP(AD29,Stammdaten!$I$9:$J$26,2,FALSE)),SUMIFS(Stammdaten!$J$9:$J$26,Stammdaten!$I$9:$I$26,AD29)=0),VLOOKUP(TEXT(AD29,"TTT"),Stammdaten!$B$20:$F$26,5,FALSE),0)))</f>
        <v>0</v>
      </c>
      <c r="AG29" s="36">
        <f t="shared" si="10"/>
        <v>45986</v>
      </c>
      <c r="AH29" s="34">
        <f ca="1">IF($B29&gt;DAY(EOMONTH(AG$4,0)),"",SUMIFS(INDIRECT(TEXT(AG29,"MMM")&amp;"!$L$9:$L$999"),INDIRECT(TEXT(AG29,"MMM")&amp;"!$B$9:$B$999"),AG29)+SUMIFS(Abwesenheit!$J$3:$J$199,Abwesenheit!$D$3:$D$199,AG29))</f>
        <v>0</v>
      </c>
      <c r="AI29" s="35">
        <f>IF($B29&gt;DAY(EOMONTH(AG$4,0)),"",IF(OR(AG29&lt;IF(YEAR(Eintritt)&lt;Jahr,DATE(Jahr,1,1),Eintritt),AG29&gt;IF(Austritt="",DATE(Jahr,12,31),Austritt)),0,IF(OR(ISERROR(VLOOKUP(AG29,Stammdaten!$I$9:$J$26,2,FALSE)),SUMIFS(Stammdaten!$J$9:$J$26,Stammdaten!$I$9:$I$26,AG29)=0),VLOOKUP(TEXT(AG29,"TTT"),Stammdaten!$B$20:$F$26,5,FALSE),0)))</f>
        <v>0</v>
      </c>
      <c r="AJ29" s="36">
        <f t="shared" si="11"/>
        <v>46016</v>
      </c>
      <c r="AK29" s="34">
        <f ca="1">IF($B29&gt;DAY(EOMONTH(AJ$4,0)),"",SUMIFS(INDIRECT(TEXT(AJ29,"MMM")&amp;"!$L$9:$L$999"),INDIRECT(TEXT(AJ29,"MMM")&amp;"!$B$9:$B$999"),AJ29)+SUMIFS(Abwesenheit!$J$3:$J$199,Abwesenheit!$D$3:$D$199,AJ29))</f>
        <v>0</v>
      </c>
      <c r="AL29" s="35">
        <f>IF($B29&gt;DAY(EOMONTH(AJ$4,0)),"",IF(OR(AJ29&lt;IF(YEAR(Eintritt)&lt;Jahr,DATE(Jahr,1,1),Eintritt),AJ29&gt;IF(Austritt="",DATE(Jahr,12,31),Austritt)),0,VLOOKUP(TEXT(AJ29,"TTT"),Stammdaten!$B$20:$F$26,5,FALSE)-IF(ISERROR(VLOOKUP(AJ29,Stammdaten!$I$9:$J$26,2,FALSE)),0,SUMIFS(Stammdaten!$J$9:$J$26,Stammdaten!$I$9:$I$26,AJ29)/24)))</f>
        <v>0</v>
      </c>
      <c r="AM29" s="37">
        <v>25</v>
      </c>
      <c r="AP29" s="8"/>
      <c r="AQ29" s="8"/>
      <c r="AR29" s="8"/>
      <c r="AS29" s="8"/>
    </row>
    <row r="30" spans="1:45" x14ac:dyDescent="0.3">
      <c r="A30" s="33"/>
      <c r="B30" s="37">
        <v>26</v>
      </c>
      <c r="C30" s="36">
        <f t="shared" si="0"/>
        <v>45683</v>
      </c>
      <c r="D30" s="34">
        <f ca="1">IF($B30&gt;DAY(EOMONTH(C$4,0)),"",SUMIFS(INDIRECT(TEXT(C30,"MMM")&amp;"!$L$9:$L$999"),INDIRECT(TEXT(C30,"MMM")&amp;"!$B$9:$B$999"),C30)+SUMIFS(Abwesenheit!$J$3:$J$199,Abwesenheit!$D$3:$D$199,C30))</f>
        <v>0</v>
      </c>
      <c r="E30" s="35">
        <f>IF($B30&gt;DAY(EOMONTH(C$4,0)),"",IF(OR(C30&lt;IF(YEAR(Eintritt)&lt;Jahr,DATE(Jahr,1,1),Eintritt),C30&gt;IF(Austritt="",DATE(Jahr,12,31),Austritt)),0,IF(OR(ISERROR(VLOOKUP(C30,Stammdaten!$I$9:$J$26,2,FALSE)),SUMIFS(Stammdaten!$J$9:$J$26,Stammdaten!$I$9:$I$26,C30)=0),VLOOKUP(TEXT(C30,"TTT"),Stammdaten!$B$20:$F$26,5,FALSE),0)))</f>
        <v>0</v>
      </c>
      <c r="F30" s="36">
        <f t="shared" si="1"/>
        <v>45714</v>
      </c>
      <c r="G30" s="34">
        <f ca="1">IF($B30&gt;DAY(EOMONTH(F$4,0)),"",SUMIFS(INDIRECT(TEXT(F30,"MMM")&amp;"!$L$9:$L$999"),INDIRECT(TEXT(F30,"MMM")&amp;"!$B$9:$B$999"),F30)+SUMIFS(Abwesenheit!$J$3:$J$199,Abwesenheit!$D$3:$D$199,F30))</f>
        <v>0</v>
      </c>
      <c r="H30" s="35">
        <f>IF($B30&gt;DAY(EOMONTH(F$4,0)),"",IF(OR(F30&lt;IF(YEAR(Eintritt)&lt;Jahr,DATE(Jahr,1,1),Eintritt),F30&gt;IF(Austritt="",DATE(Jahr,12,31),Austritt)),0,IF(OR(ISERROR(VLOOKUP(F30,Stammdaten!$I$9:$J$26,2,FALSE)),SUMIFS(Stammdaten!$J$9:$J$26,Stammdaten!$I$9:$I$26,F30)=0),VLOOKUP(TEXT(F30,"TTT"),Stammdaten!$B$20:$F$26,5,FALSE),0)))</f>
        <v>0</v>
      </c>
      <c r="I30" s="36">
        <f t="shared" si="2"/>
        <v>45742</v>
      </c>
      <c r="J30" s="34">
        <f ca="1">IF($B30&gt;DAY(EOMONTH(I$4,0)),"",SUMIFS(INDIRECT(TEXT(I30,"MMM")&amp;"!$L$9:$L$999"),INDIRECT(TEXT(I30,"MMM")&amp;"!$B$9:$B$999"),I30)+SUMIFS(Abwesenheit!$J$3:$J$199,Abwesenheit!$D$3:$D$199,I30))</f>
        <v>0</v>
      </c>
      <c r="K30" s="35">
        <f>IF($B30&gt;DAY(EOMONTH(I$4,0)),"",IF(OR(I30&lt;IF(YEAR(Eintritt)&lt;Jahr,DATE(Jahr,1,1),Eintritt),I30&gt;IF(Austritt="",DATE(Jahr,12,31),Austritt)),0,IF(OR(ISERROR(VLOOKUP(I30,Stammdaten!$I$9:$J$26,2,FALSE)),SUMIFS(Stammdaten!$J$9:$J$26,Stammdaten!$I$9:$I$26,I30)=0),VLOOKUP(TEXT(I30,"TTT"),Stammdaten!$B$20:$F$26,5,FALSE),0)))</f>
        <v>0</v>
      </c>
      <c r="L30" s="36">
        <f t="shared" si="3"/>
        <v>45773</v>
      </c>
      <c r="M30" s="34">
        <f ca="1">IF($B30&gt;DAY(EOMONTH(L$4,0)),"",SUMIFS(INDIRECT(TEXT(L30,"MMM")&amp;"!$L$9:$L$999"),INDIRECT(TEXT(L30,"MMM")&amp;"!$B$9:$B$999"),L30)+SUMIFS(Abwesenheit!$J$3:$J$199,Abwesenheit!$D$3:$D$199,L30))</f>
        <v>0</v>
      </c>
      <c r="N30" s="35">
        <f>IF($B30&gt;DAY(EOMONTH(L$4,0)),"",IF(OR(L30&lt;IF(YEAR(Eintritt)&lt;Jahr,DATE(Jahr,1,1),Eintritt),L30&gt;IF(Austritt="",DATE(Jahr,12,31),Austritt)),0,IF(OR(ISERROR(VLOOKUP(L30,Stammdaten!$I$9:$J$26,2,FALSE)),SUMIFS(Stammdaten!$J$9:$J$26,Stammdaten!$I$9:$I$26,L30)=0),VLOOKUP(TEXT(L30,"TTT"),Stammdaten!$B$20:$F$26,5,FALSE),0)))</f>
        <v>0</v>
      </c>
      <c r="O30" s="36">
        <f t="shared" si="4"/>
        <v>45803</v>
      </c>
      <c r="P30" s="34">
        <f ca="1">IF($B30&gt;DAY(EOMONTH(O$4,0)),"",SUMIFS(INDIRECT(TEXT(O30,"MMM")&amp;"!$L$9:$L$999"),INDIRECT(TEXT(O30,"MMM")&amp;"!$B$9:$B$999"),O30)+SUMIFS(Abwesenheit!$J$3:$J$199,Abwesenheit!$D$3:$D$199,O30))</f>
        <v>0</v>
      </c>
      <c r="Q30" s="35">
        <f>IF($B30&gt;DAY(EOMONTH(O$4,0)),"",IF(OR(O30&lt;IF(YEAR(Eintritt)&lt;Jahr,DATE(Jahr,1,1),Eintritt),O30&gt;IF(Austritt="",DATE(Jahr,12,31),Austritt)),0,IF(OR(ISERROR(VLOOKUP(O30,Stammdaten!$I$9:$J$26,2,FALSE)),SUMIFS(Stammdaten!$J$9:$J$26,Stammdaten!$I$9:$I$26,O30)=0),VLOOKUP(TEXT(O30,"TTT"),Stammdaten!$B$20:$F$26,5,FALSE),0)))</f>
        <v>0</v>
      </c>
      <c r="R30" s="36">
        <f t="shared" si="5"/>
        <v>45834</v>
      </c>
      <c r="S30" s="34">
        <f ca="1">IF($B30&gt;DAY(EOMONTH(R$4,0)),"",SUMIFS(INDIRECT(TEXT(R30,"MMM")&amp;"!$L$9:$L$999"),INDIRECT(TEXT(R30,"MMM")&amp;"!$B$9:$B$999"),R30)+SUMIFS(Abwesenheit!$J$3:$J$199,Abwesenheit!$D$3:$D$199,R30))</f>
        <v>0</v>
      </c>
      <c r="T30" s="35">
        <f>IF($B30&gt;DAY(EOMONTH(R$4,0)),"",IF(OR(R30&lt;IF(YEAR(Eintritt)&lt;Jahr,DATE(Jahr,1,1),Eintritt),R30&gt;IF(Austritt="",DATE(Jahr,12,31),Austritt)),0,IF(OR(ISERROR(VLOOKUP(R30,Stammdaten!$I$9:$J$26,2,FALSE)),SUMIFS(Stammdaten!$J$9:$J$26,Stammdaten!$I$9:$I$26,R30)=0),VLOOKUP(TEXT(R30,"TTT"),Stammdaten!$B$20:$F$26,5,FALSE),0)))</f>
        <v>0</v>
      </c>
      <c r="U30" s="36">
        <f t="shared" si="6"/>
        <v>45864</v>
      </c>
      <c r="V30" s="34">
        <f ca="1">IF($B30&gt;DAY(EOMONTH(U$4,0)),"",SUMIFS(INDIRECT(TEXT(U30,"MMM")&amp;"!$L$9:$L$999"),INDIRECT(TEXT(U30,"MMM")&amp;"!$B$9:$B$999"),U30)+SUMIFS(Abwesenheit!$J$3:$J$199,Abwesenheit!$D$3:$D$199,U30))</f>
        <v>0</v>
      </c>
      <c r="W30" s="35">
        <f>IF($B30&gt;DAY(EOMONTH(U$4,0)),"",IF(OR(U30&lt;IF(YEAR(Eintritt)&lt;Jahr,DATE(Jahr,1,1),Eintritt),U30&gt;IF(Austritt="",DATE(Jahr,12,31),Austritt)),0,IF(OR(ISERROR(VLOOKUP(U30,Stammdaten!$I$9:$J$26,2,FALSE)),SUMIFS(Stammdaten!$J$9:$J$26,Stammdaten!$I$9:$I$26,U30)=0),VLOOKUP(TEXT(U30,"TTT"),Stammdaten!$B$20:$F$26,5,FALSE),0)))</f>
        <v>0</v>
      </c>
      <c r="X30" s="36">
        <f t="shared" si="7"/>
        <v>45895</v>
      </c>
      <c r="Y30" s="34">
        <f ca="1">IF($B30&gt;DAY(EOMONTH(X$4,0)),"",SUMIFS(INDIRECT(TEXT(X30,"MMM")&amp;"!$L$9:$L$999"),INDIRECT(TEXT(X30,"MMM")&amp;"!$B$9:$B$999"),X30)+SUMIFS(Abwesenheit!$J$3:$J$199,Abwesenheit!$D$3:$D$199,X30))</f>
        <v>0</v>
      </c>
      <c r="Z30" s="35">
        <f>IF($B30&gt;DAY(EOMONTH(X$4,0)),"",IF(OR(X30&lt;IF(YEAR(Eintritt)&lt;Jahr,DATE(Jahr,1,1),Eintritt),X30&gt;IF(Austritt="",DATE(Jahr,12,31),Austritt)),0,IF(OR(ISERROR(VLOOKUP(X30,Stammdaten!$I$9:$J$26,2,FALSE)),SUMIFS(Stammdaten!$J$9:$J$26,Stammdaten!$I$9:$I$26,X30)=0),VLOOKUP(TEXT(X30,"TTT"),Stammdaten!$B$20:$F$26,5,FALSE),0)))</f>
        <v>0</v>
      </c>
      <c r="AA30" s="36">
        <f t="shared" si="8"/>
        <v>45926</v>
      </c>
      <c r="AB30" s="34">
        <f ca="1">IF($B30&gt;DAY(EOMONTH(AA$4,0)),"",SUMIFS(INDIRECT(TEXT(AA30,"MMM")&amp;"!$L$9:$L$999"),INDIRECT(TEXT(AA30,"MMM")&amp;"!$B$9:$B$999"),AA30)+SUMIFS(Abwesenheit!$J$3:$J$199,Abwesenheit!$D$3:$D$199,AA30))</f>
        <v>0</v>
      </c>
      <c r="AC30" s="35">
        <f>IF($B30&gt;DAY(EOMONTH(AA$4,0)),"",IF(OR(AA30&lt;IF(YEAR(Eintritt)&lt;Jahr,DATE(Jahr,1,1),Eintritt),AA30&gt;IF(Austritt="",DATE(Jahr,12,31),Austritt)),0,IF(OR(ISERROR(VLOOKUP(AA30,Stammdaten!$I$9:$J$26,2,FALSE)),SUMIFS(Stammdaten!$J$9:$J$26,Stammdaten!$I$9:$I$26,AA30)=0),VLOOKUP(TEXT(AA30,"TTT"),Stammdaten!$B$20:$F$26,5,FALSE),0)))</f>
        <v>0</v>
      </c>
      <c r="AD30" s="36">
        <f t="shared" si="9"/>
        <v>45956</v>
      </c>
      <c r="AE30" s="34">
        <f ca="1">IF($B30&gt;DAY(EOMONTH(AD$4,0)),"",SUMIFS(INDIRECT(TEXT(AD30,"MMM")&amp;"!$L$9:$L$999"),INDIRECT(TEXT(AD30,"MMM")&amp;"!$B$9:$B$999"),AD30)+SUMIFS(Abwesenheit!$J$3:$J$199,Abwesenheit!$D$3:$D$199,AD30))</f>
        <v>0</v>
      </c>
      <c r="AF30" s="35">
        <f>IF($B30&gt;DAY(EOMONTH(AD$4,0)),"",IF(OR(AD30&lt;IF(YEAR(Eintritt)&lt;Jahr,DATE(Jahr,1,1),Eintritt),AD30&gt;IF(Austritt="",DATE(Jahr,12,31),Austritt)),0,IF(OR(ISERROR(VLOOKUP(AD30,Stammdaten!$I$9:$J$26,2,FALSE)),SUMIFS(Stammdaten!$J$9:$J$26,Stammdaten!$I$9:$I$26,AD30)=0),VLOOKUP(TEXT(AD30,"TTT"),Stammdaten!$B$20:$F$26,5,FALSE),0)))</f>
        <v>0</v>
      </c>
      <c r="AG30" s="36">
        <f t="shared" si="10"/>
        <v>45987</v>
      </c>
      <c r="AH30" s="34">
        <f ca="1">IF($B30&gt;DAY(EOMONTH(AG$4,0)),"",SUMIFS(INDIRECT(TEXT(AG30,"MMM")&amp;"!$L$9:$L$999"),INDIRECT(TEXT(AG30,"MMM")&amp;"!$B$9:$B$999"),AG30)+SUMIFS(Abwesenheit!$J$3:$J$199,Abwesenheit!$D$3:$D$199,AG30))</f>
        <v>0</v>
      </c>
      <c r="AI30" s="35">
        <f>IF($B30&gt;DAY(EOMONTH(AG$4,0)),"",IF(OR(AG30&lt;IF(YEAR(Eintritt)&lt;Jahr,DATE(Jahr,1,1),Eintritt),AG30&gt;IF(Austritt="",DATE(Jahr,12,31),Austritt)),0,IF(OR(ISERROR(VLOOKUP(AG30,Stammdaten!$I$9:$J$26,2,FALSE)),SUMIFS(Stammdaten!$J$9:$J$26,Stammdaten!$I$9:$I$26,AG30)=0),VLOOKUP(TEXT(AG30,"TTT"),Stammdaten!$B$20:$F$26,5,FALSE),0)))</f>
        <v>0</v>
      </c>
      <c r="AJ30" s="36">
        <f t="shared" si="11"/>
        <v>46017</v>
      </c>
      <c r="AK30" s="34">
        <f ca="1">IF($B30&gt;DAY(EOMONTH(AJ$4,0)),"",SUMIFS(INDIRECT(TEXT(AJ30,"MMM")&amp;"!$L$9:$L$999"),INDIRECT(TEXT(AJ30,"MMM")&amp;"!$B$9:$B$999"),AJ30)+SUMIFS(Abwesenheit!$J$3:$J$199,Abwesenheit!$D$3:$D$199,AJ30))</f>
        <v>0</v>
      </c>
      <c r="AL30" s="35">
        <f>IF($B30&gt;DAY(EOMONTH(AJ$4,0)),"",IF(OR(AJ30&lt;IF(YEAR(Eintritt)&lt;Jahr,DATE(Jahr,1,1),Eintritt),AJ30&gt;IF(Austritt="",DATE(Jahr,12,31),Austritt)),0,VLOOKUP(TEXT(AJ30,"TTT"),Stammdaten!$B$20:$F$26,5,FALSE)-IF(ISERROR(VLOOKUP(AJ30,Stammdaten!$I$9:$J$26,2,FALSE)),0,SUMIFS(Stammdaten!$J$9:$J$26,Stammdaten!$I$9:$I$26,AJ30)/24)))</f>
        <v>0</v>
      </c>
      <c r="AM30" s="37">
        <v>26</v>
      </c>
      <c r="AP30" s="8"/>
      <c r="AQ30" s="8"/>
      <c r="AR30" s="8"/>
      <c r="AS30" s="8"/>
    </row>
    <row r="31" spans="1:45" x14ac:dyDescent="0.3">
      <c r="A31" s="33"/>
      <c r="B31" s="37">
        <v>27</v>
      </c>
      <c r="C31" s="36">
        <f t="shared" si="0"/>
        <v>45684</v>
      </c>
      <c r="D31" s="34">
        <f ca="1">IF($B31&gt;DAY(EOMONTH(C$4,0)),"",SUMIFS(INDIRECT(TEXT(C31,"MMM")&amp;"!$L$9:$L$999"),INDIRECT(TEXT(C31,"MMM")&amp;"!$B$9:$B$999"),C31)+SUMIFS(Abwesenheit!$J$3:$J$199,Abwesenheit!$D$3:$D$199,C31))</f>
        <v>0</v>
      </c>
      <c r="E31" s="35">
        <f>IF($B31&gt;DAY(EOMONTH(C$4,0)),"",IF(OR(C31&lt;IF(YEAR(Eintritt)&lt;Jahr,DATE(Jahr,1,1),Eintritt),C31&gt;IF(Austritt="",DATE(Jahr,12,31),Austritt)),0,IF(OR(ISERROR(VLOOKUP(C31,Stammdaten!$I$9:$J$26,2,FALSE)),SUMIFS(Stammdaten!$J$9:$J$26,Stammdaten!$I$9:$I$26,C31)=0),VLOOKUP(TEXT(C31,"TTT"),Stammdaten!$B$20:$F$26,5,FALSE),0)))</f>
        <v>0</v>
      </c>
      <c r="F31" s="36">
        <f t="shared" si="1"/>
        <v>45715</v>
      </c>
      <c r="G31" s="34">
        <f ca="1">IF($B31&gt;DAY(EOMONTH(F$4,0)),"",SUMIFS(INDIRECT(TEXT(F31,"MMM")&amp;"!$L$9:$L$999"),INDIRECT(TEXT(F31,"MMM")&amp;"!$B$9:$B$999"),F31)+SUMIFS(Abwesenheit!$J$3:$J$199,Abwesenheit!$D$3:$D$199,F31))</f>
        <v>0</v>
      </c>
      <c r="H31" s="35">
        <f>IF($B31&gt;DAY(EOMONTH(F$4,0)),"",IF(OR(F31&lt;IF(YEAR(Eintritt)&lt;Jahr,DATE(Jahr,1,1),Eintritt),F31&gt;IF(Austritt="",DATE(Jahr,12,31),Austritt)),0,IF(OR(ISERROR(VLOOKUP(F31,Stammdaten!$I$9:$J$26,2,FALSE)),SUMIFS(Stammdaten!$J$9:$J$26,Stammdaten!$I$9:$I$26,F31)=0),VLOOKUP(TEXT(F31,"TTT"),Stammdaten!$B$20:$F$26,5,FALSE),0)))</f>
        <v>0</v>
      </c>
      <c r="I31" s="36">
        <f t="shared" si="2"/>
        <v>45743</v>
      </c>
      <c r="J31" s="34">
        <f ca="1">IF($B31&gt;DAY(EOMONTH(I$4,0)),"",SUMIFS(INDIRECT(TEXT(I31,"MMM")&amp;"!$L$9:$L$999"),INDIRECT(TEXT(I31,"MMM")&amp;"!$B$9:$B$999"),I31)+SUMIFS(Abwesenheit!$J$3:$J$199,Abwesenheit!$D$3:$D$199,I31))</f>
        <v>0</v>
      </c>
      <c r="K31" s="35">
        <f>IF($B31&gt;DAY(EOMONTH(I$4,0)),"",IF(OR(I31&lt;IF(YEAR(Eintritt)&lt;Jahr,DATE(Jahr,1,1),Eintritt),I31&gt;IF(Austritt="",DATE(Jahr,12,31),Austritt)),0,IF(OR(ISERROR(VLOOKUP(I31,Stammdaten!$I$9:$J$26,2,FALSE)),SUMIFS(Stammdaten!$J$9:$J$26,Stammdaten!$I$9:$I$26,I31)=0),VLOOKUP(TEXT(I31,"TTT"),Stammdaten!$B$20:$F$26,5,FALSE),0)))</f>
        <v>0</v>
      </c>
      <c r="L31" s="36">
        <f t="shared" si="3"/>
        <v>45774</v>
      </c>
      <c r="M31" s="34">
        <f ca="1">IF($B31&gt;DAY(EOMONTH(L$4,0)),"",SUMIFS(INDIRECT(TEXT(L31,"MMM")&amp;"!$L$9:$L$999"),INDIRECT(TEXT(L31,"MMM")&amp;"!$B$9:$B$999"),L31)+SUMIFS(Abwesenheit!$J$3:$J$199,Abwesenheit!$D$3:$D$199,L31))</f>
        <v>0</v>
      </c>
      <c r="N31" s="35">
        <f>IF($B31&gt;DAY(EOMONTH(L$4,0)),"",IF(OR(L31&lt;IF(YEAR(Eintritt)&lt;Jahr,DATE(Jahr,1,1),Eintritt),L31&gt;IF(Austritt="",DATE(Jahr,12,31),Austritt)),0,IF(OR(ISERROR(VLOOKUP(L31,Stammdaten!$I$9:$J$26,2,FALSE)),SUMIFS(Stammdaten!$J$9:$J$26,Stammdaten!$I$9:$I$26,L31)=0),VLOOKUP(TEXT(L31,"TTT"),Stammdaten!$B$20:$F$26,5,FALSE),0)))</f>
        <v>0</v>
      </c>
      <c r="O31" s="36">
        <f t="shared" si="4"/>
        <v>45804</v>
      </c>
      <c r="P31" s="34">
        <f ca="1">IF($B31&gt;DAY(EOMONTH(O$4,0)),"",SUMIFS(INDIRECT(TEXT(O31,"MMM")&amp;"!$L$9:$L$999"),INDIRECT(TEXT(O31,"MMM")&amp;"!$B$9:$B$999"),O31)+SUMIFS(Abwesenheit!$J$3:$J$199,Abwesenheit!$D$3:$D$199,O31))</f>
        <v>0</v>
      </c>
      <c r="Q31" s="35">
        <f>IF($B31&gt;DAY(EOMONTH(O$4,0)),"",IF(OR(O31&lt;IF(YEAR(Eintritt)&lt;Jahr,DATE(Jahr,1,1),Eintritt),O31&gt;IF(Austritt="",DATE(Jahr,12,31),Austritt)),0,IF(OR(ISERROR(VLOOKUP(O31,Stammdaten!$I$9:$J$26,2,FALSE)),SUMIFS(Stammdaten!$J$9:$J$26,Stammdaten!$I$9:$I$26,O31)=0),VLOOKUP(TEXT(O31,"TTT"),Stammdaten!$B$20:$F$26,5,FALSE),0)))</f>
        <v>0</v>
      </c>
      <c r="R31" s="36">
        <f t="shared" si="5"/>
        <v>45835</v>
      </c>
      <c r="S31" s="34">
        <f ca="1">IF($B31&gt;DAY(EOMONTH(R$4,0)),"",SUMIFS(INDIRECT(TEXT(R31,"MMM")&amp;"!$L$9:$L$999"),INDIRECT(TEXT(R31,"MMM")&amp;"!$B$9:$B$999"),R31)+SUMIFS(Abwesenheit!$J$3:$J$199,Abwesenheit!$D$3:$D$199,R31))</f>
        <v>0</v>
      </c>
      <c r="T31" s="35">
        <f>IF($B31&gt;DAY(EOMONTH(R$4,0)),"",IF(OR(R31&lt;IF(YEAR(Eintritt)&lt;Jahr,DATE(Jahr,1,1),Eintritt),R31&gt;IF(Austritt="",DATE(Jahr,12,31),Austritt)),0,IF(OR(ISERROR(VLOOKUP(R31,Stammdaten!$I$9:$J$26,2,FALSE)),SUMIFS(Stammdaten!$J$9:$J$26,Stammdaten!$I$9:$I$26,R31)=0),VLOOKUP(TEXT(R31,"TTT"),Stammdaten!$B$20:$F$26,5,FALSE),0)))</f>
        <v>0</v>
      </c>
      <c r="U31" s="36">
        <f t="shared" si="6"/>
        <v>45865</v>
      </c>
      <c r="V31" s="34">
        <f ca="1">IF($B31&gt;DAY(EOMONTH(U$4,0)),"",SUMIFS(INDIRECT(TEXT(U31,"MMM")&amp;"!$L$9:$L$999"),INDIRECT(TEXT(U31,"MMM")&amp;"!$B$9:$B$999"),U31)+SUMIFS(Abwesenheit!$J$3:$J$199,Abwesenheit!$D$3:$D$199,U31))</f>
        <v>0</v>
      </c>
      <c r="W31" s="35">
        <f>IF($B31&gt;DAY(EOMONTH(U$4,0)),"",IF(OR(U31&lt;IF(YEAR(Eintritt)&lt;Jahr,DATE(Jahr,1,1),Eintritt),U31&gt;IF(Austritt="",DATE(Jahr,12,31),Austritt)),0,IF(OR(ISERROR(VLOOKUP(U31,Stammdaten!$I$9:$J$26,2,FALSE)),SUMIFS(Stammdaten!$J$9:$J$26,Stammdaten!$I$9:$I$26,U31)=0),VLOOKUP(TEXT(U31,"TTT"),Stammdaten!$B$20:$F$26,5,FALSE),0)))</f>
        <v>0</v>
      </c>
      <c r="X31" s="36">
        <f t="shared" si="7"/>
        <v>45896</v>
      </c>
      <c r="Y31" s="34">
        <f ca="1">IF($B31&gt;DAY(EOMONTH(X$4,0)),"",SUMIFS(INDIRECT(TEXT(X31,"MMM")&amp;"!$L$9:$L$999"),INDIRECT(TEXT(X31,"MMM")&amp;"!$B$9:$B$999"),X31)+SUMIFS(Abwesenheit!$J$3:$J$199,Abwesenheit!$D$3:$D$199,X31))</f>
        <v>0</v>
      </c>
      <c r="Z31" s="35">
        <f>IF($B31&gt;DAY(EOMONTH(X$4,0)),"",IF(OR(X31&lt;IF(YEAR(Eintritt)&lt;Jahr,DATE(Jahr,1,1),Eintritt),X31&gt;IF(Austritt="",DATE(Jahr,12,31),Austritt)),0,IF(OR(ISERROR(VLOOKUP(X31,Stammdaten!$I$9:$J$26,2,FALSE)),SUMIFS(Stammdaten!$J$9:$J$26,Stammdaten!$I$9:$I$26,X31)=0),VLOOKUP(TEXT(X31,"TTT"),Stammdaten!$B$20:$F$26,5,FALSE),0)))</f>
        <v>0</v>
      </c>
      <c r="AA31" s="36">
        <f t="shared" si="8"/>
        <v>45927</v>
      </c>
      <c r="AB31" s="34">
        <f ca="1">IF($B31&gt;DAY(EOMONTH(AA$4,0)),"",SUMIFS(INDIRECT(TEXT(AA31,"MMM")&amp;"!$L$9:$L$999"),INDIRECT(TEXT(AA31,"MMM")&amp;"!$B$9:$B$999"),AA31)+SUMIFS(Abwesenheit!$J$3:$J$199,Abwesenheit!$D$3:$D$199,AA31))</f>
        <v>0</v>
      </c>
      <c r="AC31" s="35">
        <f>IF($B31&gt;DAY(EOMONTH(AA$4,0)),"",IF(OR(AA31&lt;IF(YEAR(Eintritt)&lt;Jahr,DATE(Jahr,1,1),Eintritt),AA31&gt;IF(Austritt="",DATE(Jahr,12,31),Austritt)),0,IF(OR(ISERROR(VLOOKUP(AA31,Stammdaten!$I$9:$J$26,2,FALSE)),SUMIFS(Stammdaten!$J$9:$J$26,Stammdaten!$I$9:$I$26,AA31)=0),VLOOKUP(TEXT(AA31,"TTT"),Stammdaten!$B$20:$F$26,5,FALSE),0)))</f>
        <v>0</v>
      </c>
      <c r="AD31" s="36">
        <f t="shared" si="9"/>
        <v>45957</v>
      </c>
      <c r="AE31" s="34">
        <f ca="1">IF($B31&gt;DAY(EOMONTH(AD$4,0)),"",SUMIFS(INDIRECT(TEXT(AD31,"MMM")&amp;"!$L$9:$L$999"),INDIRECT(TEXT(AD31,"MMM")&amp;"!$B$9:$B$999"),AD31)+SUMIFS(Abwesenheit!$J$3:$J$199,Abwesenheit!$D$3:$D$199,AD31))</f>
        <v>0</v>
      </c>
      <c r="AF31" s="35">
        <f>IF($B31&gt;DAY(EOMONTH(AD$4,0)),"",IF(OR(AD31&lt;IF(YEAR(Eintritt)&lt;Jahr,DATE(Jahr,1,1),Eintritt),AD31&gt;IF(Austritt="",DATE(Jahr,12,31),Austritt)),0,IF(OR(ISERROR(VLOOKUP(AD31,Stammdaten!$I$9:$J$26,2,FALSE)),SUMIFS(Stammdaten!$J$9:$J$26,Stammdaten!$I$9:$I$26,AD31)=0),VLOOKUP(TEXT(AD31,"TTT"),Stammdaten!$B$20:$F$26,5,FALSE),0)))</f>
        <v>0</v>
      </c>
      <c r="AG31" s="36">
        <f t="shared" si="10"/>
        <v>45988</v>
      </c>
      <c r="AH31" s="34">
        <f ca="1">IF($B31&gt;DAY(EOMONTH(AG$4,0)),"",SUMIFS(INDIRECT(TEXT(AG31,"MMM")&amp;"!$L$9:$L$999"),INDIRECT(TEXT(AG31,"MMM")&amp;"!$B$9:$B$999"),AG31)+SUMIFS(Abwesenheit!$J$3:$J$199,Abwesenheit!$D$3:$D$199,AG31))</f>
        <v>0</v>
      </c>
      <c r="AI31" s="35">
        <f>IF($B31&gt;DAY(EOMONTH(AG$4,0)),"",IF(OR(AG31&lt;IF(YEAR(Eintritt)&lt;Jahr,DATE(Jahr,1,1),Eintritt),AG31&gt;IF(Austritt="",DATE(Jahr,12,31),Austritt)),0,IF(OR(ISERROR(VLOOKUP(AG31,Stammdaten!$I$9:$J$26,2,FALSE)),SUMIFS(Stammdaten!$J$9:$J$26,Stammdaten!$I$9:$I$26,AG31)=0),VLOOKUP(TEXT(AG31,"TTT"),Stammdaten!$B$20:$F$26,5,FALSE),0)))</f>
        <v>0</v>
      </c>
      <c r="AJ31" s="36">
        <f t="shared" si="11"/>
        <v>46018</v>
      </c>
      <c r="AK31" s="34">
        <f ca="1">IF($B31&gt;DAY(EOMONTH(AJ$4,0)),"",SUMIFS(INDIRECT(TEXT(AJ31,"MMM")&amp;"!$L$9:$L$999"),INDIRECT(TEXT(AJ31,"MMM")&amp;"!$B$9:$B$999"),AJ31)+SUMIFS(Abwesenheit!$J$3:$J$199,Abwesenheit!$D$3:$D$199,AJ31))</f>
        <v>0</v>
      </c>
      <c r="AL31" s="35">
        <f>IF($B31&gt;DAY(EOMONTH(AJ$4,0)),"",IF(OR(AJ31&lt;IF(YEAR(Eintritt)&lt;Jahr,DATE(Jahr,1,1),Eintritt),AJ31&gt;IF(Austritt="",DATE(Jahr,12,31),Austritt)),0,VLOOKUP(TEXT(AJ31,"TTT"),Stammdaten!$B$20:$F$26,5,FALSE)-IF(ISERROR(VLOOKUP(AJ31,Stammdaten!$I$9:$J$26,2,FALSE)),0,SUMIFS(Stammdaten!$J$9:$J$26,Stammdaten!$I$9:$I$26,AJ31)/24)))</f>
        <v>0</v>
      </c>
      <c r="AM31" s="37">
        <v>27</v>
      </c>
      <c r="AP31" s="40"/>
      <c r="AQ31" s="8"/>
      <c r="AR31" s="8"/>
      <c r="AS31" s="8"/>
    </row>
    <row r="32" spans="1:45" x14ac:dyDescent="0.3">
      <c r="A32" s="33"/>
      <c r="B32" s="37">
        <v>28</v>
      </c>
      <c r="C32" s="36">
        <f t="shared" si="0"/>
        <v>45685</v>
      </c>
      <c r="D32" s="34">
        <f ca="1">IF($B32&gt;DAY(EOMONTH(C$4,0)),"",SUMIFS(INDIRECT(TEXT(C32,"MMM")&amp;"!$L$9:$L$999"),INDIRECT(TEXT(C32,"MMM")&amp;"!$B$9:$B$999"),C32)+SUMIFS(Abwesenheit!$J$3:$J$199,Abwesenheit!$D$3:$D$199,C32))</f>
        <v>0</v>
      </c>
      <c r="E32" s="35">
        <f>IF($B32&gt;DAY(EOMONTH(C$4,0)),"",IF(OR(C32&lt;IF(YEAR(Eintritt)&lt;Jahr,DATE(Jahr,1,1),Eintritt),C32&gt;IF(Austritt="",DATE(Jahr,12,31),Austritt)),0,IF(OR(ISERROR(VLOOKUP(C32,Stammdaten!$I$9:$J$26,2,FALSE)),SUMIFS(Stammdaten!$J$9:$J$26,Stammdaten!$I$9:$I$26,C32)=0),VLOOKUP(TEXT(C32,"TTT"),Stammdaten!$B$20:$F$26,5,FALSE),0)))</f>
        <v>0</v>
      </c>
      <c r="F32" s="36">
        <f t="shared" si="1"/>
        <v>45716</v>
      </c>
      <c r="G32" s="34">
        <f ca="1">IF($B32&gt;DAY(EOMONTH(F$4,0)),"",SUMIFS(INDIRECT(TEXT(F32,"MMM")&amp;"!$L$9:$L$999"),INDIRECT(TEXT(F32,"MMM")&amp;"!$B$9:$B$999"),F32)+SUMIFS(Abwesenheit!$J$3:$J$199,Abwesenheit!$D$3:$D$199,F32))</f>
        <v>0</v>
      </c>
      <c r="H32" s="35">
        <f>IF($B32&gt;DAY(EOMONTH(F$4,0)),"",IF(OR(F32&lt;IF(YEAR(Eintritt)&lt;Jahr,DATE(Jahr,1,1),Eintritt),F32&gt;IF(Austritt="",DATE(Jahr,12,31),Austritt)),0,IF(OR(ISERROR(VLOOKUP(F32,Stammdaten!$I$9:$J$26,2,FALSE)),SUMIFS(Stammdaten!$J$9:$J$26,Stammdaten!$I$9:$I$26,F32)=0),VLOOKUP(TEXT(F32,"TTT"),Stammdaten!$B$20:$F$26,5,FALSE),0)))</f>
        <v>0</v>
      </c>
      <c r="I32" s="36">
        <f t="shared" si="2"/>
        <v>45744</v>
      </c>
      <c r="J32" s="34">
        <f ca="1">IF($B32&gt;DAY(EOMONTH(I$4,0)),"",SUMIFS(INDIRECT(TEXT(I32,"MMM")&amp;"!$L$9:$L$999"),INDIRECT(TEXT(I32,"MMM")&amp;"!$B$9:$B$999"),I32)+SUMIFS(Abwesenheit!$J$3:$J$199,Abwesenheit!$D$3:$D$199,I32))</f>
        <v>0</v>
      </c>
      <c r="K32" s="35">
        <f>IF($B32&gt;DAY(EOMONTH(I$4,0)),"",IF(OR(I32&lt;IF(YEAR(Eintritt)&lt;Jahr,DATE(Jahr,1,1),Eintritt),I32&gt;IF(Austritt="",DATE(Jahr,12,31),Austritt)),0,IF(OR(ISERROR(VLOOKUP(I32,Stammdaten!$I$9:$J$26,2,FALSE)),SUMIFS(Stammdaten!$J$9:$J$26,Stammdaten!$I$9:$I$26,I32)=0),VLOOKUP(TEXT(I32,"TTT"),Stammdaten!$B$20:$F$26,5,FALSE),0)))</f>
        <v>0</v>
      </c>
      <c r="L32" s="36">
        <f t="shared" si="3"/>
        <v>45775</v>
      </c>
      <c r="M32" s="34">
        <f ca="1">IF($B32&gt;DAY(EOMONTH(L$4,0)),"",SUMIFS(INDIRECT(TEXT(L32,"MMM")&amp;"!$L$9:$L$999"),INDIRECT(TEXT(L32,"MMM")&amp;"!$B$9:$B$999"),L32)+SUMIFS(Abwesenheit!$J$3:$J$199,Abwesenheit!$D$3:$D$199,L32))</f>
        <v>0</v>
      </c>
      <c r="N32" s="35">
        <f>IF($B32&gt;DAY(EOMONTH(L$4,0)),"",IF(OR(L32&lt;IF(YEAR(Eintritt)&lt;Jahr,DATE(Jahr,1,1),Eintritt),L32&gt;IF(Austritt="",DATE(Jahr,12,31),Austritt)),0,IF(OR(ISERROR(VLOOKUP(L32,Stammdaten!$I$9:$J$26,2,FALSE)),SUMIFS(Stammdaten!$J$9:$J$26,Stammdaten!$I$9:$I$26,L32)=0),VLOOKUP(TEXT(L32,"TTT"),Stammdaten!$B$20:$F$26,5,FALSE),0)))</f>
        <v>0</v>
      </c>
      <c r="O32" s="36">
        <f t="shared" si="4"/>
        <v>45805</v>
      </c>
      <c r="P32" s="34">
        <f ca="1">IF($B32&gt;DAY(EOMONTH(O$4,0)),"",SUMIFS(INDIRECT(TEXT(O32,"MMM")&amp;"!$L$9:$L$999"),INDIRECT(TEXT(O32,"MMM")&amp;"!$B$9:$B$999"),O32)+SUMIFS(Abwesenheit!$J$3:$J$199,Abwesenheit!$D$3:$D$199,O32))</f>
        <v>0</v>
      </c>
      <c r="Q32" s="35">
        <f>IF($B32&gt;DAY(EOMONTH(O$4,0)),"",IF(OR(O32&lt;IF(YEAR(Eintritt)&lt;Jahr,DATE(Jahr,1,1),Eintritt),O32&gt;IF(Austritt="",DATE(Jahr,12,31),Austritt)),0,IF(OR(ISERROR(VLOOKUP(O32,Stammdaten!$I$9:$J$26,2,FALSE)),SUMIFS(Stammdaten!$J$9:$J$26,Stammdaten!$I$9:$I$26,O32)=0),VLOOKUP(TEXT(O32,"TTT"),Stammdaten!$B$20:$F$26,5,FALSE),0)))</f>
        <v>0</v>
      </c>
      <c r="R32" s="36">
        <f t="shared" si="5"/>
        <v>45836</v>
      </c>
      <c r="S32" s="34">
        <f ca="1">IF($B32&gt;DAY(EOMONTH(R$4,0)),"",SUMIFS(INDIRECT(TEXT(R32,"MMM")&amp;"!$L$9:$L$999"),INDIRECT(TEXT(R32,"MMM")&amp;"!$B$9:$B$999"),R32)+SUMIFS(Abwesenheit!$J$3:$J$199,Abwesenheit!$D$3:$D$199,R32))</f>
        <v>0</v>
      </c>
      <c r="T32" s="35">
        <f>IF($B32&gt;DAY(EOMONTH(R$4,0)),"",IF(OR(R32&lt;IF(YEAR(Eintritt)&lt;Jahr,DATE(Jahr,1,1),Eintritt),R32&gt;IF(Austritt="",DATE(Jahr,12,31),Austritt)),0,IF(OR(ISERROR(VLOOKUP(R32,Stammdaten!$I$9:$J$26,2,FALSE)),SUMIFS(Stammdaten!$J$9:$J$26,Stammdaten!$I$9:$I$26,R32)=0),VLOOKUP(TEXT(R32,"TTT"),Stammdaten!$B$20:$F$26,5,FALSE),0)))</f>
        <v>0</v>
      </c>
      <c r="U32" s="36">
        <f t="shared" si="6"/>
        <v>45866</v>
      </c>
      <c r="V32" s="34">
        <f ca="1">IF($B32&gt;DAY(EOMONTH(U$4,0)),"",SUMIFS(INDIRECT(TEXT(U32,"MMM")&amp;"!$L$9:$L$999"),INDIRECT(TEXT(U32,"MMM")&amp;"!$B$9:$B$999"),U32)+SUMIFS(Abwesenheit!$J$3:$J$199,Abwesenheit!$D$3:$D$199,U32))</f>
        <v>0</v>
      </c>
      <c r="W32" s="35">
        <f>IF($B32&gt;DAY(EOMONTH(U$4,0)),"",IF(OR(U32&lt;IF(YEAR(Eintritt)&lt;Jahr,DATE(Jahr,1,1),Eintritt),U32&gt;IF(Austritt="",DATE(Jahr,12,31),Austritt)),0,IF(OR(ISERROR(VLOOKUP(U32,Stammdaten!$I$9:$J$26,2,FALSE)),SUMIFS(Stammdaten!$J$9:$J$26,Stammdaten!$I$9:$I$26,U32)=0),VLOOKUP(TEXT(U32,"TTT"),Stammdaten!$B$20:$F$26,5,FALSE),0)))</f>
        <v>0.33333333333333337</v>
      </c>
      <c r="X32" s="36">
        <f t="shared" si="7"/>
        <v>45897</v>
      </c>
      <c r="Y32" s="34">
        <f ca="1">IF($B32&gt;DAY(EOMONTH(X$4,0)),"",SUMIFS(INDIRECT(TEXT(X32,"MMM")&amp;"!$L$9:$L$999"),INDIRECT(TEXT(X32,"MMM")&amp;"!$B$9:$B$999"),X32)+SUMIFS(Abwesenheit!$J$3:$J$199,Abwesenheit!$D$3:$D$199,X32))</f>
        <v>0</v>
      </c>
      <c r="Z32" s="35">
        <f>IF($B32&gt;DAY(EOMONTH(X$4,0)),"",IF(OR(X32&lt;IF(YEAR(Eintritt)&lt;Jahr,DATE(Jahr,1,1),Eintritt),X32&gt;IF(Austritt="",DATE(Jahr,12,31),Austritt)),0,IF(OR(ISERROR(VLOOKUP(X32,Stammdaten!$I$9:$J$26,2,FALSE)),SUMIFS(Stammdaten!$J$9:$J$26,Stammdaten!$I$9:$I$26,X32)=0),VLOOKUP(TEXT(X32,"TTT"),Stammdaten!$B$20:$F$26,5,FALSE),0)))</f>
        <v>0</v>
      </c>
      <c r="AA32" s="36">
        <f t="shared" si="8"/>
        <v>45928</v>
      </c>
      <c r="AB32" s="34">
        <f ca="1">IF($B32&gt;DAY(EOMONTH(AA$4,0)),"",SUMIFS(INDIRECT(TEXT(AA32,"MMM")&amp;"!$L$9:$L$999"),INDIRECT(TEXT(AA32,"MMM")&amp;"!$B$9:$B$999"),AA32)+SUMIFS(Abwesenheit!$J$3:$J$199,Abwesenheit!$D$3:$D$199,AA32))</f>
        <v>0</v>
      </c>
      <c r="AC32" s="35">
        <f>IF($B32&gt;DAY(EOMONTH(AA$4,0)),"",IF(OR(AA32&lt;IF(YEAR(Eintritt)&lt;Jahr,DATE(Jahr,1,1),Eintritt),AA32&gt;IF(Austritt="",DATE(Jahr,12,31),Austritt)),0,IF(OR(ISERROR(VLOOKUP(AA32,Stammdaten!$I$9:$J$26,2,FALSE)),SUMIFS(Stammdaten!$J$9:$J$26,Stammdaten!$I$9:$I$26,AA32)=0),VLOOKUP(TEXT(AA32,"TTT"),Stammdaten!$B$20:$F$26,5,FALSE),0)))</f>
        <v>0</v>
      </c>
      <c r="AD32" s="36">
        <f t="shared" si="9"/>
        <v>45958</v>
      </c>
      <c r="AE32" s="34">
        <f ca="1">IF($B32&gt;DAY(EOMONTH(AD$4,0)),"",SUMIFS(INDIRECT(TEXT(AD32,"MMM")&amp;"!$L$9:$L$999"),INDIRECT(TEXT(AD32,"MMM")&amp;"!$B$9:$B$999"),AD32)+SUMIFS(Abwesenheit!$J$3:$J$199,Abwesenheit!$D$3:$D$199,AD32))</f>
        <v>0</v>
      </c>
      <c r="AF32" s="35">
        <f>IF($B32&gt;DAY(EOMONTH(AD$4,0)),"",IF(OR(AD32&lt;IF(YEAR(Eintritt)&lt;Jahr,DATE(Jahr,1,1),Eintritt),AD32&gt;IF(Austritt="",DATE(Jahr,12,31),Austritt)),0,IF(OR(ISERROR(VLOOKUP(AD32,Stammdaten!$I$9:$J$26,2,FALSE)),SUMIFS(Stammdaten!$J$9:$J$26,Stammdaten!$I$9:$I$26,AD32)=0),VLOOKUP(TEXT(AD32,"TTT"),Stammdaten!$B$20:$F$26,5,FALSE),0)))</f>
        <v>0</v>
      </c>
      <c r="AG32" s="36">
        <f t="shared" si="10"/>
        <v>45989</v>
      </c>
      <c r="AH32" s="34">
        <f ca="1">IF($B32&gt;DAY(EOMONTH(AG$4,0)),"",SUMIFS(INDIRECT(TEXT(AG32,"MMM")&amp;"!$L$9:$L$999"),INDIRECT(TEXT(AG32,"MMM")&amp;"!$B$9:$B$999"),AG32)+SUMIFS(Abwesenheit!$J$3:$J$199,Abwesenheit!$D$3:$D$199,AG32))</f>
        <v>0</v>
      </c>
      <c r="AI32" s="35">
        <f>IF($B32&gt;DAY(EOMONTH(AG$4,0)),"",IF(OR(AG32&lt;IF(YEAR(Eintritt)&lt;Jahr,DATE(Jahr,1,1),Eintritt),AG32&gt;IF(Austritt="",DATE(Jahr,12,31),Austritt)),0,IF(OR(ISERROR(VLOOKUP(AG32,Stammdaten!$I$9:$J$26,2,FALSE)),SUMIFS(Stammdaten!$J$9:$J$26,Stammdaten!$I$9:$I$26,AG32)=0),VLOOKUP(TEXT(AG32,"TTT"),Stammdaten!$B$20:$F$26,5,FALSE),0)))</f>
        <v>0</v>
      </c>
      <c r="AJ32" s="36">
        <f t="shared" si="11"/>
        <v>46019</v>
      </c>
      <c r="AK32" s="34">
        <f ca="1">IF($B32&gt;DAY(EOMONTH(AJ$4,0)),"",SUMIFS(INDIRECT(TEXT(AJ32,"MMM")&amp;"!$L$9:$L$999"),INDIRECT(TEXT(AJ32,"MMM")&amp;"!$B$9:$B$999"),AJ32)+SUMIFS(Abwesenheit!$J$3:$J$199,Abwesenheit!$D$3:$D$199,AJ32))</f>
        <v>0</v>
      </c>
      <c r="AL32" s="35">
        <f>IF($B32&gt;DAY(EOMONTH(AJ$4,0)),"",IF(OR(AJ32&lt;IF(YEAR(Eintritt)&lt;Jahr,DATE(Jahr,1,1),Eintritt),AJ32&gt;IF(Austritt="",DATE(Jahr,12,31),Austritt)),0,VLOOKUP(TEXT(AJ32,"TTT"),Stammdaten!$B$20:$F$26,5,FALSE)-IF(ISERROR(VLOOKUP(AJ32,Stammdaten!$I$9:$J$26,2,FALSE)),0,SUMIFS(Stammdaten!$J$9:$J$26,Stammdaten!$I$9:$I$26,AJ32)/24)))</f>
        <v>0</v>
      </c>
      <c r="AM32" s="37">
        <v>28</v>
      </c>
      <c r="AP32" s="8"/>
      <c r="AQ32" s="8"/>
      <c r="AR32" s="8"/>
      <c r="AS32" s="8"/>
    </row>
    <row r="33" spans="1:45" x14ac:dyDescent="0.3">
      <c r="A33" s="33"/>
      <c r="B33" s="37">
        <v>29</v>
      </c>
      <c r="C33" s="36">
        <f t="shared" si="0"/>
        <v>45686</v>
      </c>
      <c r="D33" s="34">
        <f ca="1">IF($B33&gt;DAY(EOMONTH(C$4,0)),"",SUMIFS(INDIRECT(TEXT(C33,"MMM")&amp;"!$L$9:$L$999"),INDIRECT(TEXT(C33,"MMM")&amp;"!$B$9:$B$999"),C33)+SUMIFS(Abwesenheit!$J$3:$J$199,Abwesenheit!$D$3:$D$199,C33))</f>
        <v>0</v>
      </c>
      <c r="E33" s="35">
        <f>IF($B33&gt;DAY(EOMONTH(C$4,0)),"",IF(OR(C33&lt;IF(YEAR(Eintritt)&lt;Jahr,DATE(Jahr,1,1),Eintritt),C33&gt;IF(Austritt="",DATE(Jahr,12,31),Austritt)),0,IF(OR(ISERROR(VLOOKUP(C33,Stammdaten!$I$9:$J$26,2,FALSE)),SUMIFS(Stammdaten!$J$9:$J$26,Stammdaten!$I$9:$I$26,C33)=0),VLOOKUP(TEXT(C33,"TTT"),Stammdaten!$B$20:$F$26,5,FALSE),0)))</f>
        <v>0</v>
      </c>
      <c r="F33" s="36">
        <f t="shared" si="1"/>
        <v>45717</v>
      </c>
      <c r="G33" s="34" t="str">
        <f ca="1">IF($B33&gt;DAY(EOMONTH(F$4,0)),"",SUMIFS(INDIRECT(TEXT(F33,"MMM")&amp;"!$L$9:$L$999"),INDIRECT(TEXT(F33,"MMM")&amp;"!$B$9:$B$999"),F33)+SUMIFS(Abwesenheit!$J$3:$J$199,Abwesenheit!$D$3:$D$199,F33))</f>
        <v/>
      </c>
      <c r="H33" s="35" t="str">
        <f>IF($B33&gt;DAY(EOMONTH(F$4,0)),"",IF(OR(F33&lt;IF(YEAR(Eintritt)&lt;Jahr,DATE(Jahr,1,1),Eintritt),F33&gt;IF(Austritt="",DATE(Jahr,12,31),Austritt)),0,IF(OR(ISERROR(VLOOKUP(F33,Stammdaten!$I$9:$J$26,2,FALSE)),SUMIFS(Stammdaten!$J$9:$J$26,Stammdaten!$I$9:$I$26,F33)=0),VLOOKUP(TEXT(F33,"TTT"),Stammdaten!$B$20:$F$26,5,FALSE),0)))</f>
        <v/>
      </c>
      <c r="I33" s="36">
        <f t="shared" si="2"/>
        <v>45745</v>
      </c>
      <c r="J33" s="34">
        <f ca="1">IF($B33&gt;DAY(EOMONTH(I$4,0)),"",SUMIFS(INDIRECT(TEXT(I33,"MMM")&amp;"!$L$9:$L$999"),INDIRECT(TEXT(I33,"MMM")&amp;"!$B$9:$B$999"),I33)+SUMIFS(Abwesenheit!$J$3:$J$199,Abwesenheit!$D$3:$D$199,I33))</f>
        <v>0</v>
      </c>
      <c r="K33" s="35">
        <f>IF($B33&gt;DAY(EOMONTH(I$4,0)),"",IF(OR(I33&lt;IF(YEAR(Eintritt)&lt;Jahr,DATE(Jahr,1,1),Eintritt),I33&gt;IF(Austritt="",DATE(Jahr,12,31),Austritt)),0,IF(OR(ISERROR(VLOOKUP(I33,Stammdaten!$I$9:$J$26,2,FALSE)),SUMIFS(Stammdaten!$J$9:$J$26,Stammdaten!$I$9:$I$26,I33)=0),VLOOKUP(TEXT(I33,"TTT"),Stammdaten!$B$20:$F$26,5,FALSE),0)))</f>
        <v>0</v>
      </c>
      <c r="L33" s="36">
        <f t="shared" si="3"/>
        <v>45776</v>
      </c>
      <c r="M33" s="34">
        <f ca="1">IF($B33&gt;DAY(EOMONTH(L$4,0)),"",SUMIFS(INDIRECT(TEXT(L33,"MMM")&amp;"!$L$9:$L$999"),INDIRECT(TEXT(L33,"MMM")&amp;"!$B$9:$B$999"),L33)+SUMIFS(Abwesenheit!$J$3:$J$199,Abwesenheit!$D$3:$D$199,L33))</f>
        <v>0</v>
      </c>
      <c r="N33" s="35">
        <f>IF($B33&gt;DAY(EOMONTH(L$4,0)),"",IF(OR(L33&lt;IF(YEAR(Eintritt)&lt;Jahr,DATE(Jahr,1,1),Eintritt),L33&gt;IF(Austritt="",DATE(Jahr,12,31),Austritt)),0,IF(OR(ISERROR(VLOOKUP(L33,Stammdaten!$I$9:$J$26,2,FALSE)),SUMIFS(Stammdaten!$J$9:$J$26,Stammdaten!$I$9:$I$26,L33)=0),VLOOKUP(TEXT(L33,"TTT"),Stammdaten!$B$20:$F$26,5,FALSE),0)))</f>
        <v>0</v>
      </c>
      <c r="O33" s="36">
        <f t="shared" si="4"/>
        <v>45806</v>
      </c>
      <c r="P33" s="34">
        <f ca="1">IF($B33&gt;DAY(EOMONTH(O$4,0)),"",SUMIFS(INDIRECT(TEXT(O33,"MMM")&amp;"!$L$9:$L$999"),INDIRECT(TEXT(O33,"MMM")&amp;"!$B$9:$B$999"),O33)+SUMIFS(Abwesenheit!$J$3:$J$199,Abwesenheit!$D$3:$D$199,O33))</f>
        <v>0</v>
      </c>
      <c r="Q33" s="35">
        <f>IF($B33&gt;DAY(EOMONTH(O$4,0)),"",IF(OR(O33&lt;IF(YEAR(Eintritt)&lt;Jahr,DATE(Jahr,1,1),Eintritt),O33&gt;IF(Austritt="",DATE(Jahr,12,31),Austritt)),0,IF(OR(ISERROR(VLOOKUP(O33,Stammdaten!$I$9:$J$26,2,FALSE)),SUMIFS(Stammdaten!$J$9:$J$26,Stammdaten!$I$9:$I$26,O33)=0),VLOOKUP(TEXT(O33,"TTT"),Stammdaten!$B$20:$F$26,5,FALSE),0)))</f>
        <v>0</v>
      </c>
      <c r="R33" s="36">
        <f t="shared" si="5"/>
        <v>45837</v>
      </c>
      <c r="S33" s="34">
        <f ca="1">IF($B33&gt;DAY(EOMONTH(R$4,0)),"",SUMIFS(INDIRECT(TEXT(R33,"MMM")&amp;"!$L$9:$L$999"),INDIRECT(TEXT(R33,"MMM")&amp;"!$B$9:$B$999"),R33)+SUMIFS(Abwesenheit!$J$3:$J$199,Abwesenheit!$D$3:$D$199,R33))</f>
        <v>0</v>
      </c>
      <c r="T33" s="35">
        <f>IF($B33&gt;DAY(EOMONTH(R$4,0)),"",IF(OR(R33&lt;IF(YEAR(Eintritt)&lt;Jahr,DATE(Jahr,1,1),Eintritt),R33&gt;IF(Austritt="",DATE(Jahr,12,31),Austritt)),0,IF(OR(ISERROR(VLOOKUP(R33,Stammdaten!$I$9:$J$26,2,FALSE)),SUMIFS(Stammdaten!$J$9:$J$26,Stammdaten!$I$9:$I$26,R33)=0),VLOOKUP(TEXT(R33,"TTT"),Stammdaten!$B$20:$F$26,5,FALSE),0)))</f>
        <v>0</v>
      </c>
      <c r="U33" s="36">
        <f t="shared" si="6"/>
        <v>45867</v>
      </c>
      <c r="V33" s="34">
        <f ca="1">IF($B33&gt;DAY(EOMONTH(U$4,0)),"",SUMIFS(INDIRECT(TEXT(U33,"MMM")&amp;"!$L$9:$L$999"),INDIRECT(TEXT(U33,"MMM")&amp;"!$B$9:$B$999"),U33)+SUMIFS(Abwesenheit!$J$3:$J$199,Abwesenheit!$D$3:$D$199,U33))</f>
        <v>0</v>
      </c>
      <c r="W33" s="35">
        <f>IF($B33&gt;DAY(EOMONTH(U$4,0)),"",IF(OR(U33&lt;IF(YEAR(Eintritt)&lt;Jahr,DATE(Jahr,1,1),Eintritt),U33&gt;IF(Austritt="",DATE(Jahr,12,31),Austritt)),0,IF(OR(ISERROR(VLOOKUP(U33,Stammdaten!$I$9:$J$26,2,FALSE)),SUMIFS(Stammdaten!$J$9:$J$26,Stammdaten!$I$9:$I$26,U33)=0),VLOOKUP(TEXT(U33,"TTT"),Stammdaten!$B$20:$F$26,5,FALSE),0)))</f>
        <v>0.33333333333333337</v>
      </c>
      <c r="X33" s="36">
        <f t="shared" si="7"/>
        <v>45898</v>
      </c>
      <c r="Y33" s="34">
        <f ca="1">IF($B33&gt;DAY(EOMONTH(X$4,0)),"",SUMIFS(INDIRECT(TEXT(X33,"MMM")&amp;"!$L$9:$L$999"),INDIRECT(TEXT(X33,"MMM")&amp;"!$B$9:$B$999"),X33)+SUMIFS(Abwesenheit!$J$3:$J$199,Abwesenheit!$D$3:$D$199,X33))</f>
        <v>0</v>
      </c>
      <c r="Z33" s="35">
        <f>IF($B33&gt;DAY(EOMONTH(X$4,0)),"",IF(OR(X33&lt;IF(YEAR(Eintritt)&lt;Jahr,DATE(Jahr,1,1),Eintritt),X33&gt;IF(Austritt="",DATE(Jahr,12,31),Austritt)),0,IF(OR(ISERROR(VLOOKUP(X33,Stammdaten!$I$9:$J$26,2,FALSE)),SUMIFS(Stammdaten!$J$9:$J$26,Stammdaten!$I$9:$I$26,X33)=0),VLOOKUP(TEXT(X33,"TTT"),Stammdaten!$B$20:$F$26,5,FALSE),0)))</f>
        <v>0</v>
      </c>
      <c r="AA33" s="36">
        <f t="shared" si="8"/>
        <v>45929</v>
      </c>
      <c r="AB33" s="34">
        <f ca="1">IF($B33&gt;DAY(EOMONTH(AA$4,0)),"",SUMIFS(INDIRECT(TEXT(AA33,"MMM")&amp;"!$L$9:$L$999"),INDIRECT(TEXT(AA33,"MMM")&amp;"!$B$9:$B$999"),AA33)+SUMIFS(Abwesenheit!$J$3:$J$199,Abwesenheit!$D$3:$D$199,AA33))</f>
        <v>0</v>
      </c>
      <c r="AC33" s="35">
        <f>IF($B33&gt;DAY(EOMONTH(AA$4,0)),"",IF(OR(AA33&lt;IF(YEAR(Eintritt)&lt;Jahr,DATE(Jahr,1,1),Eintritt),AA33&gt;IF(Austritt="",DATE(Jahr,12,31),Austritt)),0,IF(OR(ISERROR(VLOOKUP(AA33,Stammdaten!$I$9:$J$26,2,FALSE)),SUMIFS(Stammdaten!$J$9:$J$26,Stammdaten!$I$9:$I$26,AA33)=0),VLOOKUP(TEXT(AA33,"TTT"),Stammdaten!$B$20:$F$26,5,FALSE),0)))</f>
        <v>0</v>
      </c>
      <c r="AD33" s="36">
        <f t="shared" si="9"/>
        <v>45959</v>
      </c>
      <c r="AE33" s="34">
        <f ca="1">IF($B33&gt;DAY(EOMONTH(AD$4,0)),"",SUMIFS(INDIRECT(TEXT(AD33,"MMM")&amp;"!$L$9:$L$999"),INDIRECT(TEXT(AD33,"MMM")&amp;"!$B$9:$B$999"),AD33)+SUMIFS(Abwesenheit!$J$3:$J$199,Abwesenheit!$D$3:$D$199,AD33))</f>
        <v>0</v>
      </c>
      <c r="AF33" s="35">
        <f>IF($B33&gt;DAY(EOMONTH(AD$4,0)),"",IF(OR(AD33&lt;IF(YEAR(Eintritt)&lt;Jahr,DATE(Jahr,1,1),Eintritt),AD33&gt;IF(Austritt="",DATE(Jahr,12,31),Austritt)),0,IF(OR(ISERROR(VLOOKUP(AD33,Stammdaten!$I$9:$J$26,2,FALSE)),SUMIFS(Stammdaten!$J$9:$J$26,Stammdaten!$I$9:$I$26,AD33)=0),VLOOKUP(TEXT(AD33,"TTT"),Stammdaten!$B$20:$F$26,5,FALSE),0)))</f>
        <v>0</v>
      </c>
      <c r="AG33" s="36">
        <f t="shared" si="10"/>
        <v>45990</v>
      </c>
      <c r="AH33" s="34">
        <f ca="1">IF($B33&gt;DAY(EOMONTH(AG$4,0)),"",SUMIFS(INDIRECT(TEXT(AG33,"MMM")&amp;"!$L$9:$L$999"),INDIRECT(TEXT(AG33,"MMM")&amp;"!$B$9:$B$999"),AG33)+SUMIFS(Abwesenheit!$J$3:$J$199,Abwesenheit!$D$3:$D$199,AG33))</f>
        <v>0</v>
      </c>
      <c r="AI33" s="35">
        <f>IF($B33&gt;DAY(EOMONTH(AG$4,0)),"",IF(OR(AG33&lt;IF(YEAR(Eintritt)&lt;Jahr,DATE(Jahr,1,1),Eintritt),AG33&gt;IF(Austritt="",DATE(Jahr,12,31),Austritt)),0,IF(OR(ISERROR(VLOOKUP(AG33,Stammdaten!$I$9:$J$26,2,FALSE)),SUMIFS(Stammdaten!$J$9:$J$26,Stammdaten!$I$9:$I$26,AG33)=0),VLOOKUP(TEXT(AG33,"TTT"),Stammdaten!$B$20:$F$26,5,FALSE),0)))</f>
        <v>0</v>
      </c>
      <c r="AJ33" s="36">
        <f t="shared" si="11"/>
        <v>46020</v>
      </c>
      <c r="AK33" s="34">
        <f ca="1">IF($B33&gt;DAY(EOMONTH(AJ$4,0)),"",SUMIFS(INDIRECT(TEXT(AJ33,"MMM")&amp;"!$L$9:$L$999"),INDIRECT(TEXT(AJ33,"MMM")&amp;"!$B$9:$B$999"),AJ33)+SUMIFS(Abwesenheit!$J$3:$J$199,Abwesenheit!$D$3:$D$199,AJ33))</f>
        <v>0</v>
      </c>
      <c r="AL33" s="35">
        <f>IF($B33&gt;DAY(EOMONTH(AJ$4,0)),"",IF(OR(AJ33&lt;IF(YEAR(Eintritt)&lt;Jahr,DATE(Jahr,1,1),Eintritt),AJ33&gt;IF(Austritt="",DATE(Jahr,12,31),Austritt)),0,VLOOKUP(TEXT(AJ33,"TTT"),Stammdaten!$B$20:$F$26,5,FALSE)-IF(ISERROR(VLOOKUP(AJ33,Stammdaten!$I$9:$J$26,2,FALSE)),0,SUMIFS(Stammdaten!$J$9:$J$26,Stammdaten!$I$9:$I$26,AJ33)/24)))</f>
        <v>0</v>
      </c>
      <c r="AM33" s="37">
        <v>29</v>
      </c>
      <c r="AP33" s="8"/>
      <c r="AQ33" s="8"/>
      <c r="AR33" s="8"/>
      <c r="AS33" s="8"/>
    </row>
    <row r="34" spans="1:45" x14ac:dyDescent="0.3">
      <c r="A34" s="33"/>
      <c r="B34" s="37">
        <v>30</v>
      </c>
      <c r="C34" s="36">
        <f t="shared" si="0"/>
        <v>45687</v>
      </c>
      <c r="D34" s="34">
        <f ca="1">IF($B34&gt;DAY(EOMONTH(C$4,0)),"",SUMIFS(INDIRECT(TEXT(C34,"MMM")&amp;"!$L$9:$L$999"),INDIRECT(TEXT(C34,"MMM")&amp;"!$B$9:$B$999"),C34)+SUMIFS(Abwesenheit!$J$3:$J$199,Abwesenheit!$D$3:$D$199,C34))</f>
        <v>0</v>
      </c>
      <c r="E34" s="35">
        <f>IF($B34&gt;DAY(EOMONTH(C$4,0)),"",IF(OR(C34&lt;IF(YEAR(Eintritt)&lt;Jahr,DATE(Jahr,1,1),Eintritt),C34&gt;IF(Austritt="",DATE(Jahr,12,31),Austritt)),0,IF(OR(ISERROR(VLOOKUP(C34,Stammdaten!$I$9:$J$26,2,FALSE)),SUMIFS(Stammdaten!$J$9:$J$26,Stammdaten!$I$9:$I$26,C34)=0),VLOOKUP(TEXT(C34,"TTT"),Stammdaten!$B$20:$F$26,5,FALSE),0)))</f>
        <v>0</v>
      </c>
      <c r="F34" s="36">
        <f t="shared" si="1"/>
        <v>45718</v>
      </c>
      <c r="G34" s="34" t="str">
        <f ca="1">IF($B34&gt;DAY(EOMONTH(F$4,0)),"",SUMIFS(INDIRECT(TEXT(F34,"MMM")&amp;"!$L$9:$L$999"),INDIRECT(TEXT(F34,"MMM")&amp;"!$B$9:$B$999"),F34)+SUMIFS(Abwesenheit!$J$3:$J$199,Abwesenheit!$D$3:$D$199,F34))</f>
        <v/>
      </c>
      <c r="H34" s="35" t="str">
        <f>IF($B34&gt;DAY(EOMONTH(F$4,0)),"",IF(OR(F34&lt;IF(YEAR(Eintritt)&lt;Jahr,DATE(Jahr,1,1),Eintritt),F34&gt;IF(Austritt="",DATE(Jahr,12,31),Austritt)),0,IF(OR(ISERROR(VLOOKUP(F34,Stammdaten!$I$9:$J$26,2,FALSE)),SUMIFS(Stammdaten!$J$9:$J$26,Stammdaten!$I$9:$I$26,F34)=0),VLOOKUP(TEXT(F34,"TTT"),Stammdaten!$B$20:$F$26,5,FALSE),0)))</f>
        <v/>
      </c>
      <c r="I34" s="36">
        <f t="shared" si="2"/>
        <v>45746</v>
      </c>
      <c r="J34" s="34">
        <f ca="1">IF($B34&gt;DAY(EOMONTH(I$4,0)),"",SUMIFS(INDIRECT(TEXT(I34,"MMM")&amp;"!$L$9:$L$999"),INDIRECT(TEXT(I34,"MMM")&amp;"!$B$9:$B$999"),I34)+SUMIFS(Abwesenheit!$J$3:$J$199,Abwesenheit!$D$3:$D$199,I34))</f>
        <v>0</v>
      </c>
      <c r="K34" s="35">
        <f>IF($B34&gt;DAY(EOMONTH(I$4,0)),"",IF(OR(I34&lt;IF(YEAR(Eintritt)&lt;Jahr,DATE(Jahr,1,1),Eintritt),I34&gt;IF(Austritt="",DATE(Jahr,12,31),Austritt)),0,IF(OR(ISERROR(VLOOKUP(I34,Stammdaten!$I$9:$J$26,2,FALSE)),SUMIFS(Stammdaten!$J$9:$J$26,Stammdaten!$I$9:$I$26,I34)=0),VLOOKUP(TEXT(I34,"TTT"),Stammdaten!$B$20:$F$26,5,FALSE),0)))</f>
        <v>0</v>
      </c>
      <c r="L34" s="36">
        <f t="shared" si="3"/>
        <v>45777</v>
      </c>
      <c r="M34" s="34">
        <f ca="1">IF($B34&gt;DAY(EOMONTH(L$4,0)),"",SUMIFS(INDIRECT(TEXT(L34,"MMM")&amp;"!$L$9:$L$999"),INDIRECT(TEXT(L34,"MMM")&amp;"!$B$9:$B$999"),L34)+SUMIFS(Abwesenheit!$J$3:$J$199,Abwesenheit!$D$3:$D$199,L34))</f>
        <v>0</v>
      </c>
      <c r="N34" s="35">
        <f>IF($B34&gt;DAY(EOMONTH(L$4,0)),"",IF(OR(L34&lt;IF(YEAR(Eintritt)&lt;Jahr,DATE(Jahr,1,1),Eintritt),L34&gt;IF(Austritt="",DATE(Jahr,12,31),Austritt)),0,IF(OR(ISERROR(VLOOKUP(L34,Stammdaten!$I$9:$J$26,2,FALSE)),SUMIFS(Stammdaten!$J$9:$J$26,Stammdaten!$I$9:$I$26,L34)=0),VLOOKUP(TEXT(L34,"TTT"),Stammdaten!$B$20:$F$26,5,FALSE),0)))</f>
        <v>0</v>
      </c>
      <c r="O34" s="36">
        <f t="shared" si="4"/>
        <v>45807</v>
      </c>
      <c r="P34" s="34">
        <f ca="1">IF($B34&gt;DAY(EOMONTH(O$4,0)),"",SUMIFS(INDIRECT(TEXT(O34,"MMM")&amp;"!$L$9:$L$999"),INDIRECT(TEXT(O34,"MMM")&amp;"!$B$9:$B$999"),O34)+SUMIFS(Abwesenheit!$J$3:$J$199,Abwesenheit!$D$3:$D$199,O34))</f>
        <v>0</v>
      </c>
      <c r="Q34" s="35">
        <f>IF($B34&gt;DAY(EOMONTH(O$4,0)),"",IF(OR(O34&lt;IF(YEAR(Eintritt)&lt;Jahr,DATE(Jahr,1,1),Eintritt),O34&gt;IF(Austritt="",DATE(Jahr,12,31),Austritt)),0,IF(OR(ISERROR(VLOOKUP(O34,Stammdaten!$I$9:$J$26,2,FALSE)),SUMIFS(Stammdaten!$J$9:$J$26,Stammdaten!$I$9:$I$26,O34)=0),VLOOKUP(TEXT(O34,"TTT"),Stammdaten!$B$20:$F$26,5,FALSE),0)))</f>
        <v>0</v>
      </c>
      <c r="R34" s="36">
        <f t="shared" si="5"/>
        <v>45838</v>
      </c>
      <c r="S34" s="34">
        <f ca="1">IF($B34&gt;DAY(EOMONTH(R$4,0)),"",SUMIFS(INDIRECT(TEXT(R34,"MMM")&amp;"!$L$9:$L$999"),INDIRECT(TEXT(R34,"MMM")&amp;"!$B$9:$B$999"),R34)+SUMIFS(Abwesenheit!$J$3:$J$199,Abwesenheit!$D$3:$D$199,R34))</f>
        <v>0</v>
      </c>
      <c r="T34" s="35">
        <f>IF($B34&gt;DAY(EOMONTH(R$4,0)),"",IF(OR(R34&lt;IF(YEAR(Eintritt)&lt;Jahr,DATE(Jahr,1,1),Eintritt),R34&gt;IF(Austritt="",DATE(Jahr,12,31),Austritt)),0,IF(OR(ISERROR(VLOOKUP(R34,Stammdaten!$I$9:$J$26,2,FALSE)),SUMIFS(Stammdaten!$J$9:$J$26,Stammdaten!$I$9:$I$26,R34)=0),VLOOKUP(TEXT(R34,"TTT"),Stammdaten!$B$20:$F$26,5,FALSE),0)))</f>
        <v>0</v>
      </c>
      <c r="U34" s="36">
        <f t="shared" si="6"/>
        <v>45868</v>
      </c>
      <c r="V34" s="34">
        <f ca="1">IF($B34&gt;DAY(EOMONTH(U$4,0)),"",SUMIFS(INDIRECT(TEXT(U34,"MMM")&amp;"!$L$9:$L$999"),INDIRECT(TEXT(U34,"MMM")&amp;"!$B$9:$B$999"),U34)+SUMIFS(Abwesenheit!$J$3:$J$199,Abwesenheit!$D$3:$D$199,U34))</f>
        <v>0</v>
      </c>
      <c r="W34" s="35">
        <f>IF($B34&gt;DAY(EOMONTH(U$4,0)),"",IF(OR(U34&lt;IF(YEAR(Eintritt)&lt;Jahr,DATE(Jahr,1,1),Eintritt),U34&gt;IF(Austritt="",DATE(Jahr,12,31),Austritt)),0,IF(OR(ISERROR(VLOOKUP(U34,Stammdaten!$I$9:$J$26,2,FALSE)),SUMIFS(Stammdaten!$J$9:$J$26,Stammdaten!$I$9:$I$26,U34)=0),VLOOKUP(TEXT(U34,"TTT"),Stammdaten!$B$20:$F$26,5,FALSE),0)))</f>
        <v>0.33333333333333337</v>
      </c>
      <c r="X34" s="36">
        <f t="shared" si="7"/>
        <v>45899</v>
      </c>
      <c r="Y34" s="34">
        <f ca="1">IF($B34&gt;DAY(EOMONTH(X$4,0)),"",SUMIFS(INDIRECT(TEXT(X34,"MMM")&amp;"!$L$9:$L$999"),INDIRECT(TEXT(X34,"MMM")&amp;"!$B$9:$B$999"),X34)+SUMIFS(Abwesenheit!$J$3:$J$199,Abwesenheit!$D$3:$D$199,X34))</f>
        <v>0</v>
      </c>
      <c r="Z34" s="35">
        <f>IF($B34&gt;DAY(EOMONTH(X$4,0)),"",IF(OR(X34&lt;IF(YEAR(Eintritt)&lt;Jahr,DATE(Jahr,1,1),Eintritt),X34&gt;IF(Austritt="",DATE(Jahr,12,31),Austritt)),0,IF(OR(ISERROR(VLOOKUP(X34,Stammdaten!$I$9:$J$26,2,FALSE)),SUMIFS(Stammdaten!$J$9:$J$26,Stammdaten!$I$9:$I$26,X34)=0),VLOOKUP(TEXT(X34,"TTT"),Stammdaten!$B$20:$F$26,5,FALSE),0)))</f>
        <v>0</v>
      </c>
      <c r="AA34" s="36">
        <f t="shared" si="8"/>
        <v>45930</v>
      </c>
      <c r="AB34" s="34">
        <f ca="1">IF($B34&gt;DAY(EOMONTH(AA$4,0)),"",SUMIFS(INDIRECT(TEXT(AA34,"MMM")&amp;"!$L$9:$L$999"),INDIRECT(TEXT(AA34,"MMM")&amp;"!$B$9:$B$999"),AA34)+SUMIFS(Abwesenheit!$J$3:$J$199,Abwesenheit!$D$3:$D$199,AA34))</f>
        <v>0</v>
      </c>
      <c r="AC34" s="35">
        <f>IF($B34&gt;DAY(EOMONTH(AA$4,0)),"",IF(OR(AA34&lt;IF(YEAR(Eintritt)&lt;Jahr,DATE(Jahr,1,1),Eintritt),AA34&gt;IF(Austritt="",DATE(Jahr,12,31),Austritt)),0,IF(OR(ISERROR(VLOOKUP(AA34,Stammdaten!$I$9:$J$26,2,FALSE)),SUMIFS(Stammdaten!$J$9:$J$26,Stammdaten!$I$9:$I$26,AA34)=0),VLOOKUP(TEXT(AA34,"TTT"),Stammdaten!$B$20:$F$26,5,FALSE),0)))</f>
        <v>0</v>
      </c>
      <c r="AD34" s="36">
        <f t="shared" si="9"/>
        <v>45960</v>
      </c>
      <c r="AE34" s="34">
        <f ca="1">IF($B34&gt;DAY(EOMONTH(AD$4,0)),"",SUMIFS(INDIRECT(TEXT(AD34,"MMM")&amp;"!$L$9:$L$999"),INDIRECT(TEXT(AD34,"MMM")&amp;"!$B$9:$B$999"),AD34)+SUMIFS(Abwesenheit!$J$3:$J$199,Abwesenheit!$D$3:$D$199,AD34))</f>
        <v>0</v>
      </c>
      <c r="AF34" s="35">
        <f>IF($B34&gt;DAY(EOMONTH(AD$4,0)),"",IF(OR(AD34&lt;IF(YEAR(Eintritt)&lt;Jahr,DATE(Jahr,1,1),Eintritt),AD34&gt;IF(Austritt="",DATE(Jahr,12,31),Austritt)),0,IF(OR(ISERROR(VLOOKUP(AD34,Stammdaten!$I$9:$J$26,2,FALSE)),SUMIFS(Stammdaten!$J$9:$J$26,Stammdaten!$I$9:$I$26,AD34)=0),VLOOKUP(TEXT(AD34,"TTT"),Stammdaten!$B$20:$F$26,5,FALSE),0)))</f>
        <v>0</v>
      </c>
      <c r="AG34" s="36">
        <f t="shared" si="10"/>
        <v>45991</v>
      </c>
      <c r="AH34" s="34">
        <f ca="1">IF($B34&gt;DAY(EOMONTH(AG$4,0)),"",SUMIFS(INDIRECT(TEXT(AG34,"MMM")&amp;"!$L$9:$L$999"),INDIRECT(TEXT(AG34,"MMM")&amp;"!$B$9:$B$999"),AG34)+SUMIFS(Abwesenheit!$J$3:$J$199,Abwesenheit!$D$3:$D$199,AG34))</f>
        <v>0</v>
      </c>
      <c r="AI34" s="35">
        <f>IF($B34&gt;DAY(EOMONTH(AG$4,0)),"",IF(OR(AG34&lt;IF(YEAR(Eintritt)&lt;Jahr,DATE(Jahr,1,1),Eintritt),AG34&gt;IF(Austritt="",DATE(Jahr,12,31),Austritt)),0,IF(OR(ISERROR(VLOOKUP(AG34,Stammdaten!$I$9:$J$26,2,FALSE)),SUMIFS(Stammdaten!$J$9:$J$26,Stammdaten!$I$9:$I$26,AG34)=0),VLOOKUP(TEXT(AG34,"TTT"),Stammdaten!$B$20:$F$26,5,FALSE),0)))</f>
        <v>0</v>
      </c>
      <c r="AJ34" s="36">
        <f t="shared" si="11"/>
        <v>46021</v>
      </c>
      <c r="AK34" s="34">
        <f ca="1">IF($B34&gt;DAY(EOMONTH(AJ$4,0)),"",SUMIFS(INDIRECT(TEXT(AJ34,"MMM")&amp;"!$L$9:$L$999"),INDIRECT(TEXT(AJ34,"MMM")&amp;"!$B$9:$B$999"),AJ34)+SUMIFS(Abwesenheit!$J$3:$J$199,Abwesenheit!$D$3:$D$199,AJ34))</f>
        <v>0</v>
      </c>
      <c r="AL34" s="35">
        <f>IF($B34&gt;DAY(EOMONTH(AJ$4,0)),"",IF(OR(AJ34&lt;IF(YEAR(Eintritt)&lt;Jahr,DATE(Jahr,1,1),Eintritt),AJ34&gt;IF(Austritt="",DATE(Jahr,12,31),Austritt)),0,VLOOKUP(TEXT(AJ34,"TTT"),Stammdaten!$B$20:$F$26,5,FALSE)-IF(ISERROR(VLOOKUP(AJ34,Stammdaten!$I$9:$J$26,2,FALSE)),0,SUMIFS(Stammdaten!$J$9:$J$26,Stammdaten!$I$9:$I$26,AJ34)/24)))</f>
        <v>0</v>
      </c>
      <c r="AM34" s="37">
        <v>30</v>
      </c>
      <c r="AP34" s="8"/>
      <c r="AQ34" s="8"/>
      <c r="AR34" s="8"/>
      <c r="AS34" s="8"/>
    </row>
    <row r="35" spans="1:45" x14ac:dyDescent="0.3">
      <c r="A35" s="33"/>
      <c r="B35" s="38">
        <v>31</v>
      </c>
      <c r="C35" s="45">
        <f t="shared" si="0"/>
        <v>45688</v>
      </c>
      <c r="D35" s="46">
        <f ca="1">IF($B35&gt;DAY(EOMONTH(C$4,0)),"",SUMIFS(INDIRECT(TEXT(C35,"MMM")&amp;"!$L$9:$L$999"),INDIRECT(TEXT(C35,"MMM")&amp;"!$B$9:$B$999"),C35)+SUMIFS(Abwesenheit!$J$3:$J$199,Abwesenheit!$D$3:$D$199,C35))</f>
        <v>0</v>
      </c>
      <c r="E35" s="83">
        <f>IF($B35&gt;DAY(EOMONTH(C$4,0)),"",IF(OR(C35&lt;IF(YEAR(Eintritt)&lt;Jahr,DATE(Jahr,1,1),Eintritt),C35&gt;IF(Austritt="",DATE(Jahr,12,31),Austritt)),0,IF(OR(ISERROR(VLOOKUP(C35,Stammdaten!$I$9:$J$26,2,FALSE)),SUMIFS(Stammdaten!$J$9:$J$26,Stammdaten!$I$9:$I$26,C35)=0),VLOOKUP(TEXT(C35,"TTT"),Stammdaten!$B$20:$F$26,5,FALSE),0)))</f>
        <v>0</v>
      </c>
      <c r="F35" s="45">
        <f t="shared" si="1"/>
        <v>45719</v>
      </c>
      <c r="G35" s="46" t="str">
        <f ca="1">IF($B35&gt;DAY(EOMONTH(F$4,0)),"",SUMIFS(INDIRECT(TEXT(F35,"MMM")&amp;"!$L$9:$L$999"),INDIRECT(TEXT(F35,"MMM")&amp;"!$B$9:$B$999"),F35)+SUMIFS(Abwesenheit!$J$3:$J$199,Abwesenheit!$D$3:$D$199,F35))</f>
        <v/>
      </c>
      <c r="H35" s="83" t="str">
        <f>IF($B35&gt;DAY(EOMONTH(F$4,0)),"",IF(OR(F35&lt;IF(YEAR(Eintritt)&lt;Jahr,DATE(Jahr,1,1),Eintritt),F35&gt;IF(Austritt="",DATE(Jahr,12,31),Austritt)),0,IF(OR(ISERROR(VLOOKUP(F35,Stammdaten!$I$9:$J$26,2,FALSE)),SUMIFS(Stammdaten!$J$9:$J$26,Stammdaten!$I$9:$I$26,F35)=0),VLOOKUP(TEXT(F35,"TTT"),Stammdaten!$B$20:$F$26,5,FALSE),0)))</f>
        <v/>
      </c>
      <c r="I35" s="45">
        <f t="shared" si="2"/>
        <v>45747</v>
      </c>
      <c r="J35" s="46">
        <f ca="1">IF($B35&gt;DAY(EOMONTH(I$4,0)),"",SUMIFS(INDIRECT(TEXT(I35,"MMM")&amp;"!$L$9:$L$999"),INDIRECT(TEXT(I35,"MMM")&amp;"!$B$9:$B$999"),I35)+SUMIFS(Abwesenheit!$J$3:$J$199,Abwesenheit!$D$3:$D$199,I35))</f>
        <v>0</v>
      </c>
      <c r="K35" s="83">
        <f>IF($B35&gt;DAY(EOMONTH(I$4,0)),"",IF(OR(I35&lt;IF(YEAR(Eintritt)&lt;Jahr,DATE(Jahr,1,1),Eintritt),I35&gt;IF(Austritt="",DATE(Jahr,12,31),Austritt)),0,IF(OR(ISERROR(VLOOKUP(I35,Stammdaten!$I$9:$J$26,2,FALSE)),SUMIFS(Stammdaten!$J$9:$J$26,Stammdaten!$I$9:$I$26,I35)=0),VLOOKUP(TEXT(I35,"TTT"),Stammdaten!$B$20:$F$26,5,FALSE),0)))</f>
        <v>0</v>
      </c>
      <c r="L35" s="45">
        <f t="shared" si="3"/>
        <v>45778</v>
      </c>
      <c r="M35" s="46" t="str">
        <f ca="1">IF($B35&gt;DAY(EOMONTH(L$4,0)),"",SUMIFS(INDIRECT(TEXT(L35,"MMM")&amp;"!$L$9:$L$999"),INDIRECT(TEXT(L35,"MMM")&amp;"!$B$9:$B$999"),L35)+SUMIFS(Abwesenheit!$J$3:$J$199,Abwesenheit!$D$3:$D$199,L35))</f>
        <v/>
      </c>
      <c r="N35" s="83" t="str">
        <f>IF($B35&gt;DAY(EOMONTH(L$4,0)),"",IF(OR(L35&lt;IF(YEAR(Eintritt)&lt;Jahr,DATE(Jahr,1,1),Eintritt),L35&gt;IF(Austritt="",DATE(Jahr,12,31),Austritt)),0,IF(OR(ISERROR(VLOOKUP(L35,Stammdaten!$I$9:$J$26,2,FALSE)),SUMIFS(Stammdaten!$J$9:$J$26,Stammdaten!$I$9:$I$26,L35)=0),VLOOKUP(TEXT(L35,"TTT"),Stammdaten!$B$20:$F$26,5,FALSE),0)))</f>
        <v/>
      </c>
      <c r="O35" s="45">
        <f t="shared" si="4"/>
        <v>45808</v>
      </c>
      <c r="P35" s="46">
        <f ca="1">IF($B35&gt;DAY(EOMONTH(O$4,0)),"",SUMIFS(INDIRECT(TEXT(O35,"MMM")&amp;"!$L$9:$L$999"),INDIRECT(TEXT(O35,"MMM")&amp;"!$B$9:$B$999"),O35)+SUMIFS(Abwesenheit!$J$3:$J$199,Abwesenheit!$D$3:$D$199,O35))</f>
        <v>0</v>
      </c>
      <c r="Q35" s="83">
        <f>IF($B35&gt;DAY(EOMONTH(O$4,0)),"",IF(OR(O35&lt;IF(YEAR(Eintritt)&lt;Jahr,DATE(Jahr,1,1),Eintritt),O35&gt;IF(Austritt="",DATE(Jahr,12,31),Austritt)),0,IF(OR(ISERROR(VLOOKUP(O35,Stammdaten!$I$9:$J$26,2,FALSE)),SUMIFS(Stammdaten!$J$9:$J$26,Stammdaten!$I$9:$I$26,O35)=0),VLOOKUP(TEXT(O35,"TTT"),Stammdaten!$B$20:$F$26,5,FALSE),0)))</f>
        <v>0</v>
      </c>
      <c r="R35" s="45">
        <f t="shared" si="5"/>
        <v>45839</v>
      </c>
      <c r="S35" s="46" t="str">
        <f ca="1">IF($B35&gt;DAY(EOMONTH(R$4,0)),"",SUMIFS(INDIRECT(TEXT(R35,"MMM")&amp;"!$L$9:$L$999"),INDIRECT(TEXT(R35,"MMM")&amp;"!$B$9:$B$999"),R35)+SUMIFS(Abwesenheit!$J$3:$J$199,Abwesenheit!$D$3:$D$199,R35))</f>
        <v/>
      </c>
      <c r="T35" s="83" t="str">
        <f>IF($B35&gt;DAY(EOMONTH(R$4,0)),"",IF(OR(R35&lt;IF(YEAR(Eintritt)&lt;Jahr,DATE(Jahr,1,1),Eintritt),R35&gt;IF(Austritt="",DATE(Jahr,12,31),Austritt)),0,IF(OR(ISERROR(VLOOKUP(R35,Stammdaten!$I$9:$J$26,2,FALSE)),SUMIFS(Stammdaten!$J$9:$J$26,Stammdaten!$I$9:$I$26,R35)=0),VLOOKUP(TEXT(R35,"TTT"),Stammdaten!$B$20:$F$26,5,FALSE),0)))</f>
        <v/>
      </c>
      <c r="U35" s="45">
        <f t="shared" si="6"/>
        <v>45869</v>
      </c>
      <c r="V35" s="46">
        <f ca="1">IF($B35&gt;DAY(EOMONTH(U$4,0)),"",SUMIFS(INDIRECT(TEXT(U35,"MMM")&amp;"!$L$9:$L$999"),INDIRECT(TEXT(U35,"MMM")&amp;"!$B$9:$B$999"),U35)+SUMIFS(Abwesenheit!$J$3:$J$199,Abwesenheit!$D$3:$D$199,U35))</f>
        <v>0</v>
      </c>
      <c r="W35" s="83">
        <f>IF($B35&gt;DAY(EOMONTH(U$4,0)),"",IF(OR(U35&lt;IF(YEAR(Eintritt)&lt;Jahr,DATE(Jahr,1,1),Eintritt),U35&gt;IF(Austritt="",DATE(Jahr,12,31),Austritt)),0,IF(OR(ISERROR(VLOOKUP(U35,Stammdaten!$I$9:$J$26,2,FALSE)),SUMIFS(Stammdaten!$J$9:$J$26,Stammdaten!$I$9:$I$26,U35)=0),VLOOKUP(TEXT(U35,"TTT"),Stammdaten!$B$20:$F$26,5,FALSE),0)))</f>
        <v>0.33333333333333337</v>
      </c>
      <c r="X35" s="45">
        <f t="shared" si="7"/>
        <v>45900</v>
      </c>
      <c r="Y35" s="46">
        <f ca="1">IF($B35&gt;DAY(EOMONTH(X$4,0)),"",SUMIFS(INDIRECT(TEXT(X35,"MMM")&amp;"!$L$9:$L$999"),INDIRECT(TEXT(X35,"MMM")&amp;"!$B$9:$B$999"),X35)+SUMIFS(Abwesenheit!$J$3:$J$199,Abwesenheit!$D$3:$D$199,X35))</f>
        <v>0</v>
      </c>
      <c r="Z35" s="83">
        <f>IF($B35&gt;DAY(EOMONTH(X$4,0)),"",IF(OR(X35&lt;IF(YEAR(Eintritt)&lt;Jahr,DATE(Jahr,1,1),Eintritt),X35&gt;IF(Austritt="",DATE(Jahr,12,31),Austritt)),0,IF(OR(ISERROR(VLOOKUP(X35,Stammdaten!$I$9:$J$26,2,FALSE)),SUMIFS(Stammdaten!$J$9:$J$26,Stammdaten!$I$9:$I$26,X35)=0),VLOOKUP(TEXT(X35,"TTT"),Stammdaten!$B$20:$F$26,5,FALSE),0)))</f>
        <v>0</v>
      </c>
      <c r="AA35" s="45">
        <f t="shared" si="8"/>
        <v>45931</v>
      </c>
      <c r="AB35" s="46" t="str">
        <f ca="1">IF($B35&gt;DAY(EOMONTH(AA$4,0)),"",SUMIFS(INDIRECT(TEXT(AA35,"MMM")&amp;"!$L$9:$L$999"),INDIRECT(TEXT(AA35,"MMM")&amp;"!$B$9:$B$999"),AA35)+SUMIFS(Abwesenheit!$J$3:$J$199,Abwesenheit!$D$3:$D$199,AA35))</f>
        <v/>
      </c>
      <c r="AC35" s="83" t="str">
        <f>IF($B35&gt;DAY(EOMONTH(AA$4,0)),"",IF(OR(AA35&lt;IF(YEAR(Eintritt)&lt;Jahr,DATE(Jahr,1,1),Eintritt),AA35&gt;IF(Austritt="",DATE(Jahr,12,31),Austritt)),0,IF(OR(ISERROR(VLOOKUP(AA35,Stammdaten!$I$9:$J$26,2,FALSE)),SUMIFS(Stammdaten!$J$9:$J$26,Stammdaten!$I$9:$I$26,AA35)=0),VLOOKUP(TEXT(AA35,"TTT"),Stammdaten!$B$20:$F$26,5,FALSE),0)))</f>
        <v/>
      </c>
      <c r="AD35" s="45">
        <f t="shared" si="9"/>
        <v>45961</v>
      </c>
      <c r="AE35" s="46">
        <f ca="1">IF($B35&gt;DAY(EOMONTH(AD$4,0)),"",SUMIFS(INDIRECT(TEXT(AD35,"MMM")&amp;"!$L$9:$L$999"),INDIRECT(TEXT(AD35,"MMM")&amp;"!$B$9:$B$999"),AD35)+SUMIFS(Abwesenheit!$J$3:$J$199,Abwesenheit!$D$3:$D$199,AD35))</f>
        <v>0</v>
      </c>
      <c r="AF35" s="83">
        <f>IF($B35&gt;DAY(EOMONTH(AD$4,0)),"",IF(OR(AD35&lt;IF(YEAR(Eintritt)&lt;Jahr,DATE(Jahr,1,1),Eintritt),AD35&gt;IF(Austritt="",DATE(Jahr,12,31),Austritt)),0,IF(OR(ISERROR(VLOOKUP(AD35,Stammdaten!$I$9:$J$26,2,FALSE)),SUMIFS(Stammdaten!$J$9:$J$26,Stammdaten!$I$9:$I$26,AD35)=0),VLOOKUP(TEXT(AD35,"TTT"),Stammdaten!$B$20:$F$26,5,FALSE),0)))</f>
        <v>0</v>
      </c>
      <c r="AG35" s="45">
        <f t="shared" si="10"/>
        <v>45992</v>
      </c>
      <c r="AH35" s="46" t="str">
        <f ca="1">IF($B35&gt;DAY(EOMONTH(AG$4,0)),"",SUMIFS(INDIRECT(TEXT(AG35,"MMM")&amp;"!$L$9:$L$999"),INDIRECT(TEXT(AG35,"MMM")&amp;"!$B$9:$B$999"),AG35)+SUMIFS(Abwesenheit!$J$3:$J$199,Abwesenheit!$D$3:$D$199,AG35))</f>
        <v/>
      </c>
      <c r="AI35" s="83" t="str">
        <f>IF($B35&gt;DAY(EOMONTH(AG$4,0)),"",IF(OR(AG35&lt;IF(YEAR(Eintritt)&lt;Jahr,DATE(Jahr,1,1),Eintritt),AG35&gt;IF(Austritt="",DATE(Jahr,12,31),Austritt)),0,IF(OR(ISERROR(VLOOKUP(AG35,Stammdaten!$I$9:$J$26,2,FALSE)),SUMIFS(Stammdaten!$J$9:$J$26,Stammdaten!$I$9:$I$26,AG35)=0),VLOOKUP(TEXT(AG35,"TTT"),Stammdaten!$B$20:$F$26,5,FALSE),0)))</f>
        <v/>
      </c>
      <c r="AJ35" s="45">
        <f t="shared" si="11"/>
        <v>46022</v>
      </c>
      <c r="AK35" s="46">
        <f ca="1">IF($B35&gt;DAY(EOMONTH(AJ$4,0)),"",SUMIFS(INDIRECT(TEXT(AJ35,"MMM")&amp;"!$L$9:$L$999"),INDIRECT(TEXT(AJ35,"MMM")&amp;"!$B$9:$B$999"),AJ35)+SUMIFS(Abwesenheit!$J$3:$J$199,Abwesenheit!$D$3:$D$199,AJ35))</f>
        <v>0</v>
      </c>
      <c r="AL35" s="35">
        <f>IF($B35&gt;DAY(EOMONTH(AJ$4,0)),"",IF(OR(AJ35&lt;IF(YEAR(Eintritt)&lt;Jahr,DATE(Jahr,1,1),Eintritt),AJ35&gt;IF(Austritt="",DATE(Jahr,12,31),Austritt)),0,VLOOKUP(TEXT(AJ35,"TTT"),Stammdaten!$B$20:$F$26,5,FALSE)-IF(ISERROR(VLOOKUP(AJ35,Stammdaten!$I$9:$J$26,2,FALSE)),0,SUMIFS(Stammdaten!$J$9:$J$26,Stammdaten!$I$9:$I$26,AJ35)/24)))</f>
        <v>0</v>
      </c>
      <c r="AM35" s="38">
        <v>31</v>
      </c>
      <c r="AP35" s="8"/>
      <c r="AQ35" s="8"/>
      <c r="AR35" s="8"/>
      <c r="AS35" s="8"/>
    </row>
    <row r="36" spans="1:45" x14ac:dyDescent="0.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</row>
    <row r="37" spans="1:45" x14ac:dyDescent="0.3">
      <c r="A37" s="33"/>
      <c r="B37" s="7" t="s">
        <v>49</v>
      </c>
      <c r="C37" s="112">
        <f ca="1">SUM(D5:D35)*24</f>
        <v>0</v>
      </c>
      <c r="D37" s="112"/>
      <c r="E37" s="112" t="s">
        <v>26</v>
      </c>
      <c r="F37" s="112">
        <f ca="1">SUM(G5:G35)*24</f>
        <v>0</v>
      </c>
      <c r="G37" s="112"/>
      <c r="H37" s="112" t="s">
        <v>26</v>
      </c>
      <c r="I37" s="112">
        <f ca="1">SUM(J5:J35)*24</f>
        <v>0</v>
      </c>
      <c r="J37" s="112"/>
      <c r="K37" s="112" t="s">
        <v>26</v>
      </c>
      <c r="L37" s="112">
        <f ca="1">SUM(M5:M35)*24</f>
        <v>0</v>
      </c>
      <c r="M37" s="112"/>
      <c r="N37" s="112" t="s">
        <v>26</v>
      </c>
      <c r="O37" s="112">
        <f ca="1">SUM(P5:P35)*24</f>
        <v>0</v>
      </c>
      <c r="P37" s="112"/>
      <c r="Q37" s="112" t="s">
        <v>26</v>
      </c>
      <c r="R37" s="112">
        <f ca="1">SUM(S5:S35)*24</f>
        <v>0</v>
      </c>
      <c r="S37" s="112"/>
      <c r="T37" s="112" t="s">
        <v>26</v>
      </c>
      <c r="U37" s="112">
        <f ca="1">SUM(V5:V35)*24</f>
        <v>17</v>
      </c>
      <c r="V37" s="112"/>
      <c r="W37" s="112" t="s">
        <v>26</v>
      </c>
      <c r="X37" s="112">
        <f ca="1">SUM(Y5:Y35)*24</f>
        <v>0</v>
      </c>
      <c r="Y37" s="112"/>
      <c r="Z37" s="112" t="s">
        <v>26</v>
      </c>
      <c r="AA37" s="112">
        <f ca="1">SUM(AB5:AB35)*24</f>
        <v>0</v>
      </c>
      <c r="AB37" s="112"/>
      <c r="AC37" s="112" t="s">
        <v>26</v>
      </c>
      <c r="AD37" s="112">
        <f ca="1">SUM(AE5:AE35)*24</f>
        <v>0</v>
      </c>
      <c r="AE37" s="112"/>
      <c r="AF37" s="112" t="s">
        <v>26</v>
      </c>
      <c r="AG37" s="112">
        <f ca="1">SUM(AH5:AH35)*24</f>
        <v>0</v>
      </c>
      <c r="AH37" s="112"/>
      <c r="AI37" s="112" t="s">
        <v>26</v>
      </c>
      <c r="AJ37" s="112">
        <f ca="1">SUM(AK5:AK35)*24</f>
        <v>0</v>
      </c>
      <c r="AK37" s="112"/>
      <c r="AL37" s="112" t="s">
        <v>26</v>
      </c>
      <c r="AM37" s="73">
        <f ca="1">SUM(C37:AL37)</f>
        <v>17</v>
      </c>
      <c r="AP37" s="40"/>
      <c r="AQ37" s="40"/>
    </row>
    <row r="38" spans="1:45" x14ac:dyDescent="0.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</row>
    <row r="39" spans="1:45" x14ac:dyDescent="0.3">
      <c r="A39" s="33"/>
      <c r="B39" s="71" t="s">
        <v>48</v>
      </c>
      <c r="C39" s="112">
        <f>SUM(E5:E35)*24</f>
        <v>0</v>
      </c>
      <c r="D39" s="112"/>
      <c r="E39" s="112" t="s">
        <v>26</v>
      </c>
      <c r="F39" s="112">
        <f>SUM(H5:H35)*24</f>
        <v>0</v>
      </c>
      <c r="G39" s="112"/>
      <c r="H39" s="112" t="s">
        <v>26</v>
      </c>
      <c r="I39" s="112">
        <f>SUM(K5:K35)*24</f>
        <v>0</v>
      </c>
      <c r="J39" s="112"/>
      <c r="K39" s="112" t="s">
        <v>26</v>
      </c>
      <c r="L39" s="112">
        <f>SUM(N5:N35)*24</f>
        <v>0</v>
      </c>
      <c r="M39" s="112"/>
      <c r="N39" s="112" t="s">
        <v>26</v>
      </c>
      <c r="O39" s="112">
        <f>SUM(Q5:Q35)*24</f>
        <v>0</v>
      </c>
      <c r="P39" s="112"/>
      <c r="Q39" s="112" t="s">
        <v>26</v>
      </c>
      <c r="R39" s="112">
        <f>SUM(T5:T35)*24</f>
        <v>0</v>
      </c>
      <c r="S39" s="112"/>
      <c r="T39" s="112" t="s">
        <v>26</v>
      </c>
      <c r="U39" s="112">
        <f>SUM(W5:W35)*24</f>
        <v>151.99999999999997</v>
      </c>
      <c r="V39" s="112"/>
      <c r="W39" s="112" t="s">
        <v>26</v>
      </c>
      <c r="X39" s="112">
        <f>SUM(Z5:Z35)*24</f>
        <v>8</v>
      </c>
      <c r="Y39" s="112"/>
      <c r="Z39" s="112" t="s">
        <v>26</v>
      </c>
      <c r="AA39" s="112">
        <f>SUM(AC5:AC35)*24</f>
        <v>0</v>
      </c>
      <c r="AB39" s="112"/>
      <c r="AC39" s="112" t="s">
        <v>26</v>
      </c>
      <c r="AD39" s="112">
        <f>SUM(AF5:AF35)*24</f>
        <v>0</v>
      </c>
      <c r="AE39" s="112"/>
      <c r="AF39" s="112" t="s">
        <v>26</v>
      </c>
      <c r="AG39" s="112">
        <f>SUM(AI5:AI35)*24</f>
        <v>0</v>
      </c>
      <c r="AH39" s="112"/>
      <c r="AI39" s="112" t="s">
        <v>26</v>
      </c>
      <c r="AJ39" s="112">
        <f>SUM(AL5:AL35)*24</f>
        <v>0</v>
      </c>
      <c r="AK39" s="112"/>
      <c r="AL39" s="112" t="s">
        <v>26</v>
      </c>
      <c r="AM39" s="73">
        <f>SUM(C39:AL39)</f>
        <v>159.99999999999997</v>
      </c>
    </row>
    <row r="40" spans="1:45" x14ac:dyDescent="0.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</row>
    <row r="41" spans="1:45" x14ac:dyDescent="0.3">
      <c r="A41" s="33"/>
      <c r="B41" s="71" t="s">
        <v>50</v>
      </c>
      <c r="C41" s="112">
        <f ca="1">C37-C39</f>
        <v>0</v>
      </c>
      <c r="D41" s="112"/>
      <c r="E41" s="112" t="s">
        <v>26</v>
      </c>
      <c r="F41" s="112">
        <f ca="1">F37-F39</f>
        <v>0</v>
      </c>
      <c r="G41" s="112"/>
      <c r="H41" s="112" t="s">
        <v>26</v>
      </c>
      <c r="I41" s="112">
        <f ca="1">I37-I39</f>
        <v>0</v>
      </c>
      <c r="J41" s="112"/>
      <c r="K41" s="112" t="s">
        <v>26</v>
      </c>
      <c r="L41" s="112">
        <f ca="1">L37-L39</f>
        <v>0</v>
      </c>
      <c r="M41" s="112"/>
      <c r="N41" s="112" t="s">
        <v>26</v>
      </c>
      <c r="O41" s="112">
        <f ca="1">O37-O39</f>
        <v>0</v>
      </c>
      <c r="P41" s="112"/>
      <c r="Q41" s="112" t="s">
        <v>26</v>
      </c>
      <c r="R41" s="112">
        <f ca="1">R37-R39</f>
        <v>0</v>
      </c>
      <c r="S41" s="112"/>
      <c r="T41" s="112" t="s">
        <v>26</v>
      </c>
      <c r="U41" s="112">
        <f ca="1">U37-U39</f>
        <v>-134.99999999999997</v>
      </c>
      <c r="V41" s="112"/>
      <c r="W41" s="112" t="s">
        <v>26</v>
      </c>
      <c r="X41" s="112">
        <f ca="1">X37-X39</f>
        <v>-8</v>
      </c>
      <c r="Y41" s="112"/>
      <c r="Z41" s="112" t="s">
        <v>26</v>
      </c>
      <c r="AA41" s="112">
        <f ca="1">AA37-AA39</f>
        <v>0</v>
      </c>
      <c r="AB41" s="112"/>
      <c r="AC41" s="112" t="s">
        <v>26</v>
      </c>
      <c r="AD41" s="112">
        <f ca="1">AD37-AD39</f>
        <v>0</v>
      </c>
      <c r="AE41" s="112"/>
      <c r="AF41" s="112" t="s">
        <v>26</v>
      </c>
      <c r="AG41" s="112">
        <f ca="1">AG37-AG39</f>
        <v>0</v>
      </c>
      <c r="AH41" s="112"/>
      <c r="AI41" s="112" t="s">
        <v>26</v>
      </c>
      <c r="AJ41" s="112">
        <f ca="1">AJ37-AJ39</f>
        <v>0</v>
      </c>
      <c r="AK41" s="112"/>
      <c r="AL41" s="112" t="s">
        <v>26</v>
      </c>
      <c r="AM41" s="73">
        <f ca="1">SUM(C41:AL41)</f>
        <v>-142.99999999999997</v>
      </c>
      <c r="AO41" s="40"/>
      <c r="AP41" s="40"/>
      <c r="AR41" s="40"/>
    </row>
    <row r="42" spans="1:45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</row>
    <row r="43" spans="1:45" x14ac:dyDescent="0.3">
      <c r="A43" s="33"/>
      <c r="B43" s="72" t="s">
        <v>82</v>
      </c>
      <c r="C43" s="112">
        <f ca="1">SUM(INDIRECT(TEXT(C$4,"MMM")&amp;"!$L$9:$L$999"))*24</f>
        <v>0</v>
      </c>
      <c r="D43" s="112"/>
      <c r="E43" s="112" t="s">
        <v>26</v>
      </c>
      <c r="F43" s="112">
        <f ca="1">SUM(INDIRECT(TEXT(F$4,"MMM")&amp;"!$L$9:$L$999"))*24</f>
        <v>0</v>
      </c>
      <c r="G43" s="112"/>
      <c r="H43" s="112" t="s">
        <v>26</v>
      </c>
      <c r="I43" s="112">
        <f ca="1">SUM(INDIRECT(TEXT(I$4,"MMM")&amp;"!$L$9:$L$999"))*24</f>
        <v>0</v>
      </c>
      <c r="J43" s="112"/>
      <c r="K43" s="112" t="s">
        <v>26</v>
      </c>
      <c r="L43" s="112">
        <f ca="1">SUM(INDIRECT(TEXT(L$4,"MMM")&amp;"!$L$9:$L$999"))*24</f>
        <v>0</v>
      </c>
      <c r="M43" s="112"/>
      <c r="N43" s="112" t="s">
        <v>26</v>
      </c>
      <c r="O43" s="112">
        <f ca="1">SUM(INDIRECT(TEXT(O$4,"MMM")&amp;"!$L$9:$L$999"))*24</f>
        <v>0</v>
      </c>
      <c r="P43" s="112"/>
      <c r="Q43" s="112" t="s">
        <v>26</v>
      </c>
      <c r="R43" s="112">
        <f ca="1">SUM(INDIRECT(TEXT(R$4,"MMM")&amp;"!$L$9:$L$999"))*24</f>
        <v>0</v>
      </c>
      <c r="S43" s="112"/>
      <c r="T43" s="112" t="s">
        <v>26</v>
      </c>
      <c r="U43" s="112">
        <f ca="1">SUM(INDIRECT(TEXT(U$4,"MMM")&amp;"!$L$9:$L$999"))*24</f>
        <v>17</v>
      </c>
      <c r="V43" s="112"/>
      <c r="W43" s="112" t="s">
        <v>26</v>
      </c>
      <c r="X43" s="112">
        <f ca="1">SUM(INDIRECT(TEXT(X$4,"MMM")&amp;"!$L$9:$L$999"))*24</f>
        <v>0</v>
      </c>
      <c r="Y43" s="112"/>
      <c r="Z43" s="112" t="s">
        <v>26</v>
      </c>
      <c r="AA43" s="112">
        <f ca="1">SUM(INDIRECT(TEXT(AA$4,"MMM")&amp;"!$L$9:$L$999"))*24</f>
        <v>0</v>
      </c>
      <c r="AB43" s="112"/>
      <c r="AC43" s="112" t="s">
        <v>26</v>
      </c>
      <c r="AD43" s="112">
        <f ca="1">SUM(INDIRECT(TEXT(AD$4,"MMM")&amp;"!$L$9:$L$999"))*24</f>
        <v>0</v>
      </c>
      <c r="AE43" s="112"/>
      <c r="AF43" s="112" t="s">
        <v>26</v>
      </c>
      <c r="AG43" s="112">
        <f ca="1">SUM(INDIRECT(TEXT(AG$4,"MMM")&amp;"!$L$9:$L$999"))*24</f>
        <v>0</v>
      </c>
      <c r="AH43" s="112"/>
      <c r="AI43" s="112" t="s">
        <v>26</v>
      </c>
      <c r="AJ43" s="112">
        <f ca="1">SUM(INDIRECT(TEXT(AJ$4,"MMM")&amp;"!$L$9:$L$999"))*24</f>
        <v>0</v>
      </c>
      <c r="AK43" s="112"/>
      <c r="AL43" s="112" t="s">
        <v>26</v>
      </c>
      <c r="AM43" s="73">
        <f ca="1">SUM(C43:AL43)</f>
        <v>17</v>
      </c>
      <c r="AP43" s="40"/>
    </row>
    <row r="44" spans="1:45" x14ac:dyDescent="0.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</row>
    <row r="45" spans="1:45" x14ac:dyDescent="0.3">
      <c r="A45" s="33"/>
      <c r="B45" s="75" t="s">
        <v>81</v>
      </c>
      <c r="C45" s="112">
        <f ca="1">C37-C43</f>
        <v>0</v>
      </c>
      <c r="D45" s="112"/>
      <c r="E45" s="112"/>
      <c r="F45" s="112">
        <f ca="1">F37-F43</f>
        <v>0</v>
      </c>
      <c r="G45" s="112"/>
      <c r="H45" s="112"/>
      <c r="I45" s="112">
        <f ca="1">I37-I43</f>
        <v>0</v>
      </c>
      <c r="J45" s="112"/>
      <c r="K45" s="112"/>
      <c r="L45" s="112">
        <f ca="1">L37-L43</f>
        <v>0</v>
      </c>
      <c r="M45" s="112"/>
      <c r="N45" s="112"/>
      <c r="O45" s="112">
        <f ca="1">O37-O43</f>
        <v>0</v>
      </c>
      <c r="P45" s="112"/>
      <c r="Q45" s="112"/>
      <c r="R45" s="112">
        <f ca="1">R37-R43</f>
        <v>0</v>
      </c>
      <c r="S45" s="112"/>
      <c r="T45" s="112"/>
      <c r="U45" s="112">
        <f ca="1">U37-U43</f>
        <v>0</v>
      </c>
      <c r="V45" s="112"/>
      <c r="W45" s="112"/>
      <c r="X45" s="112">
        <f ca="1">X37-X43</f>
        <v>0</v>
      </c>
      <c r="Y45" s="112"/>
      <c r="Z45" s="112"/>
      <c r="AA45" s="112">
        <f ca="1">AA37-AA43</f>
        <v>0</v>
      </c>
      <c r="AB45" s="112"/>
      <c r="AC45" s="112"/>
      <c r="AD45" s="112">
        <f ca="1">AD37-AD43</f>
        <v>0</v>
      </c>
      <c r="AE45" s="112"/>
      <c r="AF45" s="112"/>
      <c r="AG45" s="112">
        <f ca="1">AG37-AG43</f>
        <v>0</v>
      </c>
      <c r="AH45" s="112"/>
      <c r="AI45" s="112"/>
      <c r="AJ45" s="112">
        <f ca="1">AJ37-AJ43</f>
        <v>0</v>
      </c>
      <c r="AK45" s="112"/>
      <c r="AL45" s="112"/>
      <c r="AM45" s="73">
        <f t="shared" ref="AM45:AM54" ca="1" si="12">SUM(C45:AL45)</f>
        <v>0</v>
      </c>
    </row>
    <row r="46" spans="1:45" x14ac:dyDescent="0.3">
      <c r="A46" s="33"/>
      <c r="B46" s="75" t="s">
        <v>77</v>
      </c>
      <c r="C46" s="112">
        <f>SUMIFS(Abwesenheit!$J$2:$J$997,Abwesenheit!$E$2:$E$997,"Urlaub",Abwesenheit!$D$2:$D$997,"&gt;="&amp;TEXT(C$4,"TT.MM.JJJJ"),Abwesenheit!$D$2:$D$997,"&lt;="&amp;TEXT(EOMONTH(C$4,0),"TT.MM.JJJJ"))*24</f>
        <v>0</v>
      </c>
      <c r="D46" s="112"/>
      <c r="E46" s="112"/>
      <c r="F46" s="112">
        <f>SUMIFS(Abwesenheit!$J$2:$J$997,Abwesenheit!$E$2:$E$997,"Urlaub",Abwesenheit!$D$2:$D$997,"&gt;="&amp;TEXT(F$4,"TT.MM.JJJJ"),Abwesenheit!$D$2:$D$997,"&lt;="&amp;TEXT(EOMONTH(F$4,0),"TT.MM.JJJJ"))*24</f>
        <v>0</v>
      </c>
      <c r="G46" s="112"/>
      <c r="H46" s="112"/>
      <c r="I46" s="112">
        <f>SUMIFS(Abwesenheit!$J$2:$J$997,Abwesenheit!$E$2:$E$997,"Urlaub",Abwesenheit!$D$2:$D$997,"&gt;="&amp;TEXT(I$4,"TT.MM.JJJJ"),Abwesenheit!$D$2:$D$997,"&lt;="&amp;TEXT(EOMONTH(I$4,0),"TT.MM.JJJJ"))*24</f>
        <v>0</v>
      </c>
      <c r="J46" s="112"/>
      <c r="K46" s="112"/>
      <c r="L46" s="112">
        <f>SUMIFS(Abwesenheit!$J$2:$J$997,Abwesenheit!$E$2:$E$997,"Urlaub",Abwesenheit!$D$2:$D$997,"&gt;="&amp;TEXT(L$4,"TT.MM.JJJJ"),Abwesenheit!$D$2:$D$997,"&lt;="&amp;TEXT(EOMONTH(L$4,0),"TT.MM.JJJJ"))*24</f>
        <v>0</v>
      </c>
      <c r="M46" s="112"/>
      <c r="N46" s="112"/>
      <c r="O46" s="112">
        <f>SUMIFS(Abwesenheit!$J$2:$J$997,Abwesenheit!$E$2:$E$997,"Urlaub",Abwesenheit!$D$2:$D$997,"&gt;="&amp;TEXT(O$4,"TT.MM.JJJJ"),Abwesenheit!$D$2:$D$997,"&lt;="&amp;TEXT(EOMONTH(O$4,0),"TT.MM.JJJJ"))*24</f>
        <v>0</v>
      </c>
      <c r="P46" s="112"/>
      <c r="Q46" s="112"/>
      <c r="R46" s="112">
        <f>SUMIFS(Abwesenheit!$J$2:$J$997,Abwesenheit!$E$2:$E$997,"Urlaub",Abwesenheit!$D$2:$D$997,"&gt;="&amp;TEXT(R$4,"TT.MM.JJJJ"),Abwesenheit!$D$2:$D$997,"&lt;="&amp;TEXT(EOMONTH(R$4,0),"TT.MM.JJJJ"))*24</f>
        <v>0</v>
      </c>
      <c r="S46" s="112"/>
      <c r="T46" s="112"/>
      <c r="U46" s="112">
        <f>SUMIFS(Abwesenheit!$J$2:$J$997,Abwesenheit!$E$2:$E$997,"Urlaub",Abwesenheit!$D$2:$D$997,"&gt;="&amp;TEXT(U$4,"TT.MM.JJJJ"),Abwesenheit!$D$2:$D$997,"&lt;="&amp;TEXT(EOMONTH(U$4,0),"TT.MM.JJJJ"))*24</f>
        <v>0</v>
      </c>
      <c r="V46" s="112"/>
      <c r="W46" s="112"/>
      <c r="X46" s="112">
        <f>SUMIFS(Abwesenheit!$J$2:$J$997,Abwesenheit!$E$2:$E$997,"Urlaub",Abwesenheit!$D$2:$D$997,"&gt;="&amp;TEXT(X$4,"TT.MM.JJJJ"),Abwesenheit!$D$2:$D$997,"&lt;="&amp;TEXT(EOMONTH(X$4,0),"TT.MM.JJJJ"))*24</f>
        <v>0</v>
      </c>
      <c r="Y46" s="112"/>
      <c r="Z46" s="112"/>
      <c r="AA46" s="112">
        <f>SUMIFS(Abwesenheit!$J$2:$J$997,Abwesenheit!$E$2:$E$997,"Urlaub",Abwesenheit!$D$2:$D$997,"&gt;="&amp;TEXT(AA$4,"TT.MM.JJJJ"),Abwesenheit!$D$2:$D$997,"&lt;="&amp;TEXT(EOMONTH(AA$4,0),"TT.MM.JJJJ"))*24</f>
        <v>0</v>
      </c>
      <c r="AB46" s="112"/>
      <c r="AC46" s="112"/>
      <c r="AD46" s="112">
        <f>SUMIFS(Abwesenheit!$J$2:$J$997,Abwesenheit!$E$2:$E$997,"Urlaub",Abwesenheit!$D$2:$D$997,"&gt;="&amp;TEXT(AD$4,"TT.MM.JJJJ"),Abwesenheit!$D$2:$D$997,"&lt;="&amp;TEXT(EOMONTH(AD$4,0),"TT.MM.JJJJ"))*24</f>
        <v>0</v>
      </c>
      <c r="AE46" s="112"/>
      <c r="AF46" s="112"/>
      <c r="AG46" s="112">
        <f>SUMIFS(Abwesenheit!$J$2:$J$997,Abwesenheit!$E$2:$E$997,"Urlaub",Abwesenheit!$D$2:$D$997,"&gt;="&amp;TEXT(AG$4,"TT.MM.JJJJ"),Abwesenheit!$D$2:$D$997,"&lt;="&amp;TEXT(EOMONTH(AG$4,0),"TT.MM.JJJJ"))*24</f>
        <v>0</v>
      </c>
      <c r="AH46" s="112"/>
      <c r="AI46" s="112"/>
      <c r="AJ46" s="112">
        <f>SUMIFS(Abwesenheit!$J$2:$J$997,Abwesenheit!$E$2:$E$997,"Urlaub",Abwesenheit!$D$2:$D$997,"&gt;="&amp;TEXT(AJ$4,"TT.MM.JJJJ"),Abwesenheit!$D$2:$D$997,"&lt;="&amp;TEXT(EOMONTH(AJ$4,0),"TT.MM.JJJJ"))*24</f>
        <v>0</v>
      </c>
      <c r="AK46" s="112"/>
      <c r="AL46" s="112"/>
      <c r="AM46" s="73">
        <f t="shared" si="12"/>
        <v>0</v>
      </c>
      <c r="AO46" s="40"/>
      <c r="AP46" s="40"/>
    </row>
    <row r="47" spans="1:45" x14ac:dyDescent="0.3">
      <c r="A47" s="33"/>
      <c r="B47" s="75" t="s">
        <v>78</v>
      </c>
      <c r="C47" s="112">
        <f>SUMIFS(Abwesenheit!$J$2:$J$997,Abwesenheit!$E$2:$E$997,"Pflegeurlaub",Abwesenheit!$D$2:$D$997,"&gt;="&amp;TEXT(C$4,"TT.MM.JJJJ"),Abwesenheit!$D$2:$D$997,"&lt;="&amp;TEXT(EOMONTH(C$4,0),"TT.MM.JJJJ"))*24</f>
        <v>0</v>
      </c>
      <c r="D47" s="112"/>
      <c r="E47" s="112"/>
      <c r="F47" s="112">
        <f>SUMIFS(Abwesenheit!$J$2:$J$997,Abwesenheit!$E$2:$E$997,"Pflegeurlaub",Abwesenheit!$D$2:$D$997,"&gt;="&amp;TEXT(F$4,"TT.MM.JJJJ"),Abwesenheit!$D$2:$D$997,"&lt;="&amp;TEXT(EOMONTH(F$4,0),"TT.MM.JJJJ"))*24</f>
        <v>0</v>
      </c>
      <c r="G47" s="112"/>
      <c r="H47" s="112"/>
      <c r="I47" s="112">
        <f>SUMIFS(Abwesenheit!$J$2:$J$997,Abwesenheit!$E$2:$E$997,"Pflegeurlaub",Abwesenheit!$D$2:$D$997,"&gt;="&amp;TEXT(I$4,"TT.MM.JJJJ"),Abwesenheit!$D$2:$D$997,"&lt;="&amp;TEXT(EOMONTH(I$4,0),"TT.MM.JJJJ"))*24</f>
        <v>0</v>
      </c>
      <c r="J47" s="112"/>
      <c r="K47" s="112"/>
      <c r="L47" s="112">
        <f>SUMIFS(Abwesenheit!$J$2:$J$997,Abwesenheit!$E$2:$E$997,"Pflegeurlaub",Abwesenheit!$D$2:$D$997,"&gt;="&amp;TEXT(L$4,"TT.MM.JJJJ"),Abwesenheit!$D$2:$D$997,"&lt;="&amp;TEXT(EOMONTH(L$4,0),"TT.MM.JJJJ"))*24</f>
        <v>0</v>
      </c>
      <c r="M47" s="112"/>
      <c r="N47" s="112"/>
      <c r="O47" s="112">
        <f>SUMIFS(Abwesenheit!$J$2:$J$997,Abwesenheit!$E$2:$E$997,"Pflegeurlaub",Abwesenheit!$D$2:$D$997,"&gt;="&amp;TEXT(O$4,"TT.MM.JJJJ"),Abwesenheit!$D$2:$D$997,"&lt;="&amp;TEXT(EOMONTH(O$4,0),"TT.MM.JJJJ"))*24</f>
        <v>0</v>
      </c>
      <c r="P47" s="112"/>
      <c r="Q47" s="112"/>
      <c r="R47" s="112">
        <f>SUMIFS(Abwesenheit!$J$2:$J$997,Abwesenheit!$E$2:$E$997,"Pflegeurlaub",Abwesenheit!$D$2:$D$997,"&gt;="&amp;TEXT(R$4,"TT.MM.JJJJ"),Abwesenheit!$D$2:$D$997,"&lt;="&amp;TEXT(EOMONTH(R$4,0),"TT.MM.JJJJ"))*24</f>
        <v>0</v>
      </c>
      <c r="S47" s="112"/>
      <c r="T47" s="112"/>
      <c r="U47" s="112">
        <f>SUMIFS(Abwesenheit!$J$2:$J$997,Abwesenheit!$E$2:$E$997,"Pflegeurlaub",Abwesenheit!$D$2:$D$997,"&gt;="&amp;TEXT(U$4,"TT.MM.JJJJ"),Abwesenheit!$D$2:$D$997,"&lt;="&amp;TEXT(EOMONTH(U$4,0),"TT.MM.JJJJ"))*24</f>
        <v>0</v>
      </c>
      <c r="V47" s="112"/>
      <c r="W47" s="112"/>
      <c r="X47" s="112">
        <f>SUMIFS(Abwesenheit!$J$2:$J$997,Abwesenheit!$E$2:$E$997,"Pflegeurlaub",Abwesenheit!$D$2:$D$997,"&gt;="&amp;TEXT(X$4,"TT.MM.JJJJ"),Abwesenheit!$D$2:$D$997,"&lt;="&amp;TEXT(EOMONTH(X$4,0),"TT.MM.JJJJ"))*24</f>
        <v>0</v>
      </c>
      <c r="Y47" s="112"/>
      <c r="Z47" s="112"/>
      <c r="AA47" s="112">
        <f>SUMIFS(Abwesenheit!$J$2:$J$997,Abwesenheit!$E$2:$E$997,"Pflegeurlaub",Abwesenheit!$D$2:$D$997,"&gt;="&amp;TEXT(AA$4,"TT.MM.JJJJ"),Abwesenheit!$D$2:$D$997,"&lt;="&amp;TEXT(EOMONTH(AA$4,0),"TT.MM.JJJJ"))*24</f>
        <v>0</v>
      </c>
      <c r="AB47" s="112"/>
      <c r="AC47" s="112"/>
      <c r="AD47" s="112">
        <f>SUMIFS(Abwesenheit!$J$2:$J$997,Abwesenheit!$E$2:$E$997,"Pflegeurlaub",Abwesenheit!$D$2:$D$997,"&gt;="&amp;TEXT(AD$4,"TT.MM.JJJJ"),Abwesenheit!$D$2:$D$997,"&lt;="&amp;TEXT(EOMONTH(AD$4,0),"TT.MM.JJJJ"))*24</f>
        <v>0</v>
      </c>
      <c r="AE47" s="112"/>
      <c r="AF47" s="112"/>
      <c r="AG47" s="112">
        <f>SUMIFS(Abwesenheit!$J$2:$J$997,Abwesenheit!$E$2:$E$997,"Pflegeurlaub",Abwesenheit!$D$2:$D$997,"&gt;="&amp;TEXT(AG$4,"TT.MM.JJJJ"),Abwesenheit!$D$2:$D$997,"&lt;="&amp;TEXT(EOMONTH(AG$4,0),"TT.MM.JJJJ"))*24</f>
        <v>0</v>
      </c>
      <c r="AH47" s="112"/>
      <c r="AI47" s="112"/>
      <c r="AJ47" s="112">
        <f>SUMIFS(Abwesenheit!$J$2:$J$997,Abwesenheit!$E$2:$E$997,"Pflegeurlaub",Abwesenheit!$D$2:$D$997,"&gt;="&amp;TEXT(AJ$4,"TT.MM.JJJJ"),Abwesenheit!$D$2:$D$997,"&lt;="&amp;TEXT(EOMONTH(AJ$4,0),"TT.MM.JJJJ"))*24</f>
        <v>0</v>
      </c>
      <c r="AK47" s="112"/>
      <c r="AL47" s="112"/>
      <c r="AM47" s="73">
        <f t="shared" si="12"/>
        <v>0</v>
      </c>
    </row>
    <row r="48" spans="1:45" x14ac:dyDescent="0.3">
      <c r="A48" s="33"/>
      <c r="B48" s="75" t="s">
        <v>79</v>
      </c>
      <c r="C48" s="112">
        <f>SUMIFS(Abwesenheit!$J$2:$J$997,Abwesenheit!$E$2:$E$997,"Krankenstand",Abwesenheit!$D$2:$D$997,"&gt;="&amp;TEXT(C$4,"TT.MM.JJJJ"),Abwesenheit!$D$2:$D$997,"&lt;="&amp;TEXT(EOMONTH(C$4,0),"TT.MM.JJJJ"))*24</f>
        <v>0</v>
      </c>
      <c r="D48" s="112"/>
      <c r="E48" s="112"/>
      <c r="F48" s="112">
        <f>SUMIFS(Abwesenheit!$J$2:$J$997,Abwesenheit!$E$2:$E$997,"Krankenstand",Abwesenheit!$D$2:$D$997,"&gt;="&amp;TEXT(F$4,"TT.MM.JJJJ"),Abwesenheit!$D$2:$D$997,"&lt;="&amp;TEXT(EOMONTH(F$4,0),"TT.MM.JJJJ"))*24</f>
        <v>0</v>
      </c>
      <c r="G48" s="112"/>
      <c r="H48" s="112"/>
      <c r="I48" s="112">
        <f>SUMIFS(Abwesenheit!$J$2:$J$997,Abwesenheit!$E$2:$E$997,"Krankenstand",Abwesenheit!$D$2:$D$997,"&gt;="&amp;TEXT(I$4,"TT.MM.JJJJ"),Abwesenheit!$D$2:$D$997,"&lt;="&amp;TEXT(EOMONTH(I$4,0),"TT.MM.JJJJ"))*24</f>
        <v>0</v>
      </c>
      <c r="J48" s="112"/>
      <c r="K48" s="112"/>
      <c r="L48" s="112">
        <f>SUMIFS(Abwesenheit!$J$2:$J$997,Abwesenheit!$E$2:$E$997,"Krankenstand",Abwesenheit!$D$2:$D$997,"&gt;="&amp;TEXT(L$4,"TT.MM.JJJJ"),Abwesenheit!$D$2:$D$997,"&lt;="&amp;TEXT(EOMONTH(L$4,0),"TT.MM.JJJJ"))*24</f>
        <v>0</v>
      </c>
      <c r="M48" s="112"/>
      <c r="N48" s="112"/>
      <c r="O48" s="112">
        <f>SUMIFS(Abwesenheit!$J$2:$J$997,Abwesenheit!$E$2:$E$997,"Krankenstand",Abwesenheit!$D$2:$D$997,"&gt;="&amp;TEXT(O$4,"TT.MM.JJJJ"),Abwesenheit!$D$2:$D$997,"&lt;="&amp;TEXT(EOMONTH(O$4,0),"TT.MM.JJJJ"))*24</f>
        <v>0</v>
      </c>
      <c r="P48" s="112"/>
      <c r="Q48" s="112"/>
      <c r="R48" s="112">
        <f>SUMIFS(Abwesenheit!$J$2:$J$997,Abwesenheit!$E$2:$E$997,"Krankenstand",Abwesenheit!$D$2:$D$997,"&gt;="&amp;TEXT(R$4,"TT.MM.JJJJ"),Abwesenheit!$D$2:$D$997,"&lt;="&amp;TEXT(EOMONTH(R$4,0),"TT.MM.JJJJ"))*24</f>
        <v>0</v>
      </c>
      <c r="S48" s="112"/>
      <c r="T48" s="112"/>
      <c r="U48" s="112">
        <f>SUMIFS(Abwesenheit!$J$2:$J$997,Abwesenheit!$E$2:$E$997,"Krankenstand",Abwesenheit!$D$2:$D$997,"&gt;="&amp;TEXT(U$4,"TT.MM.JJJJ"),Abwesenheit!$D$2:$D$997,"&lt;="&amp;TEXT(EOMONTH(U$4,0),"TT.MM.JJJJ"))*24</f>
        <v>0</v>
      </c>
      <c r="V48" s="112"/>
      <c r="W48" s="112"/>
      <c r="X48" s="112">
        <f>SUMIFS(Abwesenheit!$J$2:$J$997,Abwesenheit!$E$2:$E$997,"Krankenstand",Abwesenheit!$D$2:$D$997,"&gt;="&amp;TEXT(X$4,"TT.MM.JJJJ"),Abwesenheit!$D$2:$D$997,"&lt;="&amp;TEXT(EOMONTH(X$4,0),"TT.MM.JJJJ"))*24</f>
        <v>0</v>
      </c>
      <c r="Y48" s="112"/>
      <c r="Z48" s="112"/>
      <c r="AA48" s="112">
        <f>SUMIFS(Abwesenheit!$J$2:$J$997,Abwesenheit!$E$2:$E$997,"Krankenstand",Abwesenheit!$D$2:$D$997,"&gt;="&amp;TEXT(AA$4,"TT.MM.JJJJ"),Abwesenheit!$D$2:$D$997,"&lt;="&amp;TEXT(EOMONTH(AA$4,0),"TT.MM.JJJJ"))*24</f>
        <v>0</v>
      </c>
      <c r="AB48" s="112"/>
      <c r="AC48" s="112"/>
      <c r="AD48" s="112">
        <f>SUMIFS(Abwesenheit!$J$2:$J$997,Abwesenheit!$E$2:$E$997,"Krankenstand",Abwesenheit!$D$2:$D$997,"&gt;="&amp;TEXT(AD$4,"TT.MM.JJJJ"),Abwesenheit!$D$2:$D$997,"&lt;="&amp;TEXT(EOMONTH(AD$4,0),"TT.MM.JJJJ"))*24</f>
        <v>0</v>
      </c>
      <c r="AE48" s="112"/>
      <c r="AF48" s="112"/>
      <c r="AG48" s="112">
        <f>SUMIFS(Abwesenheit!$J$2:$J$997,Abwesenheit!$E$2:$E$997,"Krankenstand",Abwesenheit!$D$2:$D$997,"&gt;="&amp;TEXT(AG$4,"TT.MM.JJJJ"),Abwesenheit!$D$2:$D$997,"&lt;="&amp;TEXT(EOMONTH(AG$4,0),"TT.MM.JJJJ"))*24</f>
        <v>0</v>
      </c>
      <c r="AH48" s="112"/>
      <c r="AI48" s="112"/>
      <c r="AJ48" s="112">
        <f>SUMIFS(Abwesenheit!$J$2:$J$997,Abwesenheit!$E$2:$E$997,"Krankenstand",Abwesenheit!$D$2:$D$997,"&gt;="&amp;TEXT(AJ$4,"TT.MM.JJJJ"),Abwesenheit!$D$2:$D$997,"&lt;="&amp;TEXT(EOMONTH(AJ$4,0),"TT.MM.JJJJ"))*24</f>
        <v>0</v>
      </c>
      <c r="AK48" s="112"/>
      <c r="AL48" s="112"/>
      <c r="AM48" s="73">
        <f t="shared" si="12"/>
        <v>0</v>
      </c>
    </row>
    <row r="49" spans="1:41" x14ac:dyDescent="0.3">
      <c r="A49" s="33"/>
      <c r="B49" s="75" t="s">
        <v>84</v>
      </c>
      <c r="C49" s="112">
        <f>SUMIFS(Abwesenheit!$J$2:$J$997,Abwesenheit!$E$2:$E$997,"Arztbesuch",Abwesenheit!$D$2:$D$997,"&gt;="&amp;TEXT(C$4,"TT.MM.JJJJ"),Abwesenheit!$D$2:$D$997,"&lt;="&amp;TEXT(EOMONTH(C$4,0),"TT.MM.JJJJ"))*24</f>
        <v>0</v>
      </c>
      <c r="D49" s="112"/>
      <c r="E49" s="112"/>
      <c r="F49" s="112">
        <f>SUMIFS(Abwesenheit!$J$2:$J$997,Abwesenheit!$E$2:$E$997,"Arztbesuch",Abwesenheit!$D$2:$D$997,"&gt;="&amp;TEXT(F$4,"TT.MM.JJJJ"),Abwesenheit!$D$2:$D$997,"&lt;="&amp;TEXT(EOMONTH(F$4,0),"TT.MM.JJJJ"))*24</f>
        <v>0</v>
      </c>
      <c r="G49" s="112"/>
      <c r="H49" s="112"/>
      <c r="I49" s="112">
        <f>SUMIFS(Abwesenheit!$J$2:$J$997,Abwesenheit!$E$2:$E$997,"Arztbesuch",Abwesenheit!$D$2:$D$997,"&gt;="&amp;TEXT(I$4,"TT.MM.JJJJ"),Abwesenheit!$D$2:$D$997,"&lt;="&amp;TEXT(EOMONTH(I$4,0),"TT.MM.JJJJ"))*24</f>
        <v>0</v>
      </c>
      <c r="J49" s="112"/>
      <c r="K49" s="112"/>
      <c r="L49" s="112">
        <f>SUMIFS(Abwesenheit!$J$2:$J$997,Abwesenheit!$E$2:$E$997,"Arztbesuch",Abwesenheit!$D$2:$D$997,"&gt;="&amp;TEXT(L$4,"TT.MM.JJJJ"),Abwesenheit!$D$2:$D$997,"&lt;="&amp;TEXT(EOMONTH(L$4,0),"TT.MM.JJJJ"))*24</f>
        <v>0</v>
      </c>
      <c r="M49" s="112"/>
      <c r="N49" s="112"/>
      <c r="O49" s="112">
        <f>SUMIFS(Abwesenheit!$J$2:$J$997,Abwesenheit!$E$2:$E$997,"Arztbesuch",Abwesenheit!$D$2:$D$997,"&gt;="&amp;TEXT(O$4,"TT.MM.JJJJ"),Abwesenheit!$D$2:$D$997,"&lt;="&amp;TEXT(EOMONTH(O$4,0),"TT.MM.JJJJ"))*24</f>
        <v>0</v>
      </c>
      <c r="P49" s="112"/>
      <c r="Q49" s="112"/>
      <c r="R49" s="112">
        <f>SUMIFS(Abwesenheit!$J$2:$J$997,Abwesenheit!$E$2:$E$997,"Arztbesuch",Abwesenheit!$D$2:$D$997,"&gt;="&amp;TEXT(R$4,"TT.MM.JJJJ"),Abwesenheit!$D$2:$D$997,"&lt;="&amp;TEXT(EOMONTH(R$4,0),"TT.MM.JJJJ"))*24</f>
        <v>0</v>
      </c>
      <c r="S49" s="112"/>
      <c r="T49" s="112"/>
      <c r="U49" s="112">
        <f>SUMIFS(Abwesenheit!$J$2:$J$997,Abwesenheit!$E$2:$E$997,"Arztbesuch",Abwesenheit!$D$2:$D$997,"&gt;="&amp;TEXT(U$4,"TT.MM.JJJJ"),Abwesenheit!$D$2:$D$997,"&lt;="&amp;TEXT(EOMONTH(U$4,0),"TT.MM.JJJJ"))*24</f>
        <v>0</v>
      </c>
      <c r="V49" s="112"/>
      <c r="W49" s="112"/>
      <c r="X49" s="112">
        <f>SUMIFS(Abwesenheit!$J$2:$J$997,Abwesenheit!$E$2:$E$997,"Arztbesuch",Abwesenheit!$D$2:$D$997,"&gt;="&amp;TEXT(X$4,"TT.MM.JJJJ"),Abwesenheit!$D$2:$D$997,"&lt;="&amp;TEXT(EOMONTH(X$4,0),"TT.MM.JJJJ"))*24</f>
        <v>0</v>
      </c>
      <c r="Y49" s="112"/>
      <c r="Z49" s="112"/>
      <c r="AA49" s="112">
        <f>SUMIFS(Abwesenheit!$J$2:$J$997,Abwesenheit!$E$2:$E$997,"Arztbesuch",Abwesenheit!$D$2:$D$997,"&gt;="&amp;TEXT(AA$4,"TT.MM.JJJJ"),Abwesenheit!$D$2:$D$997,"&lt;="&amp;TEXT(EOMONTH(AA$4,0),"TT.MM.JJJJ"))*24</f>
        <v>0</v>
      </c>
      <c r="AB49" s="112"/>
      <c r="AC49" s="112"/>
      <c r="AD49" s="112">
        <f>SUMIFS(Abwesenheit!$J$2:$J$997,Abwesenheit!$E$2:$E$997,"Arztbesuch",Abwesenheit!$D$2:$D$997,"&gt;="&amp;TEXT(AD$4,"TT.MM.JJJJ"),Abwesenheit!$D$2:$D$997,"&lt;="&amp;TEXT(EOMONTH(AD$4,0),"TT.MM.JJJJ"))*24</f>
        <v>0</v>
      </c>
      <c r="AE49" s="112"/>
      <c r="AF49" s="112"/>
      <c r="AG49" s="112">
        <f>SUMIFS(Abwesenheit!$J$2:$J$997,Abwesenheit!$E$2:$E$997,"Arztbesuch",Abwesenheit!$D$2:$D$997,"&gt;="&amp;TEXT(AG$4,"TT.MM.JJJJ"),Abwesenheit!$D$2:$D$997,"&lt;="&amp;TEXT(EOMONTH(AG$4,0),"TT.MM.JJJJ"))*24</f>
        <v>0</v>
      </c>
      <c r="AH49" s="112"/>
      <c r="AI49" s="112"/>
      <c r="AJ49" s="112">
        <f>SUMIFS(Abwesenheit!$J$2:$J$997,Abwesenheit!$E$2:$E$997,"Arztbesuch",Abwesenheit!$D$2:$D$997,"&gt;="&amp;TEXT(AJ$4,"TT.MM.JJJJ"),Abwesenheit!$D$2:$D$997,"&lt;="&amp;TEXT(EOMONTH(AJ$4,0),"TT.MM.JJJJ"))*24</f>
        <v>0</v>
      </c>
      <c r="AK49" s="112"/>
      <c r="AL49" s="112"/>
      <c r="AM49" s="73">
        <f t="shared" si="12"/>
        <v>0</v>
      </c>
    </row>
    <row r="50" spans="1:41" x14ac:dyDescent="0.3">
      <c r="A50" s="33"/>
      <c r="B50" s="75" t="s">
        <v>85</v>
      </c>
      <c r="C50" s="112">
        <f>SUMIFS(Abwesenheit!$J$2:$J$997,Abwesenheit!$E$2:$E$997,"Zahnarzt",Abwesenheit!$D$2:$D$997,"&gt;="&amp;TEXT(C$4,"TT.MM.JJJJ"),Abwesenheit!$D$2:$D$997,"&lt;="&amp;TEXT(EOMONTH(C$4,0),"TT.MM.JJJJ"))*24</f>
        <v>0</v>
      </c>
      <c r="D50" s="112"/>
      <c r="E50" s="112"/>
      <c r="F50" s="112">
        <f>SUMIFS(Abwesenheit!$J$2:$J$997,Abwesenheit!$E$2:$E$997,"Zahnarzt",Abwesenheit!$D$2:$D$997,"&gt;="&amp;TEXT(F$4,"TT.MM.JJJJ"),Abwesenheit!$D$2:$D$997,"&lt;="&amp;TEXT(EOMONTH(F$4,0),"TT.MM.JJJJ"))*24</f>
        <v>0</v>
      </c>
      <c r="G50" s="112"/>
      <c r="H50" s="112"/>
      <c r="I50" s="112">
        <f>SUMIFS(Abwesenheit!$J$2:$J$997,Abwesenheit!$E$2:$E$997,"Zahnarzt",Abwesenheit!$D$2:$D$997,"&gt;="&amp;TEXT(I$4,"TT.MM.JJJJ"),Abwesenheit!$D$2:$D$997,"&lt;="&amp;TEXT(EOMONTH(I$4,0),"TT.MM.JJJJ"))*24</f>
        <v>0</v>
      </c>
      <c r="J50" s="112"/>
      <c r="K50" s="112"/>
      <c r="L50" s="112">
        <f>SUMIFS(Abwesenheit!$J$2:$J$997,Abwesenheit!$E$2:$E$997,"Zahnarzt",Abwesenheit!$D$2:$D$997,"&gt;="&amp;TEXT(L$4,"TT.MM.JJJJ"),Abwesenheit!$D$2:$D$997,"&lt;="&amp;TEXT(EOMONTH(L$4,0),"TT.MM.JJJJ"))*24</f>
        <v>0</v>
      </c>
      <c r="M50" s="112"/>
      <c r="N50" s="112"/>
      <c r="O50" s="112">
        <f>SUMIFS(Abwesenheit!$J$2:$J$997,Abwesenheit!$E$2:$E$997,"Zahnarzt",Abwesenheit!$D$2:$D$997,"&gt;="&amp;TEXT(O$4,"TT.MM.JJJJ"),Abwesenheit!$D$2:$D$997,"&lt;="&amp;TEXT(EOMONTH(O$4,0),"TT.MM.JJJJ"))*24</f>
        <v>0</v>
      </c>
      <c r="P50" s="112"/>
      <c r="Q50" s="112"/>
      <c r="R50" s="112">
        <f>SUMIFS(Abwesenheit!$J$2:$J$997,Abwesenheit!$E$2:$E$997,"Zahnarzt",Abwesenheit!$D$2:$D$997,"&gt;="&amp;TEXT(R$4,"TT.MM.JJJJ"),Abwesenheit!$D$2:$D$997,"&lt;="&amp;TEXT(EOMONTH(R$4,0),"TT.MM.JJJJ"))*24</f>
        <v>0</v>
      </c>
      <c r="S50" s="112"/>
      <c r="T50" s="112"/>
      <c r="U50" s="112">
        <f>SUMIFS(Abwesenheit!$J$2:$J$997,Abwesenheit!$E$2:$E$997,"Zahnarzt",Abwesenheit!$D$2:$D$997,"&gt;="&amp;TEXT(U$4,"TT.MM.JJJJ"),Abwesenheit!$D$2:$D$997,"&lt;="&amp;TEXT(EOMONTH(U$4,0),"TT.MM.JJJJ"))*24</f>
        <v>0</v>
      </c>
      <c r="V50" s="112"/>
      <c r="W50" s="112"/>
      <c r="X50" s="112">
        <f>SUMIFS(Abwesenheit!$J$2:$J$997,Abwesenheit!$E$2:$E$997,"Zahnarzt",Abwesenheit!$D$2:$D$997,"&gt;="&amp;TEXT(X$4,"TT.MM.JJJJ"),Abwesenheit!$D$2:$D$997,"&lt;="&amp;TEXT(EOMONTH(X$4,0),"TT.MM.JJJJ"))*24</f>
        <v>0</v>
      </c>
      <c r="Y50" s="112"/>
      <c r="Z50" s="112"/>
      <c r="AA50" s="112">
        <f>SUMIFS(Abwesenheit!$J$2:$J$997,Abwesenheit!$E$2:$E$997,"Zahnarzt",Abwesenheit!$D$2:$D$997,"&gt;="&amp;TEXT(AA$4,"TT.MM.JJJJ"),Abwesenheit!$D$2:$D$997,"&lt;="&amp;TEXT(EOMONTH(AA$4,0),"TT.MM.JJJJ"))*24</f>
        <v>0</v>
      </c>
      <c r="AB50" s="112"/>
      <c r="AC50" s="112"/>
      <c r="AD50" s="112">
        <f>SUMIFS(Abwesenheit!$J$2:$J$997,Abwesenheit!$E$2:$E$997,"Zahnarzt",Abwesenheit!$D$2:$D$997,"&gt;="&amp;TEXT(AD$4,"TT.MM.JJJJ"),Abwesenheit!$D$2:$D$997,"&lt;="&amp;TEXT(EOMONTH(AD$4,0),"TT.MM.JJJJ"))*24</f>
        <v>0</v>
      </c>
      <c r="AE50" s="112"/>
      <c r="AF50" s="112"/>
      <c r="AG50" s="112">
        <f>SUMIFS(Abwesenheit!$J$2:$J$997,Abwesenheit!$E$2:$E$997,"Zahnarzt",Abwesenheit!$D$2:$D$997,"&gt;="&amp;TEXT(AG$4,"TT.MM.JJJJ"),Abwesenheit!$D$2:$D$997,"&lt;="&amp;TEXT(EOMONTH(AG$4,0),"TT.MM.JJJJ"))*24</f>
        <v>0</v>
      </c>
      <c r="AH50" s="112"/>
      <c r="AI50" s="112"/>
      <c r="AJ50" s="112">
        <f>SUMIFS(Abwesenheit!$J$2:$J$997,Abwesenheit!$E$2:$E$997,"Zahnarzt",Abwesenheit!$D$2:$D$997,"&gt;="&amp;TEXT(AJ$4,"TT.MM.JJJJ"),Abwesenheit!$D$2:$D$997,"&lt;="&amp;TEXT(EOMONTH(AJ$4,0),"TT.MM.JJJJ"))*24</f>
        <v>0</v>
      </c>
      <c r="AK50" s="112"/>
      <c r="AL50" s="112"/>
      <c r="AM50" s="73">
        <f t="shared" si="12"/>
        <v>0</v>
      </c>
    </row>
    <row r="51" spans="1:41" x14ac:dyDescent="0.3">
      <c r="A51" s="33"/>
      <c r="B51" s="75" t="s">
        <v>86</v>
      </c>
      <c r="C51" s="112">
        <f>SUMIFS(Abwesenheit!$J$2:$J$997,Abwesenheit!$E$2:$E$997,"Umzug",Abwesenheit!$D$2:$D$997,"&gt;="&amp;TEXT(C$4,"TT.MM.JJJJ"),Abwesenheit!$D$2:$D$997,"&lt;="&amp;TEXT(EOMONTH(C$4,0),"TT.MM.JJJJ"))*24</f>
        <v>0</v>
      </c>
      <c r="D51" s="112"/>
      <c r="E51" s="112"/>
      <c r="F51" s="112">
        <f>SUMIFS(Abwesenheit!$J$2:$J$997,Abwesenheit!$E$2:$E$997,"Umzug",Abwesenheit!$D$2:$D$997,"&gt;="&amp;TEXT(F$4,"TT.MM.JJJJ"),Abwesenheit!$D$2:$D$997,"&lt;="&amp;TEXT(EOMONTH(F$4,0),"TT.MM.JJJJ"))*24</f>
        <v>0</v>
      </c>
      <c r="G51" s="112"/>
      <c r="H51" s="112"/>
      <c r="I51" s="112">
        <f>SUMIFS(Abwesenheit!$J$2:$J$997,Abwesenheit!$E$2:$E$997,"Umzug",Abwesenheit!$D$2:$D$997,"&gt;="&amp;TEXT(I$4,"TT.MM.JJJJ"),Abwesenheit!$D$2:$D$997,"&lt;="&amp;TEXT(EOMONTH(I$4,0),"TT.MM.JJJJ"))*24</f>
        <v>0</v>
      </c>
      <c r="J51" s="112"/>
      <c r="K51" s="112"/>
      <c r="L51" s="112">
        <f>SUMIFS(Abwesenheit!$J$2:$J$997,Abwesenheit!$E$2:$E$997,"Umzug",Abwesenheit!$D$2:$D$997,"&gt;="&amp;TEXT(L$4,"TT.MM.JJJJ"),Abwesenheit!$D$2:$D$997,"&lt;="&amp;TEXT(EOMONTH(L$4,0),"TT.MM.JJJJ"))*24</f>
        <v>0</v>
      </c>
      <c r="M51" s="112"/>
      <c r="N51" s="112"/>
      <c r="O51" s="112">
        <f>SUMIFS(Abwesenheit!$J$2:$J$997,Abwesenheit!$E$2:$E$997,"Umzug",Abwesenheit!$D$2:$D$997,"&gt;="&amp;TEXT(O$4,"TT.MM.JJJJ"),Abwesenheit!$D$2:$D$997,"&lt;="&amp;TEXT(EOMONTH(O$4,0),"TT.MM.JJJJ"))*24</f>
        <v>0</v>
      </c>
      <c r="P51" s="112"/>
      <c r="Q51" s="112"/>
      <c r="R51" s="112">
        <f>SUMIFS(Abwesenheit!$J$2:$J$997,Abwesenheit!$E$2:$E$997,"Umzug",Abwesenheit!$D$2:$D$997,"&gt;="&amp;TEXT(R$4,"TT.MM.JJJJ"),Abwesenheit!$D$2:$D$997,"&lt;="&amp;TEXT(EOMONTH(R$4,0),"TT.MM.JJJJ"))*24</f>
        <v>0</v>
      </c>
      <c r="S51" s="112"/>
      <c r="T51" s="112"/>
      <c r="U51" s="112">
        <f>SUMIFS(Abwesenheit!$J$2:$J$997,Abwesenheit!$E$2:$E$997,"Umzug",Abwesenheit!$D$2:$D$997,"&gt;="&amp;TEXT(U$4,"TT.MM.JJJJ"),Abwesenheit!$D$2:$D$997,"&lt;="&amp;TEXT(EOMONTH(U$4,0),"TT.MM.JJJJ"))*24</f>
        <v>0</v>
      </c>
      <c r="V51" s="112"/>
      <c r="W51" s="112"/>
      <c r="X51" s="112">
        <f>SUMIFS(Abwesenheit!$J$2:$J$997,Abwesenheit!$E$2:$E$997,"Umzug",Abwesenheit!$D$2:$D$997,"&gt;="&amp;TEXT(X$4,"TT.MM.JJJJ"),Abwesenheit!$D$2:$D$997,"&lt;="&amp;TEXT(EOMONTH(X$4,0),"TT.MM.JJJJ"))*24</f>
        <v>0</v>
      </c>
      <c r="Y51" s="112"/>
      <c r="Z51" s="112"/>
      <c r="AA51" s="112">
        <f>SUMIFS(Abwesenheit!$J$2:$J$997,Abwesenheit!$E$2:$E$997,"Umzug",Abwesenheit!$D$2:$D$997,"&gt;="&amp;TEXT(AA$4,"TT.MM.JJJJ"),Abwesenheit!$D$2:$D$997,"&lt;="&amp;TEXT(EOMONTH(AA$4,0),"TT.MM.JJJJ"))*24</f>
        <v>0</v>
      </c>
      <c r="AB51" s="112"/>
      <c r="AC51" s="112"/>
      <c r="AD51" s="112">
        <f>SUMIFS(Abwesenheit!$J$2:$J$997,Abwesenheit!$E$2:$E$997,"Umzug",Abwesenheit!$D$2:$D$997,"&gt;="&amp;TEXT(AD$4,"TT.MM.JJJJ"),Abwesenheit!$D$2:$D$997,"&lt;="&amp;TEXT(EOMONTH(AD$4,0),"TT.MM.JJJJ"))*24</f>
        <v>0</v>
      </c>
      <c r="AE51" s="112"/>
      <c r="AF51" s="112"/>
      <c r="AG51" s="112">
        <f>SUMIFS(Abwesenheit!$J$2:$J$997,Abwesenheit!$E$2:$E$997,"Umzug",Abwesenheit!$D$2:$D$997,"&gt;="&amp;TEXT(AG$4,"TT.MM.JJJJ"),Abwesenheit!$D$2:$D$997,"&lt;="&amp;TEXT(EOMONTH(AG$4,0),"TT.MM.JJJJ"))*24</f>
        <v>0</v>
      </c>
      <c r="AH51" s="112"/>
      <c r="AI51" s="112"/>
      <c r="AJ51" s="112">
        <f>SUMIFS(Abwesenheit!$J$2:$J$997,Abwesenheit!$E$2:$E$997,"Umzug",Abwesenheit!$D$2:$D$997,"&gt;="&amp;TEXT(AJ$4,"TT.MM.JJJJ"),Abwesenheit!$D$2:$D$997,"&lt;="&amp;TEXT(EOMONTH(AJ$4,0),"TT.MM.JJJJ"))*24</f>
        <v>0</v>
      </c>
      <c r="AK51" s="112"/>
      <c r="AL51" s="112"/>
      <c r="AM51" s="73">
        <f t="shared" si="12"/>
        <v>0</v>
      </c>
    </row>
    <row r="52" spans="1:41" x14ac:dyDescent="0.3">
      <c r="A52" s="33"/>
      <c r="B52" s="75" t="s">
        <v>87</v>
      </c>
      <c r="C52" s="112">
        <f>SUMIFS(Abwesenheit!$J$2:$J$997,Abwesenheit!$E$2:$E$997,"Hochzeit",Abwesenheit!$D$2:$D$997,"&gt;="&amp;TEXT(C$4,"TT.MM.JJJJ"),Abwesenheit!$D$2:$D$997,"&lt;="&amp;TEXT(EOMONTH(C$4,0),"TT.MM.JJJJ"))*24</f>
        <v>0</v>
      </c>
      <c r="D52" s="112"/>
      <c r="E52" s="112"/>
      <c r="F52" s="112">
        <f>SUMIFS(Abwesenheit!$J$2:$J$997,Abwesenheit!$E$2:$E$997,"Hochzeit",Abwesenheit!$D$2:$D$997,"&gt;="&amp;TEXT(F$4,"TT.MM.JJJJ"),Abwesenheit!$D$2:$D$997,"&lt;="&amp;TEXT(EOMONTH(F$4,0),"TT.MM.JJJJ"))*24</f>
        <v>0</v>
      </c>
      <c r="G52" s="112"/>
      <c r="H52" s="112"/>
      <c r="I52" s="112">
        <f>SUMIFS(Abwesenheit!$J$2:$J$997,Abwesenheit!$E$2:$E$997,"Hochzeit",Abwesenheit!$D$2:$D$997,"&gt;="&amp;TEXT(I$4,"TT.MM.JJJJ"),Abwesenheit!$D$2:$D$997,"&lt;="&amp;TEXT(EOMONTH(I$4,0),"TT.MM.JJJJ"))*24</f>
        <v>0</v>
      </c>
      <c r="J52" s="112"/>
      <c r="K52" s="112"/>
      <c r="L52" s="112">
        <f>SUMIFS(Abwesenheit!$J$2:$J$997,Abwesenheit!$E$2:$E$997,"Hochzeit",Abwesenheit!$D$2:$D$997,"&gt;="&amp;TEXT(L$4,"TT.MM.JJJJ"),Abwesenheit!$D$2:$D$997,"&lt;="&amp;TEXT(EOMONTH(L$4,0),"TT.MM.JJJJ"))*24</f>
        <v>0</v>
      </c>
      <c r="M52" s="112"/>
      <c r="N52" s="112"/>
      <c r="O52" s="112">
        <f>SUMIFS(Abwesenheit!$J$2:$J$997,Abwesenheit!$E$2:$E$997,"Hochzeit",Abwesenheit!$D$2:$D$997,"&gt;="&amp;TEXT(O$4,"TT.MM.JJJJ"),Abwesenheit!$D$2:$D$997,"&lt;="&amp;TEXT(EOMONTH(O$4,0),"TT.MM.JJJJ"))*24</f>
        <v>0</v>
      </c>
      <c r="P52" s="112"/>
      <c r="Q52" s="112"/>
      <c r="R52" s="112">
        <f>SUMIFS(Abwesenheit!$J$2:$J$997,Abwesenheit!$E$2:$E$997,"Hochzeit",Abwesenheit!$D$2:$D$997,"&gt;="&amp;TEXT(R$4,"TT.MM.JJJJ"),Abwesenheit!$D$2:$D$997,"&lt;="&amp;TEXT(EOMONTH(R$4,0),"TT.MM.JJJJ"))*24</f>
        <v>0</v>
      </c>
      <c r="S52" s="112"/>
      <c r="T52" s="112"/>
      <c r="U52" s="112">
        <f>SUMIFS(Abwesenheit!$J$2:$J$997,Abwesenheit!$E$2:$E$997,"Hochzeit",Abwesenheit!$D$2:$D$997,"&gt;="&amp;TEXT(U$4,"TT.MM.JJJJ"),Abwesenheit!$D$2:$D$997,"&lt;="&amp;TEXT(EOMONTH(U$4,0),"TT.MM.JJJJ"))*24</f>
        <v>0</v>
      </c>
      <c r="V52" s="112"/>
      <c r="W52" s="112"/>
      <c r="X52" s="112">
        <f>SUMIFS(Abwesenheit!$J$2:$J$997,Abwesenheit!$E$2:$E$997,"Hochzeit",Abwesenheit!$D$2:$D$997,"&gt;="&amp;TEXT(X$4,"TT.MM.JJJJ"),Abwesenheit!$D$2:$D$997,"&lt;="&amp;TEXT(EOMONTH(X$4,0),"TT.MM.JJJJ"))*24</f>
        <v>0</v>
      </c>
      <c r="Y52" s="112"/>
      <c r="Z52" s="112"/>
      <c r="AA52" s="112">
        <f>SUMIFS(Abwesenheit!$J$2:$J$997,Abwesenheit!$E$2:$E$997,"Hochzeit",Abwesenheit!$D$2:$D$997,"&gt;="&amp;TEXT(AA$4,"TT.MM.JJJJ"),Abwesenheit!$D$2:$D$997,"&lt;="&amp;TEXT(EOMONTH(AA$4,0),"TT.MM.JJJJ"))*24</f>
        <v>0</v>
      </c>
      <c r="AB52" s="112"/>
      <c r="AC52" s="112"/>
      <c r="AD52" s="112">
        <f>SUMIFS(Abwesenheit!$J$2:$J$997,Abwesenheit!$E$2:$E$997,"Hochzeit",Abwesenheit!$D$2:$D$997,"&gt;="&amp;TEXT(AD$4,"TT.MM.JJJJ"),Abwesenheit!$D$2:$D$997,"&lt;="&amp;TEXT(EOMONTH(AD$4,0),"TT.MM.JJJJ"))*24</f>
        <v>0</v>
      </c>
      <c r="AE52" s="112"/>
      <c r="AF52" s="112"/>
      <c r="AG52" s="112">
        <f>SUMIFS(Abwesenheit!$J$2:$J$997,Abwesenheit!$E$2:$E$997,"Hochzeit",Abwesenheit!$D$2:$D$997,"&gt;="&amp;TEXT(AG$4,"TT.MM.JJJJ"),Abwesenheit!$D$2:$D$997,"&lt;="&amp;TEXT(EOMONTH(AG$4,0),"TT.MM.JJJJ"))*24</f>
        <v>0</v>
      </c>
      <c r="AH52" s="112"/>
      <c r="AI52" s="112"/>
      <c r="AJ52" s="112">
        <f>SUMIFS(Abwesenheit!$J$2:$J$997,Abwesenheit!$E$2:$E$997,"Hochzeit",Abwesenheit!$D$2:$D$997,"&gt;="&amp;TEXT(AJ$4,"TT.MM.JJJJ"),Abwesenheit!$D$2:$D$997,"&lt;="&amp;TEXT(EOMONTH(AJ$4,0),"TT.MM.JJJJ"))*24</f>
        <v>0</v>
      </c>
      <c r="AK52" s="112"/>
      <c r="AL52" s="112"/>
      <c r="AM52" s="73">
        <f t="shared" si="12"/>
        <v>0</v>
      </c>
    </row>
    <row r="53" spans="1:41" x14ac:dyDescent="0.3">
      <c r="A53" s="33"/>
      <c r="B53" s="75" t="s">
        <v>88</v>
      </c>
      <c r="C53" s="112">
        <f>SUMIFS(Abwesenheit!$J$2:$J$997,Abwesenheit!$E$2:$E$997,"Sterbefall",Abwesenheit!$D$2:$D$997,"&gt;="&amp;TEXT(C$4,"TT.MM.JJJJ"),Abwesenheit!$D$2:$D$997,"&lt;="&amp;TEXT(EOMONTH(C$4,0),"TT.MM.JJJJ"))*24</f>
        <v>0</v>
      </c>
      <c r="D53" s="112"/>
      <c r="E53" s="112"/>
      <c r="F53" s="112">
        <f>SUMIFS(Abwesenheit!$J$2:$J$997,Abwesenheit!$E$2:$E$997,"Sterbefall",Abwesenheit!$D$2:$D$997,"&gt;="&amp;TEXT(F$4,"TT.MM.JJJJ"),Abwesenheit!$D$2:$D$997,"&lt;="&amp;TEXT(EOMONTH(F$4,0),"TT.MM.JJJJ"))*24</f>
        <v>0</v>
      </c>
      <c r="G53" s="112"/>
      <c r="H53" s="112"/>
      <c r="I53" s="112">
        <f>SUMIFS(Abwesenheit!$J$2:$J$997,Abwesenheit!$E$2:$E$997,"Sterbefall",Abwesenheit!$D$2:$D$997,"&gt;="&amp;TEXT(I$4,"TT.MM.JJJJ"),Abwesenheit!$D$2:$D$997,"&lt;="&amp;TEXT(EOMONTH(I$4,0),"TT.MM.JJJJ"))*24</f>
        <v>0</v>
      </c>
      <c r="J53" s="112"/>
      <c r="K53" s="112"/>
      <c r="L53" s="112">
        <f>SUMIFS(Abwesenheit!$J$2:$J$997,Abwesenheit!$E$2:$E$997,"Sterbefall",Abwesenheit!$D$2:$D$997,"&gt;="&amp;TEXT(L$4,"TT.MM.JJJJ"),Abwesenheit!$D$2:$D$997,"&lt;="&amp;TEXT(EOMONTH(L$4,0),"TT.MM.JJJJ"))*24</f>
        <v>0</v>
      </c>
      <c r="M53" s="112"/>
      <c r="N53" s="112"/>
      <c r="O53" s="112">
        <f>SUMIFS(Abwesenheit!$J$2:$J$997,Abwesenheit!$E$2:$E$997,"Sterbefall",Abwesenheit!$D$2:$D$997,"&gt;="&amp;TEXT(O$4,"TT.MM.JJJJ"),Abwesenheit!$D$2:$D$997,"&lt;="&amp;TEXT(EOMONTH(O$4,0),"TT.MM.JJJJ"))*24</f>
        <v>0</v>
      </c>
      <c r="P53" s="112"/>
      <c r="Q53" s="112"/>
      <c r="R53" s="112">
        <f>SUMIFS(Abwesenheit!$J$2:$J$997,Abwesenheit!$E$2:$E$997,"Sterbefall",Abwesenheit!$D$2:$D$997,"&gt;="&amp;TEXT(R$4,"TT.MM.JJJJ"),Abwesenheit!$D$2:$D$997,"&lt;="&amp;TEXT(EOMONTH(R$4,0),"TT.MM.JJJJ"))*24</f>
        <v>0</v>
      </c>
      <c r="S53" s="112"/>
      <c r="T53" s="112"/>
      <c r="U53" s="112">
        <f>SUMIFS(Abwesenheit!$J$2:$J$997,Abwesenheit!$E$2:$E$997,"Sterbefall",Abwesenheit!$D$2:$D$997,"&gt;="&amp;TEXT(U$4,"TT.MM.JJJJ"),Abwesenheit!$D$2:$D$997,"&lt;="&amp;TEXT(EOMONTH(U$4,0),"TT.MM.JJJJ"))*24</f>
        <v>0</v>
      </c>
      <c r="V53" s="112"/>
      <c r="W53" s="112"/>
      <c r="X53" s="112">
        <f>SUMIFS(Abwesenheit!$J$2:$J$997,Abwesenheit!$E$2:$E$997,"Sterbefall",Abwesenheit!$D$2:$D$997,"&gt;="&amp;TEXT(X$4,"TT.MM.JJJJ"),Abwesenheit!$D$2:$D$997,"&lt;="&amp;TEXT(EOMONTH(X$4,0),"TT.MM.JJJJ"))*24</f>
        <v>0</v>
      </c>
      <c r="Y53" s="112"/>
      <c r="Z53" s="112"/>
      <c r="AA53" s="112">
        <f>SUMIFS(Abwesenheit!$J$2:$J$997,Abwesenheit!$E$2:$E$997,"Sterbefall",Abwesenheit!$D$2:$D$997,"&gt;="&amp;TEXT(AA$4,"TT.MM.JJJJ"),Abwesenheit!$D$2:$D$997,"&lt;="&amp;TEXT(EOMONTH(AA$4,0),"TT.MM.JJJJ"))*24</f>
        <v>0</v>
      </c>
      <c r="AB53" s="112"/>
      <c r="AC53" s="112"/>
      <c r="AD53" s="112">
        <f>SUMIFS(Abwesenheit!$J$2:$J$997,Abwesenheit!$E$2:$E$997,"Sterbefall",Abwesenheit!$D$2:$D$997,"&gt;="&amp;TEXT(AD$4,"TT.MM.JJJJ"),Abwesenheit!$D$2:$D$997,"&lt;="&amp;TEXT(EOMONTH(AD$4,0),"TT.MM.JJJJ"))*24</f>
        <v>0</v>
      </c>
      <c r="AE53" s="112"/>
      <c r="AF53" s="112"/>
      <c r="AG53" s="112">
        <f>SUMIFS(Abwesenheit!$J$2:$J$997,Abwesenheit!$E$2:$E$997,"Sterbefall",Abwesenheit!$D$2:$D$997,"&gt;="&amp;TEXT(AG$4,"TT.MM.JJJJ"),Abwesenheit!$D$2:$D$997,"&lt;="&amp;TEXT(EOMONTH(AG$4,0),"TT.MM.JJJJ"))*24</f>
        <v>0</v>
      </c>
      <c r="AH53" s="112"/>
      <c r="AI53" s="112"/>
      <c r="AJ53" s="112">
        <f>SUMIFS(Abwesenheit!$J$2:$J$997,Abwesenheit!$E$2:$E$997,"Sterbefall",Abwesenheit!$D$2:$D$997,"&gt;="&amp;TEXT(AJ$4,"TT.MM.JJJJ"),Abwesenheit!$D$2:$D$997,"&lt;="&amp;TEXT(EOMONTH(AJ$4,0),"TT.MM.JJJJ"))*24</f>
        <v>0</v>
      </c>
      <c r="AK53" s="112"/>
      <c r="AL53" s="112"/>
      <c r="AM53" s="73">
        <f t="shared" si="12"/>
        <v>0</v>
      </c>
    </row>
    <row r="54" spans="1:41" x14ac:dyDescent="0.3">
      <c r="A54" s="33"/>
      <c r="B54" s="75" t="s">
        <v>90</v>
      </c>
      <c r="C54" s="112">
        <f>SUM(C46:E53)</f>
        <v>0</v>
      </c>
      <c r="D54" s="112"/>
      <c r="E54" s="112"/>
      <c r="F54" s="112">
        <f>SUM(F46:H53)</f>
        <v>0</v>
      </c>
      <c r="G54" s="112"/>
      <c r="H54" s="112"/>
      <c r="I54" s="112">
        <f>SUM(I46:K53)</f>
        <v>0</v>
      </c>
      <c r="J54" s="112"/>
      <c r="K54" s="112"/>
      <c r="L54" s="112">
        <f>SUM(L46:N53)</f>
        <v>0</v>
      </c>
      <c r="M54" s="112"/>
      <c r="N54" s="112"/>
      <c r="O54" s="112">
        <f>SUM(O46:Q53)</f>
        <v>0</v>
      </c>
      <c r="P54" s="112"/>
      <c r="Q54" s="112"/>
      <c r="R54" s="112">
        <f>SUM(R46:T53)</f>
        <v>0</v>
      </c>
      <c r="S54" s="112"/>
      <c r="T54" s="112"/>
      <c r="U54" s="112">
        <f>SUM(U46:W53)</f>
        <v>0</v>
      </c>
      <c r="V54" s="112"/>
      <c r="W54" s="112"/>
      <c r="X54" s="112">
        <f>SUM(X46:Z53)</f>
        <v>0</v>
      </c>
      <c r="Y54" s="112"/>
      <c r="Z54" s="112"/>
      <c r="AA54" s="112">
        <f>SUM(AA46:AC53)</f>
        <v>0</v>
      </c>
      <c r="AB54" s="112"/>
      <c r="AC54" s="112"/>
      <c r="AD54" s="112">
        <f>SUM(AD46:AF53)</f>
        <v>0</v>
      </c>
      <c r="AE54" s="112"/>
      <c r="AF54" s="112"/>
      <c r="AG54" s="112">
        <f>SUM(AG46:AI53)</f>
        <v>0</v>
      </c>
      <c r="AH54" s="112"/>
      <c r="AI54" s="112"/>
      <c r="AJ54" s="112">
        <f>SUM(AJ46:AL53)</f>
        <v>0</v>
      </c>
      <c r="AK54" s="112"/>
      <c r="AL54" s="112"/>
      <c r="AM54" s="73">
        <f t="shared" si="12"/>
        <v>0</v>
      </c>
    </row>
    <row r="55" spans="1:41" x14ac:dyDescent="0.3">
      <c r="A55" s="33"/>
      <c r="B55" s="33"/>
      <c r="C55" s="48"/>
      <c r="D55" t="str">
        <f ca="1">IF(((C54-C45)&gt;0)*(OR(C54-C45)&lt;0),C54-C45,"")</f>
        <v/>
      </c>
      <c r="E55" s="52"/>
      <c r="F55" s="48"/>
      <c r="G55" t="str">
        <f ca="1">IF(((F54-F45)&gt;0)*(OR(F54-F45)&lt;0),F54-F45,"")</f>
        <v/>
      </c>
      <c r="H55" s="52"/>
      <c r="I55" s="48"/>
      <c r="J55" t="str">
        <f ca="1">IF(((I54-I45)&gt;0)*(OR(I54-I45)&lt;0),I54-I45,"")</f>
        <v/>
      </c>
      <c r="K55" s="52"/>
      <c r="L55" s="48"/>
      <c r="M55" t="str">
        <f ca="1">IF(((L54-L45)&gt;0)*(OR(L54-L45)&lt;0),L54-L45,"")</f>
        <v/>
      </c>
      <c r="N55" s="52"/>
      <c r="O55" s="48"/>
      <c r="P55" t="str">
        <f ca="1">IF(((O54-O45)&gt;0)*(OR(O54-O45)&lt;0),O54-O45,"")</f>
        <v/>
      </c>
      <c r="Q55" s="52"/>
      <c r="R55" s="48"/>
      <c r="S55" t="str">
        <f ca="1">IF(((R54-R45)&gt;0)*(OR(R54-R45)&lt;0),R54-R45,"")</f>
        <v/>
      </c>
      <c r="T55" s="52"/>
      <c r="U55" s="48"/>
      <c r="V55" t="str">
        <f ca="1">IF(((U54-U45)&gt;0)*(OR(U54-U45)&lt;0),U54-U45,"")</f>
        <v/>
      </c>
      <c r="W55" s="52"/>
      <c r="X55" s="48"/>
      <c r="Y55" t="str">
        <f ca="1">IF(((X54-X45)&gt;0)*(OR(X54-X45)&lt;0),X54-X45,"")</f>
        <v/>
      </c>
      <c r="Z55" s="52"/>
      <c r="AA55" s="48"/>
      <c r="AB55" t="str">
        <f ca="1">IF(((AA54-AA45)&gt;0)*(OR(AA54-AA45)&lt;0),AA54-AA45,"")</f>
        <v/>
      </c>
      <c r="AC55" s="52"/>
      <c r="AD55" s="48"/>
      <c r="AE55" t="str">
        <f ca="1">IF(((AD54-AD45)&gt;0)*(OR(AD54-AD45)&lt;0),AD54-AD45,"")</f>
        <v/>
      </c>
      <c r="AF55" s="52"/>
      <c r="AG55" s="48"/>
      <c r="AH55" t="str">
        <f ca="1">IF(((AG54-AG45)&gt;0)*(OR(AG54-AG45)&lt;0),AG54-AG45,"")</f>
        <v/>
      </c>
      <c r="AI55" s="52"/>
      <c r="AJ55" s="48"/>
      <c r="AK55" t="str">
        <f ca="1">IF(((AJ54-AJ45)&gt;0)*(OR(AJ54-AJ45)&lt;0),AJ54-AJ45,"")</f>
        <v/>
      </c>
      <c r="AL55" s="52"/>
      <c r="AM55" s="48"/>
      <c r="AN55" t="str">
        <f ca="1">IF(((AM54-AM45)&gt;0)*(OR(AM54-AM45)&lt;0),AM54-AM45,"")</f>
        <v/>
      </c>
      <c r="AO55" s="52"/>
    </row>
    <row r="56" spans="1:41" x14ac:dyDescent="0.3">
      <c r="A56" s="33"/>
      <c r="B56" s="72" t="s">
        <v>65</v>
      </c>
      <c r="C56" s="112">
        <f ca="1">Stammdaten!D13+C41</f>
        <v>0</v>
      </c>
      <c r="D56" s="112"/>
      <c r="E56" s="112"/>
      <c r="F56" s="112">
        <f ca="1">C56+F41</f>
        <v>0</v>
      </c>
      <c r="G56" s="112"/>
      <c r="H56" s="112"/>
      <c r="I56" s="112">
        <f ca="1">F56+I41</f>
        <v>0</v>
      </c>
      <c r="J56" s="112"/>
      <c r="K56" s="112"/>
      <c r="L56" s="112">
        <f ca="1">I56+L41</f>
        <v>0</v>
      </c>
      <c r="M56" s="112"/>
      <c r="N56" s="112"/>
      <c r="O56" s="112">
        <f ca="1">L56+O41</f>
        <v>0</v>
      </c>
      <c r="P56" s="112"/>
      <c r="Q56" s="112"/>
      <c r="R56" s="112">
        <f ca="1">O56+R41</f>
        <v>0</v>
      </c>
      <c r="S56" s="112"/>
      <c r="T56" s="112"/>
      <c r="U56" s="112">
        <f ca="1">R56+U41</f>
        <v>-134.99999999999997</v>
      </c>
      <c r="V56" s="112"/>
      <c r="W56" s="112"/>
      <c r="X56" s="112">
        <f ca="1">U56+X41</f>
        <v>-142.99999999999997</v>
      </c>
      <c r="Y56" s="112"/>
      <c r="Z56" s="112"/>
      <c r="AA56" s="112">
        <f ca="1">X56+AA41</f>
        <v>-142.99999999999997</v>
      </c>
      <c r="AB56" s="112"/>
      <c r="AC56" s="112"/>
      <c r="AD56" s="112">
        <f ca="1">AA56+AD41</f>
        <v>-142.99999999999997</v>
      </c>
      <c r="AE56" s="112"/>
      <c r="AF56" s="112"/>
      <c r="AG56" s="112">
        <f ca="1">AD56+AG41</f>
        <v>-142.99999999999997</v>
      </c>
      <c r="AH56" s="112"/>
      <c r="AI56" s="112"/>
      <c r="AJ56" s="112">
        <f ca="1">AG56+AJ41</f>
        <v>-142.99999999999997</v>
      </c>
      <c r="AK56" s="112"/>
      <c r="AL56" s="112"/>
      <c r="AM56" s="73">
        <f ca="1">AJ56</f>
        <v>-142.99999999999997</v>
      </c>
      <c r="AO56" s="40"/>
    </row>
    <row r="57" spans="1:41" x14ac:dyDescent="0.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</row>
    <row r="59" spans="1:41" x14ac:dyDescent="0.3">
      <c r="AE59" s="40"/>
      <c r="AF59" s="40"/>
      <c r="AG59" s="40"/>
    </row>
    <row r="61" spans="1:41" x14ac:dyDescent="0.3">
      <c r="AE61" s="51"/>
    </row>
  </sheetData>
  <sheetProtection formatCells="0" formatColumns="0" formatRows="0" insertColumns="0" insertRows="0" insertHyperlinks="0" deleteColumns="0" deleteRows="0"/>
  <mergeCells count="193">
    <mergeCell ref="C39:E39"/>
    <mergeCell ref="F39:H39"/>
    <mergeCell ref="I39:K39"/>
    <mergeCell ref="X53:Z53"/>
    <mergeCell ref="AA53:AC53"/>
    <mergeCell ref="AD53:AF53"/>
    <mergeCell ref="AG53:AI53"/>
    <mergeCell ref="AJ53:AL53"/>
    <mergeCell ref="C2:AL2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D45:AF45"/>
    <mergeCell ref="AG45:AI45"/>
    <mergeCell ref="AJ45:AL45"/>
    <mergeCell ref="AD43:AF43"/>
    <mergeCell ref="AG43:AI43"/>
    <mergeCell ref="AJ43:AL43"/>
    <mergeCell ref="C45:E45"/>
    <mergeCell ref="F45:H45"/>
    <mergeCell ref="I45:K45"/>
    <mergeCell ref="L45:N45"/>
    <mergeCell ref="O45:Q45"/>
    <mergeCell ref="R45:T45"/>
    <mergeCell ref="U45:W45"/>
    <mergeCell ref="X45:Z45"/>
    <mergeCell ref="AA45:AC45"/>
    <mergeCell ref="C43:E43"/>
    <mergeCell ref="F43:H43"/>
    <mergeCell ref="I43:K43"/>
    <mergeCell ref="L43:N43"/>
    <mergeCell ref="O43:Q43"/>
    <mergeCell ref="R43:T43"/>
    <mergeCell ref="U43:W43"/>
    <mergeCell ref="X43:Z43"/>
    <mergeCell ref="AA43:AC43"/>
    <mergeCell ref="AD46:AF46"/>
    <mergeCell ref="AG46:AI46"/>
    <mergeCell ref="AJ46:AL46"/>
    <mergeCell ref="C47:E47"/>
    <mergeCell ref="F47:H47"/>
    <mergeCell ref="I47:K47"/>
    <mergeCell ref="L47:N47"/>
    <mergeCell ref="O47:Q47"/>
    <mergeCell ref="AJ47:AL47"/>
    <mergeCell ref="R47:T47"/>
    <mergeCell ref="U47:W47"/>
    <mergeCell ref="X47:Z47"/>
    <mergeCell ref="AA47:AC47"/>
    <mergeCell ref="AD47:AF47"/>
    <mergeCell ref="AG47:AI47"/>
    <mergeCell ref="C46:E46"/>
    <mergeCell ref="F46:H46"/>
    <mergeCell ref="I46:K46"/>
    <mergeCell ref="L46:N46"/>
    <mergeCell ref="O46:Q46"/>
    <mergeCell ref="R46:T46"/>
    <mergeCell ref="U46:W46"/>
    <mergeCell ref="X46:Z46"/>
    <mergeCell ref="AA46:AC46"/>
    <mergeCell ref="AD48:AF48"/>
    <mergeCell ref="AG48:AI48"/>
    <mergeCell ref="AJ48:AL48"/>
    <mergeCell ref="C49:E49"/>
    <mergeCell ref="F49:H49"/>
    <mergeCell ref="I49:K49"/>
    <mergeCell ref="L49:N49"/>
    <mergeCell ref="O49:Q49"/>
    <mergeCell ref="R49:T49"/>
    <mergeCell ref="U49:W49"/>
    <mergeCell ref="X49:Z49"/>
    <mergeCell ref="AA49:AC49"/>
    <mergeCell ref="AD49:AF49"/>
    <mergeCell ref="AG49:AI49"/>
    <mergeCell ref="AJ49:AL49"/>
    <mergeCell ref="C48:E48"/>
    <mergeCell ref="F48:H48"/>
    <mergeCell ref="I48:K48"/>
    <mergeCell ref="L48:N48"/>
    <mergeCell ref="O48:Q48"/>
    <mergeCell ref="R48:T48"/>
    <mergeCell ref="U48:W48"/>
    <mergeCell ref="X48:Z48"/>
    <mergeCell ref="AA48:AC48"/>
    <mergeCell ref="C50:E50"/>
    <mergeCell ref="F50:H50"/>
    <mergeCell ref="I50:K50"/>
    <mergeCell ref="L50:N50"/>
    <mergeCell ref="O50:Q50"/>
    <mergeCell ref="AJ50:AL50"/>
    <mergeCell ref="C51:E51"/>
    <mergeCell ref="F51:H51"/>
    <mergeCell ref="I51:K51"/>
    <mergeCell ref="L51:N51"/>
    <mergeCell ref="O51:Q51"/>
    <mergeCell ref="R51:T51"/>
    <mergeCell ref="U51:W51"/>
    <mergeCell ref="X51:Z51"/>
    <mergeCell ref="AA51:AC51"/>
    <mergeCell ref="R50:T50"/>
    <mergeCell ref="U50:W50"/>
    <mergeCell ref="X50:Z50"/>
    <mergeCell ref="AA50:AC50"/>
    <mergeCell ref="AD50:AF50"/>
    <mergeCell ref="AG50:AI50"/>
    <mergeCell ref="AD51:AF51"/>
    <mergeCell ref="AG51:AI51"/>
    <mergeCell ref="AJ51:AL51"/>
    <mergeCell ref="O53:Q53"/>
    <mergeCell ref="R53:T53"/>
    <mergeCell ref="U53:W53"/>
    <mergeCell ref="AD56:AF56"/>
    <mergeCell ref="AG56:AI56"/>
    <mergeCell ref="AJ56:AL56"/>
    <mergeCell ref="AJ54:AL54"/>
    <mergeCell ref="C56:E56"/>
    <mergeCell ref="F56:H56"/>
    <mergeCell ref="I56:K56"/>
    <mergeCell ref="L56:N56"/>
    <mergeCell ref="O56:Q56"/>
    <mergeCell ref="R56:T56"/>
    <mergeCell ref="U56:W56"/>
    <mergeCell ref="X56:Z56"/>
    <mergeCell ref="AA56:AC56"/>
    <mergeCell ref="R54:T54"/>
    <mergeCell ref="U54:W54"/>
    <mergeCell ref="X54:Z54"/>
    <mergeCell ref="AA54:AC54"/>
    <mergeCell ref="AD54:AF54"/>
    <mergeCell ref="AG54:AI54"/>
    <mergeCell ref="AD41:AF41"/>
    <mergeCell ref="AG41:AI41"/>
    <mergeCell ref="AJ41:AL41"/>
    <mergeCell ref="AD52:AF52"/>
    <mergeCell ref="AG52:AI52"/>
    <mergeCell ref="AJ52:AL52"/>
    <mergeCell ref="C54:E54"/>
    <mergeCell ref="F54:H54"/>
    <mergeCell ref="I54:K54"/>
    <mergeCell ref="L54:N54"/>
    <mergeCell ref="O54:Q54"/>
    <mergeCell ref="C52:E52"/>
    <mergeCell ref="F52:H52"/>
    <mergeCell ref="I52:K52"/>
    <mergeCell ref="L52:N52"/>
    <mergeCell ref="O52:Q52"/>
    <mergeCell ref="R52:T52"/>
    <mergeCell ref="U52:W52"/>
    <mergeCell ref="X52:Z52"/>
    <mergeCell ref="AA52:AC52"/>
    <mergeCell ref="C53:E53"/>
    <mergeCell ref="F53:H53"/>
    <mergeCell ref="I53:K53"/>
    <mergeCell ref="L53:N53"/>
    <mergeCell ref="C41:E41"/>
    <mergeCell ref="F41:H41"/>
    <mergeCell ref="I41:K41"/>
    <mergeCell ref="L41:N41"/>
    <mergeCell ref="O41:Q41"/>
    <mergeCell ref="R41:T41"/>
    <mergeCell ref="U41:W41"/>
    <mergeCell ref="X41:Z41"/>
    <mergeCell ref="AA41:AC41"/>
    <mergeCell ref="L39:N39"/>
    <mergeCell ref="O39:Q39"/>
    <mergeCell ref="R39:T39"/>
    <mergeCell ref="U39:W39"/>
    <mergeCell ref="X39:Z39"/>
    <mergeCell ref="AA39:AC39"/>
    <mergeCell ref="AD39:AF39"/>
    <mergeCell ref="AG39:AI39"/>
    <mergeCell ref="AJ39:AL39"/>
    <mergeCell ref="AD37:AF37"/>
    <mergeCell ref="AG37:AI37"/>
    <mergeCell ref="AJ37:AL37"/>
    <mergeCell ref="C37:E37"/>
    <mergeCell ref="F37:H37"/>
    <mergeCell ref="I37:K37"/>
    <mergeCell ref="L37:N37"/>
    <mergeCell ref="O37:Q37"/>
    <mergeCell ref="R37:T37"/>
    <mergeCell ref="U37:W37"/>
    <mergeCell ref="X37:Z37"/>
    <mergeCell ref="AA37:AC37"/>
  </mergeCells>
  <conditionalFormatting sqref="C5:AL35">
    <cfRule type="expression" dxfId="82" priority="5">
      <formula>$B5&gt;DAY(EOMONTH(INDIRECT("Z4"&amp;"S"&amp;COLUMN(C5)-MOD(COLUMN(C5),3),FALSE),0))</formula>
    </cfRule>
    <cfRule type="expression" dxfId="80" priority="122">
      <formula>WEEKDAY(INDIRECT("Z"&amp;ROW()&amp;"S"&amp;COLUMN(C5)-MOD(COLUMN(C5),3),FALSE),2)=6</formula>
    </cfRule>
    <cfRule type="expression" dxfId="79" priority="123">
      <formula>WEEKDAY(INDIRECT("Z"&amp;ROW()&amp;"S"&amp;COLUMN(C5)-MOD(COLUMN(C5),3),FALSE),2)=7</formula>
    </cfRule>
  </conditionalFormatting>
  <conditionalFormatting sqref="AJ5:AL35">
    <cfRule type="expression" dxfId="77" priority="18">
      <formula>DAY($AJ5)=24</formula>
    </cfRule>
    <cfRule type="expression" dxfId="76" priority="25">
      <formula>DAY($AJ5)=31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" id="{AA10AE0B-2129-4128-9EA2-710CF7C4639D}">
            <xm:f>NOT(ISERROR(VLOOKUP(INDIRECT("Z"&amp;ROW()&amp;"S"&amp;COLUMN(C5)-MOD(COLUMN(C5),3),FALSE),Stammdaten!$I$9:$J$26,2,FALSE)))</xm:f>
            <x14:dxf>
              <fill>
                <patternFill>
                  <bgColor rgb="FFCEF4F6"/>
                </patternFill>
              </fill>
            </x14:dxf>
          </x14:cfRule>
          <x14:cfRule type="expression" priority="124" id="{D61F8579-7B96-4EF5-8051-32239F2168AC}">
            <xm:f>NOT(ISERROR(VLOOKUP(INDIRECT("Z"&amp;ROW()&amp;"S"&amp;COLUMN(C5)-MOD(COLUMN(C5),3),FALSE),Abwesenheit!$E$2:$E$199,2,FALSE)))</xm:f>
            <x14:dxf>
              <fill>
                <patternFill>
                  <bgColor rgb="FFE4C9FF"/>
                </patternFill>
              </fill>
            </x14:dxf>
          </x14:cfRule>
          <xm:sqref>C5:AL35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98"/>
  <sheetViews>
    <sheetView showGridLines="0" topLeftCell="B1" workbookViewId="0">
      <selection activeCell="B4" sqref="B4"/>
    </sheetView>
  </sheetViews>
  <sheetFormatPr baseColWidth="10" defaultColWidth="10.6640625" defaultRowHeight="14.4" x14ac:dyDescent="0.3"/>
  <cols>
    <col min="1" max="1" width="2.5546875" customWidth="1"/>
    <col min="2" max="3" width="21.6640625" customWidth="1"/>
    <col min="4" max="4" width="10.6640625" customWidth="1"/>
    <col min="17" max="17" width="10.6640625" customWidth="1"/>
    <col min="19" max="20" width="2.5546875" customWidth="1"/>
  </cols>
  <sheetData>
    <row r="2" spans="2:18" x14ac:dyDescent="0.3">
      <c r="B2" s="31" t="s">
        <v>1</v>
      </c>
      <c r="C2" s="31" t="s">
        <v>2</v>
      </c>
      <c r="D2" s="31" t="s">
        <v>72</v>
      </c>
      <c r="E2" s="31" t="str">
        <f>TEXT(DATE(Stammdaten!$D$9,COLUMN()-COLUMN($E3)+1,1),"MMMM")</f>
        <v>Jänner</v>
      </c>
      <c r="F2" s="31" t="str">
        <f>TEXT(DATE(Stammdaten!$D$9,COLUMN()-COLUMN($E3)+1,1),"MMMM")</f>
        <v>Februar</v>
      </c>
      <c r="G2" s="31" t="str">
        <f>TEXT(DATE(Stammdaten!$D$9,COLUMN()-COLUMN($E3)+1,1),"MMMM")</f>
        <v>März</v>
      </c>
      <c r="H2" s="31" t="str">
        <f>TEXT(DATE(Stammdaten!$D$9,COLUMN()-COLUMN($E3)+1,1),"MMMM")</f>
        <v>April</v>
      </c>
      <c r="I2" s="31" t="str">
        <f>TEXT(DATE(Stammdaten!$D$9,COLUMN()-COLUMN($E3)+1,1),"MMMM")</f>
        <v>Mai</v>
      </c>
      <c r="J2" s="31" t="str">
        <f>TEXT(DATE(Stammdaten!$D$9,COLUMN()-COLUMN($E3)+1,1),"MMMM")</f>
        <v>Juni</v>
      </c>
      <c r="K2" s="31" t="str">
        <f>TEXT(DATE(Stammdaten!$D$9,COLUMN()-COLUMN($E3)+1,1),"MMMM")</f>
        <v>Juli</v>
      </c>
      <c r="L2" s="31" t="str">
        <f>TEXT(DATE(Stammdaten!$D$9,COLUMN()-COLUMN($E3)+1,1),"MMMM")</f>
        <v>August</v>
      </c>
      <c r="M2" s="31" t="str">
        <f>TEXT(DATE(Stammdaten!$D$9,COLUMN()-COLUMN($E3)+1,1),"MMMM")</f>
        <v>September</v>
      </c>
      <c r="N2" s="31" t="str">
        <f>TEXT(DATE(Stammdaten!$D$9,COLUMN()-COLUMN($E3)+1,1),"MMMM")</f>
        <v>Oktober</v>
      </c>
      <c r="O2" s="31" t="str">
        <f>TEXT(DATE(Stammdaten!$D$9,COLUMN()-COLUMN($E3)+1,1),"MMMM")</f>
        <v>November</v>
      </c>
      <c r="P2" s="31" t="str">
        <f>TEXT(DATE(Stammdaten!$D$9,COLUMN()-COLUMN($E3)+1,1),"MMMM")</f>
        <v>Dezember</v>
      </c>
      <c r="Q2" s="32" t="s">
        <v>71</v>
      </c>
      <c r="R2" s="32" t="s">
        <v>73</v>
      </c>
    </row>
    <row r="3" spans="2:18" x14ac:dyDescent="0.3">
      <c r="B3" s="55" t="s">
        <v>123</v>
      </c>
      <c r="C3" s="55"/>
      <c r="D3" s="56"/>
      <c r="E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F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G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H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I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J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K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L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M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N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O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P3" s="30">
        <f ca="1">IF(AND($B3="",$C3=""),0,IF($C3="",SUMIFS(INDIRECT(TEXT(DATE(Stammdaten!$D$9,COLUMN()-COLUMN($E3)+1,1),"MMM")&amp;"!$L$9:$L$999"),INDIRECT(TEXT(DATE(Stammdaten!$D$9,COLUMN()-COLUMN($E3)+1,1),"MMM")&amp;"!$F$9:$F$999"),$B3),IF($B3="",SUMIFS(INDIRECT(TEXT(DATE(Stammdaten!$D$9,COLUMN()-COLUMN($E3)+1,1),"MMM")&amp;"!$L$9:$L$999"),INDIRECT(TEXT(DATE(Stammdaten!$D$9,COLUMN()-COLUMN($E3)+1,1),"MMM")&amp;"!$G$9:$G$999"),$C3),SUMIFS(INDIRECT(TEXT(DATE(Stammdaten!$D$9,COLUMN()-COLUMN($E3)+1,1),"MMM")&amp;"!$L$9:$L$999"),INDIRECT(TEXT(DATE(Stammdaten!$D$9,COLUMN()-COLUMN($E3)+1,1),"MMM")&amp;"!$F$9:$F$999"),IF($B3="","*",$B3),INDIRECT(TEXT(DATE(Stammdaten!$D$9,COLUMN()-COLUMN($E3)+1,1),"MMM")&amp;"!$G$9:$G$999"),IF($C3="","*",$C3)))))*24</f>
        <v>0</v>
      </c>
      <c r="Q3" s="74">
        <f ca="1">SUM(E3:P3)</f>
        <v>0</v>
      </c>
      <c r="R3" s="74">
        <f ca="1">IF(D3="",Q3,D3-Q3)</f>
        <v>0</v>
      </c>
    </row>
    <row r="4" spans="2:18" x14ac:dyDescent="0.3">
      <c r="B4" s="55"/>
      <c r="C4" s="55"/>
      <c r="D4" s="56"/>
      <c r="E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F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G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H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I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J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K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L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M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N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O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P4" s="30">
        <f ca="1">IF(AND($B4="",$C4=""),0,IF($C4="",SUMIFS(INDIRECT(TEXT(DATE(Stammdaten!$D$9,COLUMN()-COLUMN($E4)+1,1),"MMM")&amp;"!$L$9:$L$999"),INDIRECT(TEXT(DATE(Stammdaten!$D$9,COLUMN()-COLUMN($E4)+1,1),"MMM")&amp;"!$F$9:$F$999"),$B4),IF($B4="",SUMIFS(INDIRECT(TEXT(DATE(Stammdaten!$D$9,COLUMN()-COLUMN($E4)+1,1),"MMM")&amp;"!$L$9:$L$999"),INDIRECT(TEXT(DATE(Stammdaten!$D$9,COLUMN()-COLUMN($E4)+1,1),"MMM")&amp;"!$G$9:$G$999"),$C4),SUMIFS(INDIRECT(TEXT(DATE(Stammdaten!$D$9,COLUMN()-COLUMN($E4)+1,1),"MMM")&amp;"!$L$9:$L$999"),INDIRECT(TEXT(DATE(Stammdaten!$D$9,COLUMN()-COLUMN($E4)+1,1),"MMM")&amp;"!$F$9:$F$999"),IF($B4="","*",$B4),INDIRECT(TEXT(DATE(Stammdaten!$D$9,COLUMN()-COLUMN($E4)+1,1),"MMM")&amp;"!$G$9:$G$999"),IF($C4="","*",$C4)))))*24</f>
        <v>0</v>
      </c>
      <c r="Q4" s="74">
        <f t="shared" ref="Q4:Q36" ca="1" si="0">SUM(E4:P4)</f>
        <v>0</v>
      </c>
      <c r="R4" s="74">
        <f t="shared" ref="R4:R34" ca="1" si="1">IF(D4="",Q4,D4-Q4)</f>
        <v>0</v>
      </c>
    </row>
    <row r="5" spans="2:18" x14ac:dyDescent="0.3">
      <c r="B5" s="55"/>
      <c r="C5" s="55"/>
      <c r="D5" s="56"/>
      <c r="E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F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G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H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I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J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K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L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M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N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O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P5" s="30">
        <f ca="1">IF(AND($B5="",$C5=""),0,IF($C5="",SUMIFS(INDIRECT(TEXT(DATE(Stammdaten!$D$9,COLUMN()-COLUMN($E5)+1,1),"MMM")&amp;"!$L$9:$L$999"),INDIRECT(TEXT(DATE(Stammdaten!$D$9,COLUMN()-COLUMN($E5)+1,1),"MMM")&amp;"!$F$9:$F$999"),$B5),IF($B5="",SUMIFS(INDIRECT(TEXT(DATE(Stammdaten!$D$9,COLUMN()-COLUMN($E5)+1,1),"MMM")&amp;"!$L$9:$L$999"),INDIRECT(TEXT(DATE(Stammdaten!$D$9,COLUMN()-COLUMN($E5)+1,1),"MMM")&amp;"!$G$9:$G$999"),$C5),SUMIFS(INDIRECT(TEXT(DATE(Stammdaten!$D$9,COLUMN()-COLUMN($E5)+1,1),"MMM")&amp;"!$L$9:$L$999"),INDIRECT(TEXT(DATE(Stammdaten!$D$9,COLUMN()-COLUMN($E5)+1,1),"MMM")&amp;"!$F$9:$F$999"),IF($B5="","*",$B5),INDIRECT(TEXT(DATE(Stammdaten!$D$9,COLUMN()-COLUMN($E5)+1,1),"MMM")&amp;"!$G$9:$G$999"),IF($C5="","*",$C5)))))*24</f>
        <v>0</v>
      </c>
      <c r="Q5" s="74">
        <f t="shared" ca="1" si="0"/>
        <v>0</v>
      </c>
      <c r="R5" s="74">
        <f t="shared" ca="1" si="1"/>
        <v>0</v>
      </c>
    </row>
    <row r="6" spans="2:18" x14ac:dyDescent="0.3">
      <c r="B6" s="55"/>
      <c r="C6" s="55"/>
      <c r="D6" s="56"/>
      <c r="E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F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G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H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I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J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K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L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M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N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O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P6" s="30">
        <f ca="1">IF(AND($B6="",$C6=""),0,IF($C6="",SUMIFS(INDIRECT(TEXT(DATE(Stammdaten!$D$9,COLUMN()-COLUMN($E6)+1,1),"MMM")&amp;"!$L$9:$L$999"),INDIRECT(TEXT(DATE(Stammdaten!$D$9,COLUMN()-COLUMN($E6)+1,1),"MMM")&amp;"!$F$9:$F$999"),$B6),IF($B6="",SUMIFS(INDIRECT(TEXT(DATE(Stammdaten!$D$9,COLUMN()-COLUMN($E6)+1,1),"MMM")&amp;"!$L$9:$L$999"),INDIRECT(TEXT(DATE(Stammdaten!$D$9,COLUMN()-COLUMN($E6)+1,1),"MMM")&amp;"!$G$9:$G$999"),$C6),SUMIFS(INDIRECT(TEXT(DATE(Stammdaten!$D$9,COLUMN()-COLUMN($E6)+1,1),"MMM")&amp;"!$L$9:$L$999"),INDIRECT(TEXT(DATE(Stammdaten!$D$9,COLUMN()-COLUMN($E6)+1,1),"MMM")&amp;"!$F$9:$F$999"),IF($B6="","*",$B6),INDIRECT(TEXT(DATE(Stammdaten!$D$9,COLUMN()-COLUMN($E6)+1,1),"MMM")&amp;"!$G$9:$G$999"),IF($C6="","*",$C6)))))*24</f>
        <v>0</v>
      </c>
      <c r="Q6" s="74">
        <f t="shared" ca="1" si="0"/>
        <v>0</v>
      </c>
      <c r="R6" s="74">
        <f t="shared" ca="1" si="1"/>
        <v>0</v>
      </c>
    </row>
    <row r="7" spans="2:18" x14ac:dyDescent="0.3">
      <c r="B7" s="55"/>
      <c r="C7" s="55"/>
      <c r="D7" s="56"/>
      <c r="E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F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G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H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I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J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K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L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M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N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O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P7" s="30">
        <f ca="1">IF(AND($B7="",$C7=""),0,IF($C7="",SUMIFS(INDIRECT(TEXT(DATE(Stammdaten!$D$9,COLUMN()-COLUMN($E7)+1,1),"MMM")&amp;"!$L$9:$L$999"),INDIRECT(TEXT(DATE(Stammdaten!$D$9,COLUMN()-COLUMN($E7)+1,1),"MMM")&amp;"!$F$9:$F$999"),$B7),IF($B7="",SUMIFS(INDIRECT(TEXT(DATE(Stammdaten!$D$9,COLUMN()-COLUMN($E7)+1,1),"MMM")&amp;"!$L$9:$L$999"),INDIRECT(TEXT(DATE(Stammdaten!$D$9,COLUMN()-COLUMN($E7)+1,1),"MMM")&amp;"!$G$9:$G$999"),$C7),SUMIFS(INDIRECT(TEXT(DATE(Stammdaten!$D$9,COLUMN()-COLUMN($E7)+1,1),"MMM")&amp;"!$L$9:$L$999"),INDIRECT(TEXT(DATE(Stammdaten!$D$9,COLUMN()-COLUMN($E7)+1,1),"MMM")&amp;"!$F$9:$F$999"),IF($B7="","*",$B7),INDIRECT(TEXT(DATE(Stammdaten!$D$9,COLUMN()-COLUMN($E7)+1,1),"MMM")&amp;"!$G$9:$G$999"),IF($C7="","*",$C7)))))*24</f>
        <v>0</v>
      </c>
      <c r="Q7" s="74">
        <f t="shared" ca="1" si="0"/>
        <v>0</v>
      </c>
      <c r="R7" s="74">
        <f t="shared" ca="1" si="1"/>
        <v>0</v>
      </c>
    </row>
    <row r="8" spans="2:18" x14ac:dyDescent="0.3">
      <c r="B8" s="55"/>
      <c r="C8" s="55"/>
      <c r="D8" s="56"/>
      <c r="E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F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G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H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I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J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K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L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M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N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O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P8" s="30">
        <f ca="1">IF(AND($B8="",$C8=""),0,IF($C8="",SUMIFS(INDIRECT(TEXT(DATE(Stammdaten!$D$9,COLUMN()-COLUMN($E8)+1,1),"MMM")&amp;"!$L$9:$L$999"),INDIRECT(TEXT(DATE(Stammdaten!$D$9,COLUMN()-COLUMN($E8)+1,1),"MMM")&amp;"!$F$9:$F$999"),$B8),IF($B8="",SUMIFS(INDIRECT(TEXT(DATE(Stammdaten!$D$9,COLUMN()-COLUMN($E8)+1,1),"MMM")&amp;"!$L$9:$L$999"),INDIRECT(TEXT(DATE(Stammdaten!$D$9,COLUMN()-COLUMN($E8)+1,1),"MMM")&amp;"!$G$9:$G$999"),$C8),SUMIFS(INDIRECT(TEXT(DATE(Stammdaten!$D$9,COLUMN()-COLUMN($E8)+1,1),"MMM")&amp;"!$L$9:$L$999"),INDIRECT(TEXT(DATE(Stammdaten!$D$9,COLUMN()-COLUMN($E8)+1,1),"MMM")&amp;"!$F$9:$F$999"),IF($B8="","*",$B8),INDIRECT(TEXT(DATE(Stammdaten!$D$9,COLUMN()-COLUMN($E8)+1,1),"MMM")&amp;"!$G$9:$G$999"),IF($C8="","*",$C8)))))*24</f>
        <v>0</v>
      </c>
      <c r="Q8" s="74">
        <f t="shared" ca="1" si="0"/>
        <v>0</v>
      </c>
      <c r="R8" s="74">
        <f t="shared" ca="1" si="1"/>
        <v>0</v>
      </c>
    </row>
    <row r="9" spans="2:18" x14ac:dyDescent="0.3">
      <c r="B9" s="55"/>
      <c r="C9" s="55"/>
      <c r="D9" s="56"/>
      <c r="E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F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G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H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I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J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K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L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M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N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O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P9" s="30">
        <f ca="1">IF(AND($B9="",$C9=""),0,IF($C9="",SUMIFS(INDIRECT(TEXT(DATE(Stammdaten!$D$9,COLUMN()-COLUMN($E9)+1,1),"MMM")&amp;"!$L$9:$L$999"),INDIRECT(TEXT(DATE(Stammdaten!$D$9,COLUMN()-COLUMN($E9)+1,1),"MMM")&amp;"!$F$9:$F$999"),$B9),IF($B9="",SUMIFS(INDIRECT(TEXT(DATE(Stammdaten!$D$9,COLUMN()-COLUMN($E9)+1,1),"MMM")&amp;"!$L$9:$L$999"),INDIRECT(TEXT(DATE(Stammdaten!$D$9,COLUMN()-COLUMN($E9)+1,1),"MMM")&amp;"!$G$9:$G$999"),$C9),SUMIFS(INDIRECT(TEXT(DATE(Stammdaten!$D$9,COLUMN()-COLUMN($E9)+1,1),"MMM")&amp;"!$L$9:$L$999"),INDIRECT(TEXT(DATE(Stammdaten!$D$9,COLUMN()-COLUMN($E9)+1,1),"MMM")&amp;"!$F$9:$F$999"),IF($B9="","*",$B9),INDIRECT(TEXT(DATE(Stammdaten!$D$9,COLUMN()-COLUMN($E9)+1,1),"MMM")&amp;"!$G$9:$G$999"),IF($C9="","*",$C9)))))*24</f>
        <v>0</v>
      </c>
      <c r="Q9" s="74">
        <f t="shared" ca="1" si="0"/>
        <v>0</v>
      </c>
      <c r="R9" s="74">
        <f t="shared" ca="1" si="1"/>
        <v>0</v>
      </c>
    </row>
    <row r="10" spans="2:18" x14ac:dyDescent="0.3">
      <c r="B10" s="55"/>
      <c r="C10" s="55"/>
      <c r="D10" s="56"/>
      <c r="E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F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G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H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I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J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K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L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M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N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O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P10" s="30">
        <f ca="1">IF(AND($B10="",$C10=""),0,IF($C10="",SUMIFS(INDIRECT(TEXT(DATE(Stammdaten!$D$9,COLUMN()-COLUMN($E10)+1,1),"MMM")&amp;"!$L$9:$L$999"),INDIRECT(TEXT(DATE(Stammdaten!$D$9,COLUMN()-COLUMN($E10)+1,1),"MMM")&amp;"!$F$9:$F$999"),$B10),IF($B10="",SUMIFS(INDIRECT(TEXT(DATE(Stammdaten!$D$9,COLUMN()-COLUMN($E10)+1,1),"MMM")&amp;"!$L$9:$L$999"),INDIRECT(TEXT(DATE(Stammdaten!$D$9,COLUMN()-COLUMN($E10)+1,1),"MMM")&amp;"!$G$9:$G$999"),$C10),SUMIFS(INDIRECT(TEXT(DATE(Stammdaten!$D$9,COLUMN()-COLUMN($E10)+1,1),"MMM")&amp;"!$L$9:$L$999"),INDIRECT(TEXT(DATE(Stammdaten!$D$9,COLUMN()-COLUMN($E10)+1,1),"MMM")&amp;"!$F$9:$F$999"),IF($B10="","*",$B10),INDIRECT(TEXT(DATE(Stammdaten!$D$9,COLUMN()-COLUMN($E10)+1,1),"MMM")&amp;"!$G$9:$G$999"),IF($C10="","*",$C10)))))*24</f>
        <v>0</v>
      </c>
      <c r="Q10" s="74">
        <f t="shared" ca="1" si="0"/>
        <v>0</v>
      </c>
      <c r="R10" s="74">
        <f t="shared" ca="1" si="1"/>
        <v>0</v>
      </c>
    </row>
    <row r="11" spans="2:18" x14ac:dyDescent="0.3">
      <c r="B11" s="55"/>
      <c r="C11" s="55"/>
      <c r="D11" s="56"/>
      <c r="E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F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G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H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I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J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K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L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M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N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O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P11" s="30">
        <f ca="1">IF(AND($B11="",$C11=""),0,IF($C11="",SUMIFS(INDIRECT(TEXT(DATE(Stammdaten!$D$9,COLUMN()-COLUMN($E11)+1,1),"MMM")&amp;"!$L$9:$L$999"),INDIRECT(TEXT(DATE(Stammdaten!$D$9,COLUMN()-COLUMN($E11)+1,1),"MMM")&amp;"!$F$9:$F$999"),$B11),IF($B11="",SUMIFS(INDIRECT(TEXT(DATE(Stammdaten!$D$9,COLUMN()-COLUMN($E11)+1,1),"MMM")&amp;"!$L$9:$L$999"),INDIRECT(TEXT(DATE(Stammdaten!$D$9,COLUMN()-COLUMN($E11)+1,1),"MMM")&amp;"!$G$9:$G$999"),$C11),SUMIFS(INDIRECT(TEXT(DATE(Stammdaten!$D$9,COLUMN()-COLUMN($E11)+1,1),"MMM")&amp;"!$L$9:$L$999"),INDIRECT(TEXT(DATE(Stammdaten!$D$9,COLUMN()-COLUMN($E11)+1,1),"MMM")&amp;"!$F$9:$F$999"),IF($B11="","*",$B11),INDIRECT(TEXT(DATE(Stammdaten!$D$9,COLUMN()-COLUMN($E11)+1,1),"MMM")&amp;"!$G$9:$G$999"),IF($C11="","*",$C11)))))*24</f>
        <v>0</v>
      </c>
      <c r="Q11" s="74">
        <f t="shared" ca="1" si="0"/>
        <v>0</v>
      </c>
      <c r="R11" s="74">
        <f t="shared" ca="1" si="1"/>
        <v>0</v>
      </c>
    </row>
    <row r="12" spans="2:18" x14ac:dyDescent="0.3">
      <c r="B12" s="55"/>
      <c r="C12" s="55"/>
      <c r="D12" s="56"/>
      <c r="E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F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G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H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I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J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K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L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M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N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O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P12" s="30">
        <f ca="1">IF(AND($B12="",$C12=""),0,IF($C12="",SUMIFS(INDIRECT(TEXT(DATE(Stammdaten!$D$9,COLUMN()-COLUMN($E12)+1,1),"MMM")&amp;"!$L$9:$L$999"),INDIRECT(TEXT(DATE(Stammdaten!$D$9,COLUMN()-COLUMN($E12)+1,1),"MMM")&amp;"!$F$9:$F$999"),$B12),IF($B12="",SUMIFS(INDIRECT(TEXT(DATE(Stammdaten!$D$9,COLUMN()-COLUMN($E12)+1,1),"MMM")&amp;"!$L$9:$L$999"),INDIRECT(TEXT(DATE(Stammdaten!$D$9,COLUMN()-COLUMN($E12)+1,1),"MMM")&amp;"!$G$9:$G$999"),$C12),SUMIFS(INDIRECT(TEXT(DATE(Stammdaten!$D$9,COLUMN()-COLUMN($E12)+1,1),"MMM")&amp;"!$L$9:$L$999"),INDIRECT(TEXT(DATE(Stammdaten!$D$9,COLUMN()-COLUMN($E12)+1,1),"MMM")&amp;"!$F$9:$F$999"),IF($B12="","*",$B12),INDIRECT(TEXT(DATE(Stammdaten!$D$9,COLUMN()-COLUMN($E12)+1,1),"MMM")&amp;"!$G$9:$G$999"),IF($C12="","*",$C12)))))*24</f>
        <v>0</v>
      </c>
      <c r="Q12" s="74">
        <f t="shared" ca="1" si="0"/>
        <v>0</v>
      </c>
      <c r="R12" s="74">
        <f t="shared" ca="1" si="1"/>
        <v>0</v>
      </c>
    </row>
    <row r="13" spans="2:18" x14ac:dyDescent="0.3">
      <c r="B13" s="55"/>
      <c r="C13" s="55"/>
      <c r="D13" s="56"/>
      <c r="E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F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G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H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I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J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K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L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M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N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O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P13" s="30">
        <f ca="1">IF(AND($B13="",$C13=""),0,IF($C13="",SUMIFS(INDIRECT(TEXT(DATE(Stammdaten!$D$9,COLUMN()-COLUMN($E13)+1,1),"MMM")&amp;"!$L$9:$L$999"),INDIRECT(TEXT(DATE(Stammdaten!$D$9,COLUMN()-COLUMN($E13)+1,1),"MMM")&amp;"!$F$9:$F$999"),$B13),IF($B13="",SUMIFS(INDIRECT(TEXT(DATE(Stammdaten!$D$9,COLUMN()-COLUMN($E13)+1,1),"MMM")&amp;"!$L$9:$L$999"),INDIRECT(TEXT(DATE(Stammdaten!$D$9,COLUMN()-COLUMN($E13)+1,1),"MMM")&amp;"!$G$9:$G$999"),$C13),SUMIFS(INDIRECT(TEXT(DATE(Stammdaten!$D$9,COLUMN()-COLUMN($E13)+1,1),"MMM")&amp;"!$L$9:$L$999"),INDIRECT(TEXT(DATE(Stammdaten!$D$9,COLUMN()-COLUMN($E13)+1,1),"MMM")&amp;"!$F$9:$F$999"),IF($B13="","*",$B13),INDIRECT(TEXT(DATE(Stammdaten!$D$9,COLUMN()-COLUMN($E13)+1,1),"MMM")&amp;"!$G$9:$G$999"),IF($C13="","*",$C13)))))*24</f>
        <v>0</v>
      </c>
      <c r="Q13" s="74">
        <f t="shared" ca="1" si="0"/>
        <v>0</v>
      </c>
      <c r="R13" s="74">
        <f t="shared" ca="1" si="1"/>
        <v>0</v>
      </c>
    </row>
    <row r="14" spans="2:18" x14ac:dyDescent="0.3">
      <c r="B14" s="55"/>
      <c r="C14" s="55"/>
      <c r="D14" s="56"/>
      <c r="E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F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G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H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I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J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K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L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M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N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O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P14" s="30">
        <f ca="1">IF(AND($B14="",$C14=""),0,IF($C14="",SUMIFS(INDIRECT(TEXT(DATE(Stammdaten!$D$9,COLUMN()-COLUMN($E14)+1,1),"MMM")&amp;"!$L$9:$L$999"),INDIRECT(TEXT(DATE(Stammdaten!$D$9,COLUMN()-COLUMN($E14)+1,1),"MMM")&amp;"!$F$9:$F$999"),$B14),IF($B14="",SUMIFS(INDIRECT(TEXT(DATE(Stammdaten!$D$9,COLUMN()-COLUMN($E14)+1,1),"MMM")&amp;"!$L$9:$L$999"),INDIRECT(TEXT(DATE(Stammdaten!$D$9,COLUMN()-COLUMN($E14)+1,1),"MMM")&amp;"!$G$9:$G$999"),$C14),SUMIFS(INDIRECT(TEXT(DATE(Stammdaten!$D$9,COLUMN()-COLUMN($E14)+1,1),"MMM")&amp;"!$L$9:$L$999"),INDIRECT(TEXT(DATE(Stammdaten!$D$9,COLUMN()-COLUMN($E14)+1,1),"MMM")&amp;"!$F$9:$F$999"),IF($B14="","*",$B14),INDIRECT(TEXT(DATE(Stammdaten!$D$9,COLUMN()-COLUMN($E14)+1,1),"MMM")&amp;"!$G$9:$G$999"),IF($C14="","*",$C14)))))*24</f>
        <v>0</v>
      </c>
      <c r="Q14" s="74">
        <f t="shared" ca="1" si="0"/>
        <v>0</v>
      </c>
      <c r="R14" s="74">
        <f t="shared" ca="1" si="1"/>
        <v>0</v>
      </c>
    </row>
    <row r="15" spans="2:18" x14ac:dyDescent="0.3">
      <c r="B15" s="55"/>
      <c r="C15" s="55"/>
      <c r="D15" s="56"/>
      <c r="E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F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G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H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I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J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K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L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M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N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O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P15" s="30">
        <f ca="1">IF(AND($B15="",$C15=""),0,IF($C15="",SUMIFS(INDIRECT(TEXT(DATE(Stammdaten!$D$9,COLUMN()-COLUMN($E15)+1,1),"MMM")&amp;"!$L$9:$L$999"),INDIRECT(TEXT(DATE(Stammdaten!$D$9,COLUMN()-COLUMN($E15)+1,1),"MMM")&amp;"!$F$9:$F$999"),$B15),IF($B15="",SUMIFS(INDIRECT(TEXT(DATE(Stammdaten!$D$9,COLUMN()-COLUMN($E15)+1,1),"MMM")&amp;"!$L$9:$L$999"),INDIRECT(TEXT(DATE(Stammdaten!$D$9,COLUMN()-COLUMN($E15)+1,1),"MMM")&amp;"!$G$9:$G$999"),$C15),SUMIFS(INDIRECT(TEXT(DATE(Stammdaten!$D$9,COLUMN()-COLUMN($E15)+1,1),"MMM")&amp;"!$L$9:$L$999"),INDIRECT(TEXT(DATE(Stammdaten!$D$9,COLUMN()-COLUMN($E15)+1,1),"MMM")&amp;"!$F$9:$F$999"),IF($B15="","*",$B15),INDIRECT(TEXT(DATE(Stammdaten!$D$9,COLUMN()-COLUMN($E15)+1,1),"MMM")&amp;"!$G$9:$G$999"),IF($C15="","*",$C15)))))*24</f>
        <v>0</v>
      </c>
      <c r="Q15" s="74">
        <f t="shared" ca="1" si="0"/>
        <v>0</v>
      </c>
      <c r="R15" s="74">
        <f t="shared" ca="1" si="1"/>
        <v>0</v>
      </c>
    </row>
    <row r="16" spans="2:18" x14ac:dyDescent="0.3">
      <c r="B16" s="55"/>
      <c r="C16" s="55"/>
      <c r="D16" s="56"/>
      <c r="E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F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G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H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I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J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K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L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M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N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O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P16" s="30">
        <f ca="1">IF(AND($B16="",$C16=""),0,IF($C16="",SUMIFS(INDIRECT(TEXT(DATE(Stammdaten!$D$9,COLUMN()-COLUMN($E16)+1,1),"MMM")&amp;"!$L$9:$L$999"),INDIRECT(TEXT(DATE(Stammdaten!$D$9,COLUMN()-COLUMN($E16)+1,1),"MMM")&amp;"!$F$9:$F$999"),$B16),IF($B16="",SUMIFS(INDIRECT(TEXT(DATE(Stammdaten!$D$9,COLUMN()-COLUMN($E16)+1,1),"MMM")&amp;"!$L$9:$L$999"),INDIRECT(TEXT(DATE(Stammdaten!$D$9,COLUMN()-COLUMN($E16)+1,1),"MMM")&amp;"!$G$9:$G$999"),$C16),SUMIFS(INDIRECT(TEXT(DATE(Stammdaten!$D$9,COLUMN()-COLUMN($E16)+1,1),"MMM")&amp;"!$L$9:$L$999"),INDIRECT(TEXT(DATE(Stammdaten!$D$9,COLUMN()-COLUMN($E16)+1,1),"MMM")&amp;"!$F$9:$F$999"),IF($B16="","*",$B16),INDIRECT(TEXT(DATE(Stammdaten!$D$9,COLUMN()-COLUMN($E16)+1,1),"MMM")&amp;"!$G$9:$G$999"),IF($C16="","*",$C16)))))*24</f>
        <v>0</v>
      </c>
      <c r="Q16" s="74">
        <f t="shared" ca="1" si="0"/>
        <v>0</v>
      </c>
      <c r="R16" s="74">
        <f t="shared" ca="1" si="1"/>
        <v>0</v>
      </c>
    </row>
    <row r="17" spans="2:22" x14ac:dyDescent="0.3">
      <c r="B17" s="55"/>
      <c r="C17" s="55"/>
      <c r="D17" s="56"/>
      <c r="E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F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G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H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I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J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K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L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M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N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O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P17" s="30">
        <f ca="1">IF(AND($B17="",$C17=""),0,IF($C17="",SUMIFS(INDIRECT(TEXT(DATE(Stammdaten!$D$9,COLUMN()-COLUMN($E17)+1,1),"MMM")&amp;"!$L$9:$L$999"),INDIRECT(TEXT(DATE(Stammdaten!$D$9,COLUMN()-COLUMN($E17)+1,1),"MMM")&amp;"!$F$9:$F$999"),$B17),IF($B17="",SUMIFS(INDIRECT(TEXT(DATE(Stammdaten!$D$9,COLUMN()-COLUMN($E17)+1,1),"MMM")&amp;"!$L$9:$L$999"),INDIRECT(TEXT(DATE(Stammdaten!$D$9,COLUMN()-COLUMN($E17)+1,1),"MMM")&amp;"!$G$9:$G$999"),$C17),SUMIFS(INDIRECT(TEXT(DATE(Stammdaten!$D$9,COLUMN()-COLUMN($E17)+1,1),"MMM")&amp;"!$L$9:$L$999"),INDIRECT(TEXT(DATE(Stammdaten!$D$9,COLUMN()-COLUMN($E17)+1,1),"MMM")&amp;"!$F$9:$F$999"),IF($B17="","*",$B17),INDIRECT(TEXT(DATE(Stammdaten!$D$9,COLUMN()-COLUMN($E17)+1,1),"MMM")&amp;"!$G$9:$G$999"),IF($C17="","*",$C17)))))*24</f>
        <v>0</v>
      </c>
      <c r="Q17" s="74">
        <f t="shared" ca="1" si="0"/>
        <v>0</v>
      </c>
      <c r="R17" s="74">
        <f t="shared" ca="1" si="1"/>
        <v>0</v>
      </c>
    </row>
    <row r="18" spans="2:22" x14ac:dyDescent="0.3">
      <c r="B18" s="55"/>
      <c r="C18" s="55"/>
      <c r="D18" s="56"/>
      <c r="E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F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G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H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I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J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K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L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M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N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O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P18" s="30">
        <f ca="1">IF(AND($B18="",$C18=""),0,IF($C18="",SUMIFS(INDIRECT(TEXT(DATE(Stammdaten!$D$9,COLUMN()-COLUMN($E18)+1,1),"MMM")&amp;"!$L$9:$L$999"),INDIRECT(TEXT(DATE(Stammdaten!$D$9,COLUMN()-COLUMN($E18)+1,1),"MMM")&amp;"!$F$9:$F$999"),$B18),IF($B18="",SUMIFS(INDIRECT(TEXT(DATE(Stammdaten!$D$9,COLUMN()-COLUMN($E18)+1,1),"MMM")&amp;"!$L$9:$L$999"),INDIRECT(TEXT(DATE(Stammdaten!$D$9,COLUMN()-COLUMN($E18)+1,1),"MMM")&amp;"!$G$9:$G$999"),$C18),SUMIFS(INDIRECT(TEXT(DATE(Stammdaten!$D$9,COLUMN()-COLUMN($E18)+1,1),"MMM")&amp;"!$L$9:$L$999"),INDIRECT(TEXT(DATE(Stammdaten!$D$9,COLUMN()-COLUMN($E18)+1,1),"MMM")&amp;"!$F$9:$F$999"),IF($B18="","*",$B18),INDIRECT(TEXT(DATE(Stammdaten!$D$9,COLUMN()-COLUMN($E18)+1,1),"MMM")&amp;"!$G$9:$G$999"),IF($C18="","*",$C18)))))*24</f>
        <v>0</v>
      </c>
      <c r="Q18" s="74">
        <f t="shared" ca="1" si="0"/>
        <v>0</v>
      </c>
      <c r="R18" s="74">
        <f t="shared" ca="1" si="1"/>
        <v>0</v>
      </c>
    </row>
    <row r="19" spans="2:22" x14ac:dyDescent="0.3">
      <c r="B19" s="55"/>
      <c r="C19" s="55"/>
      <c r="D19" s="56"/>
      <c r="E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F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G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H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I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J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K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L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M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N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O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P19" s="30">
        <f ca="1">IF(AND($B19="",$C19=""),0,IF($C19="",SUMIFS(INDIRECT(TEXT(DATE(Stammdaten!$D$9,COLUMN()-COLUMN($E19)+1,1),"MMM")&amp;"!$L$9:$L$999"),INDIRECT(TEXT(DATE(Stammdaten!$D$9,COLUMN()-COLUMN($E19)+1,1),"MMM")&amp;"!$F$9:$F$999"),$B19),IF($B19="",SUMIFS(INDIRECT(TEXT(DATE(Stammdaten!$D$9,COLUMN()-COLUMN($E19)+1,1),"MMM")&amp;"!$L$9:$L$999"),INDIRECT(TEXT(DATE(Stammdaten!$D$9,COLUMN()-COLUMN($E19)+1,1),"MMM")&amp;"!$G$9:$G$999"),$C19),SUMIFS(INDIRECT(TEXT(DATE(Stammdaten!$D$9,COLUMN()-COLUMN($E19)+1,1),"MMM")&amp;"!$L$9:$L$999"),INDIRECT(TEXT(DATE(Stammdaten!$D$9,COLUMN()-COLUMN($E19)+1,1),"MMM")&amp;"!$F$9:$F$999"),IF($B19="","*",$B19),INDIRECT(TEXT(DATE(Stammdaten!$D$9,COLUMN()-COLUMN($E19)+1,1),"MMM")&amp;"!$G$9:$G$999"),IF($C19="","*",$C19)))))*24</f>
        <v>0</v>
      </c>
      <c r="Q19" s="74">
        <f t="shared" ca="1" si="0"/>
        <v>0</v>
      </c>
      <c r="R19" s="74">
        <f t="shared" ca="1" si="1"/>
        <v>0</v>
      </c>
    </row>
    <row r="20" spans="2:22" x14ac:dyDescent="0.3">
      <c r="B20" s="55"/>
      <c r="C20" s="55"/>
      <c r="D20" s="56"/>
      <c r="E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F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G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H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I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J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K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L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M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N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O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P20" s="30">
        <f ca="1">IF(AND($B20="",$C20=""),0,IF($C20="",SUMIFS(INDIRECT(TEXT(DATE(Stammdaten!$D$9,COLUMN()-COLUMN($E20)+1,1),"MMM")&amp;"!$L$9:$L$999"),INDIRECT(TEXT(DATE(Stammdaten!$D$9,COLUMN()-COLUMN($E20)+1,1),"MMM")&amp;"!$F$9:$F$999"),$B20),IF($B20="",SUMIFS(INDIRECT(TEXT(DATE(Stammdaten!$D$9,COLUMN()-COLUMN($E20)+1,1),"MMM")&amp;"!$L$9:$L$999"),INDIRECT(TEXT(DATE(Stammdaten!$D$9,COLUMN()-COLUMN($E20)+1,1),"MMM")&amp;"!$G$9:$G$999"),$C20),SUMIFS(INDIRECT(TEXT(DATE(Stammdaten!$D$9,COLUMN()-COLUMN($E20)+1,1),"MMM")&amp;"!$L$9:$L$999"),INDIRECT(TEXT(DATE(Stammdaten!$D$9,COLUMN()-COLUMN($E20)+1,1),"MMM")&amp;"!$F$9:$F$999"),IF($B20="","*",$B20),INDIRECT(TEXT(DATE(Stammdaten!$D$9,COLUMN()-COLUMN($E20)+1,1),"MMM")&amp;"!$G$9:$G$999"),IF($C20="","*",$C20)))))*24</f>
        <v>0</v>
      </c>
      <c r="Q20" s="74">
        <f t="shared" ca="1" si="0"/>
        <v>0</v>
      </c>
      <c r="R20" s="74">
        <f t="shared" ca="1" si="1"/>
        <v>0</v>
      </c>
    </row>
    <row r="21" spans="2:22" x14ac:dyDescent="0.3">
      <c r="B21" s="55"/>
      <c r="C21" s="55"/>
      <c r="D21" s="56"/>
      <c r="E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F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G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H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I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J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K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L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M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N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O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P21" s="30">
        <f ca="1">IF(AND($B21="",$C21=""),0,IF($C21="",SUMIFS(INDIRECT(TEXT(DATE(Stammdaten!$D$9,COLUMN()-COLUMN($E21)+1,1),"MMM")&amp;"!$L$9:$L$999"),INDIRECT(TEXT(DATE(Stammdaten!$D$9,COLUMN()-COLUMN($E21)+1,1),"MMM")&amp;"!$F$9:$F$999"),$B21),IF($B21="",SUMIFS(INDIRECT(TEXT(DATE(Stammdaten!$D$9,COLUMN()-COLUMN($E21)+1,1),"MMM")&amp;"!$L$9:$L$999"),INDIRECT(TEXT(DATE(Stammdaten!$D$9,COLUMN()-COLUMN($E21)+1,1),"MMM")&amp;"!$G$9:$G$999"),$C21),SUMIFS(INDIRECT(TEXT(DATE(Stammdaten!$D$9,COLUMN()-COLUMN($E21)+1,1),"MMM")&amp;"!$L$9:$L$999"),INDIRECT(TEXT(DATE(Stammdaten!$D$9,COLUMN()-COLUMN($E21)+1,1),"MMM")&amp;"!$F$9:$F$999"),IF($B21="","*",$B21),INDIRECT(TEXT(DATE(Stammdaten!$D$9,COLUMN()-COLUMN($E21)+1,1),"MMM")&amp;"!$G$9:$G$999"),IF($C21="","*",$C21)))))*24</f>
        <v>0</v>
      </c>
      <c r="Q21" s="74">
        <f t="shared" ca="1" si="0"/>
        <v>0</v>
      </c>
      <c r="R21" s="74">
        <f t="shared" ca="1" si="1"/>
        <v>0</v>
      </c>
      <c r="V21" s="47"/>
    </row>
    <row r="22" spans="2:22" x14ac:dyDescent="0.3">
      <c r="B22" s="55"/>
      <c r="C22" s="55"/>
      <c r="D22" s="56"/>
      <c r="E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F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G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H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I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J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K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L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M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N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O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P22" s="30">
        <f ca="1">IF(AND($B22="",$C22=""),0,IF($C22="",SUMIFS(INDIRECT(TEXT(DATE(Stammdaten!$D$9,COLUMN()-COLUMN($E22)+1,1),"MMM")&amp;"!$L$9:$L$999"),INDIRECT(TEXT(DATE(Stammdaten!$D$9,COLUMN()-COLUMN($E22)+1,1),"MMM")&amp;"!$F$9:$F$999"),$B22),IF($B22="",SUMIFS(INDIRECT(TEXT(DATE(Stammdaten!$D$9,COLUMN()-COLUMN($E22)+1,1),"MMM")&amp;"!$L$9:$L$999"),INDIRECT(TEXT(DATE(Stammdaten!$D$9,COLUMN()-COLUMN($E22)+1,1),"MMM")&amp;"!$G$9:$G$999"),$C22),SUMIFS(INDIRECT(TEXT(DATE(Stammdaten!$D$9,COLUMN()-COLUMN($E22)+1,1),"MMM")&amp;"!$L$9:$L$999"),INDIRECT(TEXT(DATE(Stammdaten!$D$9,COLUMN()-COLUMN($E22)+1,1),"MMM")&amp;"!$F$9:$F$999"),IF($B22="","*",$B22),INDIRECT(TEXT(DATE(Stammdaten!$D$9,COLUMN()-COLUMN($E22)+1,1),"MMM")&amp;"!$G$9:$G$999"),IF($C22="","*",$C22)))))*24</f>
        <v>0</v>
      </c>
      <c r="Q22" s="74">
        <f t="shared" ca="1" si="0"/>
        <v>0</v>
      </c>
      <c r="R22" s="74">
        <f t="shared" ca="1" si="1"/>
        <v>0</v>
      </c>
    </row>
    <row r="23" spans="2:22" x14ac:dyDescent="0.3">
      <c r="B23" s="55"/>
      <c r="C23" s="55"/>
      <c r="D23" s="56"/>
      <c r="E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F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G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H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I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J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K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L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M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N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O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P23" s="30">
        <f ca="1">IF(AND($B23="",$C23=""),0,IF($C23="",SUMIFS(INDIRECT(TEXT(DATE(Stammdaten!$D$9,COLUMN()-COLUMN($E23)+1,1),"MMM")&amp;"!$L$9:$L$999"),INDIRECT(TEXT(DATE(Stammdaten!$D$9,COLUMN()-COLUMN($E23)+1,1),"MMM")&amp;"!$F$9:$F$999"),$B23),IF($B23="",SUMIFS(INDIRECT(TEXT(DATE(Stammdaten!$D$9,COLUMN()-COLUMN($E23)+1,1),"MMM")&amp;"!$L$9:$L$999"),INDIRECT(TEXT(DATE(Stammdaten!$D$9,COLUMN()-COLUMN($E23)+1,1),"MMM")&amp;"!$G$9:$G$999"),$C23),SUMIFS(INDIRECT(TEXT(DATE(Stammdaten!$D$9,COLUMN()-COLUMN($E23)+1,1),"MMM")&amp;"!$L$9:$L$999"),INDIRECT(TEXT(DATE(Stammdaten!$D$9,COLUMN()-COLUMN($E23)+1,1),"MMM")&amp;"!$F$9:$F$999"),IF($B23="","*",$B23),INDIRECT(TEXT(DATE(Stammdaten!$D$9,COLUMN()-COLUMN($E23)+1,1),"MMM")&amp;"!$G$9:$G$999"),IF($C23="","*",$C23)))))*24</f>
        <v>0</v>
      </c>
      <c r="Q23" s="74">
        <f t="shared" ca="1" si="0"/>
        <v>0</v>
      </c>
      <c r="R23" s="74">
        <f t="shared" ca="1" si="1"/>
        <v>0</v>
      </c>
    </row>
    <row r="24" spans="2:22" x14ac:dyDescent="0.3">
      <c r="B24" s="55"/>
      <c r="C24" s="55"/>
      <c r="D24" s="56"/>
      <c r="E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F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G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H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I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J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K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L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M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N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O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P24" s="30">
        <f ca="1">IF(AND($B24="",$C24=""),0,IF($C24="",SUMIFS(INDIRECT(TEXT(DATE(Stammdaten!$D$9,COLUMN()-COLUMN($E24)+1,1),"MMM")&amp;"!$L$9:$L$999"),INDIRECT(TEXT(DATE(Stammdaten!$D$9,COLUMN()-COLUMN($E24)+1,1),"MMM")&amp;"!$F$9:$F$999"),$B24),IF($B24="",SUMIFS(INDIRECT(TEXT(DATE(Stammdaten!$D$9,COLUMN()-COLUMN($E24)+1,1),"MMM")&amp;"!$L$9:$L$999"),INDIRECT(TEXT(DATE(Stammdaten!$D$9,COLUMN()-COLUMN($E24)+1,1),"MMM")&amp;"!$G$9:$G$999"),$C24),SUMIFS(INDIRECT(TEXT(DATE(Stammdaten!$D$9,COLUMN()-COLUMN($E24)+1,1),"MMM")&amp;"!$L$9:$L$999"),INDIRECT(TEXT(DATE(Stammdaten!$D$9,COLUMN()-COLUMN($E24)+1,1),"MMM")&amp;"!$F$9:$F$999"),IF($B24="","*",$B24),INDIRECT(TEXT(DATE(Stammdaten!$D$9,COLUMN()-COLUMN($E24)+1,1),"MMM")&amp;"!$G$9:$G$999"),IF($C24="","*",$C24)))))*24</f>
        <v>0</v>
      </c>
      <c r="Q24" s="74">
        <f t="shared" ca="1" si="0"/>
        <v>0</v>
      </c>
      <c r="R24" s="74">
        <f t="shared" ca="1" si="1"/>
        <v>0</v>
      </c>
    </row>
    <row r="25" spans="2:22" x14ac:dyDescent="0.3">
      <c r="B25" s="55"/>
      <c r="C25" s="55"/>
      <c r="D25" s="56"/>
      <c r="E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F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G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H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I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J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K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L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M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N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O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P25" s="30">
        <f ca="1">IF(AND($B25="",$C25=""),0,IF($C25="",SUMIFS(INDIRECT(TEXT(DATE(Stammdaten!$D$9,COLUMN()-COLUMN($E25)+1,1),"MMM")&amp;"!$L$9:$L$999"),INDIRECT(TEXT(DATE(Stammdaten!$D$9,COLUMN()-COLUMN($E25)+1,1),"MMM")&amp;"!$F$9:$F$999"),$B25),IF($B25="",SUMIFS(INDIRECT(TEXT(DATE(Stammdaten!$D$9,COLUMN()-COLUMN($E25)+1,1),"MMM")&amp;"!$L$9:$L$999"),INDIRECT(TEXT(DATE(Stammdaten!$D$9,COLUMN()-COLUMN($E25)+1,1),"MMM")&amp;"!$G$9:$G$999"),$C25),SUMIFS(INDIRECT(TEXT(DATE(Stammdaten!$D$9,COLUMN()-COLUMN($E25)+1,1),"MMM")&amp;"!$L$9:$L$999"),INDIRECT(TEXT(DATE(Stammdaten!$D$9,COLUMN()-COLUMN($E25)+1,1),"MMM")&amp;"!$F$9:$F$999"),IF($B25="","*",$B25),INDIRECT(TEXT(DATE(Stammdaten!$D$9,COLUMN()-COLUMN($E25)+1,1),"MMM")&amp;"!$G$9:$G$999"),IF($C25="","*",$C25)))))*24</f>
        <v>0</v>
      </c>
      <c r="Q25" s="74">
        <f t="shared" ca="1" si="0"/>
        <v>0</v>
      </c>
      <c r="R25" s="74">
        <f t="shared" ca="1" si="1"/>
        <v>0</v>
      </c>
    </row>
    <row r="26" spans="2:22" x14ac:dyDescent="0.3">
      <c r="B26" s="55"/>
      <c r="C26" s="55"/>
      <c r="D26" s="56"/>
      <c r="E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F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G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H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I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J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K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L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M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N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O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P26" s="30">
        <f ca="1">IF(AND($B26="",$C26=""),0,IF($C26="",SUMIFS(INDIRECT(TEXT(DATE(Stammdaten!$D$9,COLUMN()-COLUMN($E26)+1,1),"MMM")&amp;"!$L$9:$L$999"),INDIRECT(TEXT(DATE(Stammdaten!$D$9,COLUMN()-COLUMN($E26)+1,1),"MMM")&amp;"!$F$9:$F$999"),$B26),IF($B26="",SUMIFS(INDIRECT(TEXT(DATE(Stammdaten!$D$9,COLUMN()-COLUMN($E26)+1,1),"MMM")&amp;"!$L$9:$L$999"),INDIRECT(TEXT(DATE(Stammdaten!$D$9,COLUMN()-COLUMN($E26)+1,1),"MMM")&amp;"!$G$9:$G$999"),$C26),SUMIFS(INDIRECT(TEXT(DATE(Stammdaten!$D$9,COLUMN()-COLUMN($E26)+1,1),"MMM")&amp;"!$L$9:$L$999"),INDIRECT(TEXT(DATE(Stammdaten!$D$9,COLUMN()-COLUMN($E26)+1,1),"MMM")&amp;"!$F$9:$F$999"),IF($B26="","*",$B26),INDIRECT(TEXT(DATE(Stammdaten!$D$9,COLUMN()-COLUMN($E26)+1,1),"MMM")&amp;"!$G$9:$G$999"),IF($C26="","*",$C26)))))*24</f>
        <v>0</v>
      </c>
      <c r="Q26" s="74">
        <f t="shared" ca="1" si="0"/>
        <v>0</v>
      </c>
      <c r="R26" s="74">
        <f t="shared" ca="1" si="1"/>
        <v>0</v>
      </c>
    </row>
    <row r="27" spans="2:22" x14ac:dyDescent="0.3">
      <c r="B27" s="55"/>
      <c r="C27" s="55"/>
      <c r="D27" s="56"/>
      <c r="E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F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G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H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I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J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K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L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M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N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O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P27" s="30">
        <f ca="1">IF(AND($B27="",$C27=""),0,IF($C27="",SUMIFS(INDIRECT(TEXT(DATE(Stammdaten!$D$9,COLUMN()-COLUMN($E27)+1,1),"MMM")&amp;"!$L$9:$L$999"),INDIRECT(TEXT(DATE(Stammdaten!$D$9,COLUMN()-COLUMN($E27)+1,1),"MMM")&amp;"!$F$9:$F$999"),$B27),IF($B27="",SUMIFS(INDIRECT(TEXT(DATE(Stammdaten!$D$9,COLUMN()-COLUMN($E27)+1,1),"MMM")&amp;"!$L$9:$L$999"),INDIRECT(TEXT(DATE(Stammdaten!$D$9,COLUMN()-COLUMN($E27)+1,1),"MMM")&amp;"!$G$9:$G$999"),$C27),SUMIFS(INDIRECT(TEXT(DATE(Stammdaten!$D$9,COLUMN()-COLUMN($E27)+1,1),"MMM")&amp;"!$L$9:$L$999"),INDIRECT(TEXT(DATE(Stammdaten!$D$9,COLUMN()-COLUMN($E27)+1,1),"MMM")&amp;"!$F$9:$F$999"),IF($B27="","*",$B27),INDIRECT(TEXT(DATE(Stammdaten!$D$9,COLUMN()-COLUMN($E27)+1,1),"MMM")&amp;"!$G$9:$G$999"),IF($C27="","*",$C27)))))*24</f>
        <v>0</v>
      </c>
      <c r="Q27" s="74">
        <f t="shared" ca="1" si="0"/>
        <v>0</v>
      </c>
      <c r="R27" s="74">
        <f t="shared" ca="1" si="1"/>
        <v>0</v>
      </c>
    </row>
    <row r="28" spans="2:22" x14ac:dyDescent="0.3">
      <c r="B28" s="55"/>
      <c r="C28" s="55"/>
      <c r="D28" s="56"/>
      <c r="E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F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G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H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I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J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K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L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M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N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O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P28" s="30">
        <f ca="1">IF(AND($B28="",$C28=""),0,IF($C28="",SUMIFS(INDIRECT(TEXT(DATE(Stammdaten!$D$9,COLUMN()-COLUMN($E28)+1,1),"MMM")&amp;"!$L$9:$L$999"),INDIRECT(TEXT(DATE(Stammdaten!$D$9,COLUMN()-COLUMN($E28)+1,1),"MMM")&amp;"!$F$9:$F$999"),$B28),IF($B28="",SUMIFS(INDIRECT(TEXT(DATE(Stammdaten!$D$9,COLUMN()-COLUMN($E28)+1,1),"MMM")&amp;"!$L$9:$L$999"),INDIRECT(TEXT(DATE(Stammdaten!$D$9,COLUMN()-COLUMN($E28)+1,1),"MMM")&amp;"!$G$9:$G$999"),$C28),SUMIFS(INDIRECT(TEXT(DATE(Stammdaten!$D$9,COLUMN()-COLUMN($E28)+1,1),"MMM")&amp;"!$L$9:$L$999"),INDIRECT(TEXT(DATE(Stammdaten!$D$9,COLUMN()-COLUMN($E28)+1,1),"MMM")&amp;"!$F$9:$F$999"),IF($B28="","*",$B28),INDIRECT(TEXT(DATE(Stammdaten!$D$9,COLUMN()-COLUMN($E28)+1,1),"MMM")&amp;"!$G$9:$G$999"),IF($C28="","*",$C28)))))*24</f>
        <v>0</v>
      </c>
      <c r="Q28" s="74">
        <f t="shared" ca="1" si="0"/>
        <v>0</v>
      </c>
      <c r="R28" s="74">
        <f t="shared" ca="1" si="1"/>
        <v>0</v>
      </c>
    </row>
    <row r="29" spans="2:22" x14ac:dyDescent="0.3">
      <c r="B29" s="55"/>
      <c r="C29" s="55"/>
      <c r="D29" s="56"/>
      <c r="E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F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G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H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I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J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K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L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M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N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O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P29" s="30">
        <f ca="1">IF(AND($B29="",$C29=""),0,IF($C29="",SUMIFS(INDIRECT(TEXT(DATE(Stammdaten!$D$9,COLUMN()-COLUMN($E29)+1,1),"MMM")&amp;"!$L$9:$L$999"),INDIRECT(TEXT(DATE(Stammdaten!$D$9,COLUMN()-COLUMN($E29)+1,1),"MMM")&amp;"!$F$9:$F$999"),$B29),IF($B29="",SUMIFS(INDIRECT(TEXT(DATE(Stammdaten!$D$9,COLUMN()-COLUMN($E29)+1,1),"MMM")&amp;"!$L$9:$L$999"),INDIRECT(TEXT(DATE(Stammdaten!$D$9,COLUMN()-COLUMN($E29)+1,1),"MMM")&amp;"!$G$9:$G$999"),$C29),SUMIFS(INDIRECT(TEXT(DATE(Stammdaten!$D$9,COLUMN()-COLUMN($E29)+1,1),"MMM")&amp;"!$L$9:$L$999"),INDIRECT(TEXT(DATE(Stammdaten!$D$9,COLUMN()-COLUMN($E29)+1,1),"MMM")&amp;"!$F$9:$F$999"),IF($B29="","*",$B29),INDIRECT(TEXT(DATE(Stammdaten!$D$9,COLUMN()-COLUMN($E29)+1,1),"MMM")&amp;"!$G$9:$G$999"),IF($C29="","*",$C29)))))*24</f>
        <v>0</v>
      </c>
      <c r="Q29" s="74">
        <f t="shared" ca="1" si="0"/>
        <v>0</v>
      </c>
      <c r="R29" s="74">
        <f t="shared" ca="1" si="1"/>
        <v>0</v>
      </c>
    </row>
    <row r="30" spans="2:22" x14ac:dyDescent="0.3">
      <c r="B30" s="57"/>
      <c r="C30" s="55"/>
      <c r="D30" s="56"/>
      <c r="E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F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G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H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I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J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K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L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M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N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O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P30" s="30">
        <f ca="1">IF(AND($B30="",$C30=""),0,IF($C30="",SUMIFS(INDIRECT(TEXT(DATE(Stammdaten!$D$9,COLUMN()-COLUMN($E30)+1,1),"MMM")&amp;"!$L$9:$L$999"),INDIRECT(TEXT(DATE(Stammdaten!$D$9,COLUMN()-COLUMN($E30)+1,1),"MMM")&amp;"!$F$9:$F$999"),$B30),IF($B30="",SUMIFS(INDIRECT(TEXT(DATE(Stammdaten!$D$9,COLUMN()-COLUMN($E30)+1,1),"MMM")&amp;"!$L$9:$L$999"),INDIRECT(TEXT(DATE(Stammdaten!$D$9,COLUMN()-COLUMN($E30)+1,1),"MMM")&amp;"!$G$9:$G$999"),$C30),SUMIFS(INDIRECT(TEXT(DATE(Stammdaten!$D$9,COLUMN()-COLUMN($E30)+1,1),"MMM")&amp;"!$L$9:$L$999"),INDIRECT(TEXT(DATE(Stammdaten!$D$9,COLUMN()-COLUMN($E30)+1,1),"MMM")&amp;"!$F$9:$F$999"),IF($B30="","*",$B30),INDIRECT(TEXT(DATE(Stammdaten!$D$9,COLUMN()-COLUMN($E30)+1,1),"MMM")&amp;"!$G$9:$G$999"),IF($C30="","*",$C30)))))*24</f>
        <v>0</v>
      </c>
      <c r="Q30" s="74">
        <f t="shared" ca="1" si="0"/>
        <v>0</v>
      </c>
      <c r="R30" s="74">
        <f t="shared" ca="1" si="1"/>
        <v>0</v>
      </c>
    </row>
    <row r="31" spans="2:22" x14ac:dyDescent="0.3">
      <c r="B31" s="55"/>
      <c r="C31" s="55"/>
      <c r="D31" s="56"/>
      <c r="E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F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G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H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I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J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K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L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M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N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O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P31" s="30">
        <f ca="1">IF(AND($B31="",$C31=""),0,IF($C31="",SUMIFS(INDIRECT(TEXT(DATE(Stammdaten!$D$9,COLUMN()-COLUMN($E31)+1,1),"MMM")&amp;"!$L$9:$L$999"),INDIRECT(TEXT(DATE(Stammdaten!$D$9,COLUMN()-COLUMN($E31)+1,1),"MMM")&amp;"!$F$9:$F$999"),$B31),IF($B31="",SUMIFS(INDIRECT(TEXT(DATE(Stammdaten!$D$9,COLUMN()-COLUMN($E31)+1,1),"MMM")&amp;"!$L$9:$L$999"),INDIRECT(TEXT(DATE(Stammdaten!$D$9,COLUMN()-COLUMN($E31)+1,1),"MMM")&amp;"!$G$9:$G$999"),$C31),SUMIFS(INDIRECT(TEXT(DATE(Stammdaten!$D$9,COLUMN()-COLUMN($E31)+1,1),"MMM")&amp;"!$L$9:$L$999"),INDIRECT(TEXT(DATE(Stammdaten!$D$9,COLUMN()-COLUMN($E31)+1,1),"MMM")&amp;"!$F$9:$F$999"),IF($B31="","*",$B31),INDIRECT(TEXT(DATE(Stammdaten!$D$9,COLUMN()-COLUMN($E31)+1,1),"MMM")&amp;"!$G$9:$G$999"),IF($C31="","*",$C31)))))*24</f>
        <v>0</v>
      </c>
      <c r="Q31" s="74">
        <f t="shared" ca="1" si="0"/>
        <v>0</v>
      </c>
      <c r="R31" s="74">
        <f t="shared" ca="1" si="1"/>
        <v>0</v>
      </c>
    </row>
    <row r="32" spans="2:22" x14ac:dyDescent="0.3">
      <c r="B32" s="55"/>
      <c r="C32" s="55"/>
      <c r="D32" s="56"/>
      <c r="E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F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G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H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I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J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K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L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M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N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O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P32" s="30">
        <f ca="1">IF(AND($B32="",$C32=""),0,IF($C32="",SUMIFS(INDIRECT(TEXT(DATE(Stammdaten!$D$9,COLUMN()-COLUMN($E32)+1,1),"MMM")&amp;"!$L$9:$L$999"),INDIRECT(TEXT(DATE(Stammdaten!$D$9,COLUMN()-COLUMN($E32)+1,1),"MMM")&amp;"!$F$9:$F$999"),$B32),IF($B32="",SUMIFS(INDIRECT(TEXT(DATE(Stammdaten!$D$9,COLUMN()-COLUMN($E32)+1,1),"MMM")&amp;"!$L$9:$L$999"),INDIRECT(TEXT(DATE(Stammdaten!$D$9,COLUMN()-COLUMN($E32)+1,1),"MMM")&amp;"!$G$9:$G$999"),$C32),SUMIFS(INDIRECT(TEXT(DATE(Stammdaten!$D$9,COLUMN()-COLUMN($E32)+1,1),"MMM")&amp;"!$L$9:$L$999"),INDIRECT(TEXT(DATE(Stammdaten!$D$9,COLUMN()-COLUMN($E32)+1,1),"MMM")&amp;"!$F$9:$F$999"),IF($B32="","*",$B32),INDIRECT(TEXT(DATE(Stammdaten!$D$9,COLUMN()-COLUMN($E32)+1,1),"MMM")&amp;"!$G$9:$G$999"),IF($C32="","*",$C32)))))*24</f>
        <v>0</v>
      </c>
      <c r="Q32" s="74">
        <f t="shared" ca="1" si="0"/>
        <v>0</v>
      </c>
      <c r="R32" s="74">
        <f t="shared" ca="1" si="1"/>
        <v>0</v>
      </c>
    </row>
    <row r="33" spans="2:18" x14ac:dyDescent="0.3">
      <c r="B33" s="55"/>
      <c r="C33" s="55"/>
      <c r="D33" s="56"/>
      <c r="E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F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G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H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I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J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K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L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M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N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O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P33" s="30">
        <f ca="1">IF(AND($B33="",$C33=""),0,IF($C33="",SUMIFS(INDIRECT(TEXT(DATE(Stammdaten!$D$9,COLUMN()-COLUMN($E33)+1,1),"MMM")&amp;"!$L$9:$L$999"),INDIRECT(TEXT(DATE(Stammdaten!$D$9,COLUMN()-COLUMN($E33)+1,1),"MMM")&amp;"!$F$9:$F$999"),$B33),IF($B33="",SUMIFS(INDIRECT(TEXT(DATE(Stammdaten!$D$9,COLUMN()-COLUMN($E33)+1,1),"MMM")&amp;"!$L$9:$L$999"),INDIRECT(TEXT(DATE(Stammdaten!$D$9,COLUMN()-COLUMN($E33)+1,1),"MMM")&amp;"!$G$9:$G$999"),$C33),SUMIFS(INDIRECT(TEXT(DATE(Stammdaten!$D$9,COLUMN()-COLUMN($E33)+1,1),"MMM")&amp;"!$L$9:$L$999"),INDIRECT(TEXT(DATE(Stammdaten!$D$9,COLUMN()-COLUMN($E33)+1,1),"MMM")&amp;"!$F$9:$F$999"),IF($B33="","*",$B33),INDIRECT(TEXT(DATE(Stammdaten!$D$9,COLUMN()-COLUMN($E33)+1,1),"MMM")&amp;"!$G$9:$G$999"),IF($C33="","*",$C33)))))*24</f>
        <v>0</v>
      </c>
      <c r="Q33" s="74">
        <f t="shared" ca="1" si="0"/>
        <v>0</v>
      </c>
      <c r="R33" s="74">
        <f t="shared" ca="1" si="1"/>
        <v>0</v>
      </c>
    </row>
    <row r="34" spans="2:18" x14ac:dyDescent="0.3">
      <c r="B34" s="55"/>
      <c r="C34" s="55"/>
      <c r="D34" s="56"/>
      <c r="E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F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G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H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I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J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K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L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M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N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O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P34" s="30">
        <f ca="1">IF(AND($B34="",$C34=""),0,IF($C34="",SUMIFS(INDIRECT(TEXT(DATE(Stammdaten!$D$9,COLUMN()-COLUMN($E34)+1,1),"MMM")&amp;"!$L$9:$L$999"),INDIRECT(TEXT(DATE(Stammdaten!$D$9,COLUMN()-COLUMN($E34)+1,1),"MMM")&amp;"!$F$9:$F$999"),$B34),IF($B34="",SUMIFS(INDIRECT(TEXT(DATE(Stammdaten!$D$9,COLUMN()-COLUMN($E34)+1,1),"MMM")&amp;"!$L$9:$L$999"),INDIRECT(TEXT(DATE(Stammdaten!$D$9,COLUMN()-COLUMN($E34)+1,1),"MMM")&amp;"!$G$9:$G$999"),$C34),SUMIFS(INDIRECT(TEXT(DATE(Stammdaten!$D$9,COLUMN()-COLUMN($E34)+1,1),"MMM")&amp;"!$L$9:$L$999"),INDIRECT(TEXT(DATE(Stammdaten!$D$9,COLUMN()-COLUMN($E34)+1,1),"MMM")&amp;"!$F$9:$F$999"),IF($B34="","*",$B34),INDIRECT(TEXT(DATE(Stammdaten!$D$9,COLUMN()-COLUMN($E34)+1,1),"MMM")&amp;"!$G$9:$G$999"),IF($C34="","*",$C34)))))*24</f>
        <v>0</v>
      </c>
      <c r="Q34" s="74">
        <f t="shared" ca="1" si="0"/>
        <v>0</v>
      </c>
      <c r="R34" s="74">
        <f t="shared" ca="1" si="1"/>
        <v>0</v>
      </c>
    </row>
    <row r="35" spans="2:18" x14ac:dyDescent="0.3">
      <c r="B35" s="55"/>
      <c r="C35" s="55"/>
      <c r="D35" s="56"/>
      <c r="E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F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G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H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I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J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K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L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M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N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O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P35" s="30">
        <f ca="1">IF(AND($B35="",$C35=""),0,IF($C35="",SUMIFS(INDIRECT(TEXT(DATE(Stammdaten!$D$9,COLUMN()-COLUMN($E35)+1,1),"MMM")&amp;"!$L$9:$L$999"),INDIRECT(TEXT(DATE(Stammdaten!$D$9,COLUMN()-COLUMN($E35)+1,1),"MMM")&amp;"!$F$9:$F$999"),$B35),IF($B35="",SUMIFS(INDIRECT(TEXT(DATE(Stammdaten!$D$9,COLUMN()-COLUMN($E35)+1,1),"MMM")&amp;"!$L$9:$L$999"),INDIRECT(TEXT(DATE(Stammdaten!$D$9,COLUMN()-COLUMN($E35)+1,1),"MMM")&amp;"!$G$9:$G$999"),$C35),SUMIFS(INDIRECT(TEXT(DATE(Stammdaten!$D$9,COLUMN()-COLUMN($E35)+1,1),"MMM")&amp;"!$L$9:$L$999"),INDIRECT(TEXT(DATE(Stammdaten!$D$9,COLUMN()-COLUMN($E35)+1,1),"MMM")&amp;"!$F$9:$F$999"),IF($B35="","*",$B35),INDIRECT(TEXT(DATE(Stammdaten!$D$9,COLUMN()-COLUMN($E35)+1,1),"MMM")&amp;"!$G$9:$G$999"),IF($C35="","*",$C35)))))*24</f>
        <v>0</v>
      </c>
      <c r="Q35" s="74">
        <f t="shared" ca="1" si="0"/>
        <v>0</v>
      </c>
      <c r="R35" s="74">
        <f ca="1">IF(D35="",Q35,D35-Q35)</f>
        <v>0</v>
      </c>
    </row>
    <row r="36" spans="2:18" x14ac:dyDescent="0.3">
      <c r="B36" s="55"/>
      <c r="C36" s="55"/>
      <c r="D36" s="56"/>
      <c r="E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F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G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H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I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J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K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L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M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N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O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P36" s="30">
        <f ca="1">IF(AND($B36="",$C36=""),0,IF($C36="",SUMIFS(INDIRECT(TEXT(DATE(Stammdaten!$D$9,COLUMN()-COLUMN($E36)+1,1),"MMM")&amp;"!$L$9:$L$999"),INDIRECT(TEXT(DATE(Stammdaten!$D$9,COLUMN()-COLUMN($E36)+1,1),"MMM")&amp;"!$F$9:$F$999"),$B36),IF($B36="",SUMIFS(INDIRECT(TEXT(DATE(Stammdaten!$D$9,COLUMN()-COLUMN($E36)+1,1),"MMM")&amp;"!$L$9:$L$999"),INDIRECT(TEXT(DATE(Stammdaten!$D$9,COLUMN()-COLUMN($E36)+1,1),"MMM")&amp;"!$G$9:$G$999"),$C36),SUMIFS(INDIRECT(TEXT(DATE(Stammdaten!$D$9,COLUMN()-COLUMN($E36)+1,1),"MMM")&amp;"!$L$9:$L$999"),INDIRECT(TEXT(DATE(Stammdaten!$D$9,COLUMN()-COLUMN($E36)+1,1),"MMM")&amp;"!$F$9:$F$999"),IF($B36="","*",$B36),INDIRECT(TEXT(DATE(Stammdaten!$D$9,COLUMN()-COLUMN($E36)+1,1),"MMM")&amp;"!$G$9:$G$999"),IF($C36="","*",$C36)))))*24</f>
        <v>0</v>
      </c>
      <c r="Q36" s="74">
        <f t="shared" ca="1" si="0"/>
        <v>0</v>
      </c>
      <c r="R36" s="74">
        <f ca="1">IF(D36="",Q36,D36-Q36)</f>
        <v>0</v>
      </c>
    </row>
    <row r="37" spans="2:18" x14ac:dyDescent="0.3">
      <c r="B37" s="55"/>
      <c r="C37" s="55"/>
      <c r="D37" s="56"/>
      <c r="E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F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G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H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I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J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K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L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M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N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O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P37" s="30">
        <f ca="1">IF(AND($B37="",$C37=""),0,IF($C37="",SUMIFS(INDIRECT(TEXT(DATE(Stammdaten!$D$9,COLUMN()-COLUMN($E37)+1,1),"MMM")&amp;"!$L$9:$L$999"),INDIRECT(TEXT(DATE(Stammdaten!$D$9,COLUMN()-COLUMN($E37)+1,1),"MMM")&amp;"!$F$9:$F$999"),$B37),IF($B37="",SUMIFS(INDIRECT(TEXT(DATE(Stammdaten!$D$9,COLUMN()-COLUMN($E37)+1,1),"MMM")&amp;"!$L$9:$L$999"),INDIRECT(TEXT(DATE(Stammdaten!$D$9,COLUMN()-COLUMN($E37)+1,1),"MMM")&amp;"!$G$9:$G$999"),$C37),SUMIFS(INDIRECT(TEXT(DATE(Stammdaten!$D$9,COLUMN()-COLUMN($E37)+1,1),"MMM")&amp;"!$L$9:$L$999"),INDIRECT(TEXT(DATE(Stammdaten!$D$9,COLUMN()-COLUMN($E37)+1,1),"MMM")&amp;"!$F$9:$F$999"),IF($B37="","*",$B37),INDIRECT(TEXT(DATE(Stammdaten!$D$9,COLUMN()-COLUMN($E37)+1,1),"MMM")&amp;"!$G$9:$G$999"),IF($C37="","*",$C37)))))*24</f>
        <v>0</v>
      </c>
      <c r="Q37" s="74">
        <f ca="1">SUM(E37:P37)</f>
        <v>0</v>
      </c>
      <c r="R37" s="74">
        <f ca="1">IF(D37="",Q37,D37-Q37)</f>
        <v>0</v>
      </c>
    </row>
    <row r="38" spans="2:18" x14ac:dyDescent="0.3">
      <c r="B38" s="55"/>
      <c r="C38" s="55"/>
      <c r="D38" s="56"/>
      <c r="E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F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G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H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I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J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K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L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M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N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O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P38" s="30">
        <f ca="1">IF(AND($B38="",$C38=""),0,IF($C38="",SUMIFS(INDIRECT(TEXT(DATE(Stammdaten!$D$9,COLUMN()-COLUMN($E38)+1,1),"MMM")&amp;"!$L$9:$L$999"),INDIRECT(TEXT(DATE(Stammdaten!$D$9,COLUMN()-COLUMN($E38)+1,1),"MMM")&amp;"!$F$9:$F$999"),$B38),IF($B38="",SUMIFS(INDIRECT(TEXT(DATE(Stammdaten!$D$9,COLUMN()-COLUMN($E38)+1,1),"MMM")&amp;"!$L$9:$L$999"),INDIRECT(TEXT(DATE(Stammdaten!$D$9,COLUMN()-COLUMN($E38)+1,1),"MMM")&amp;"!$G$9:$G$999"),$C38),SUMIFS(INDIRECT(TEXT(DATE(Stammdaten!$D$9,COLUMN()-COLUMN($E38)+1,1),"MMM")&amp;"!$L$9:$L$999"),INDIRECT(TEXT(DATE(Stammdaten!$D$9,COLUMN()-COLUMN($E38)+1,1),"MMM")&amp;"!$F$9:$F$999"),IF($B38="","*",$B38),INDIRECT(TEXT(DATE(Stammdaten!$D$9,COLUMN()-COLUMN($E38)+1,1),"MMM")&amp;"!$G$9:$G$999"),IF($C38="","*",$C38)))))*24</f>
        <v>0</v>
      </c>
      <c r="Q38" s="74">
        <f ca="1">SUM(E38:P38)</f>
        <v>0</v>
      </c>
      <c r="R38" s="74">
        <f ca="1">IF(D38="",Q38,D38-Q38)</f>
        <v>0</v>
      </c>
    </row>
    <row r="39" spans="2:18" x14ac:dyDescent="0.3">
      <c r="B39" s="55"/>
      <c r="C39" s="55"/>
      <c r="D39" s="56"/>
      <c r="E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F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G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H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I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J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K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L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M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N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O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P39" s="30">
        <f ca="1">IF(AND($B39="",$C39=""),0,IF($C39="",SUMIFS(INDIRECT(TEXT(DATE(Stammdaten!$D$9,COLUMN()-COLUMN($E39)+1,1),"MMM")&amp;"!$L$9:$L$999"),INDIRECT(TEXT(DATE(Stammdaten!$D$9,COLUMN()-COLUMN($E39)+1,1),"MMM")&amp;"!$F$9:$F$999"),$B39),IF($B39="",SUMIFS(INDIRECT(TEXT(DATE(Stammdaten!$D$9,COLUMN()-COLUMN($E39)+1,1),"MMM")&amp;"!$L$9:$L$999"),INDIRECT(TEXT(DATE(Stammdaten!$D$9,COLUMN()-COLUMN($E39)+1,1),"MMM")&amp;"!$G$9:$G$999"),$C39),SUMIFS(INDIRECT(TEXT(DATE(Stammdaten!$D$9,COLUMN()-COLUMN($E39)+1,1),"MMM")&amp;"!$L$9:$L$999"),INDIRECT(TEXT(DATE(Stammdaten!$D$9,COLUMN()-COLUMN($E39)+1,1),"MMM")&amp;"!$F$9:$F$999"),IF($B39="","*",$B39),INDIRECT(TEXT(DATE(Stammdaten!$D$9,COLUMN()-COLUMN($E39)+1,1),"MMM")&amp;"!$G$9:$G$999"),IF($C39="","*",$C39)))))*24</f>
        <v>0</v>
      </c>
      <c r="Q39" s="74">
        <f ca="1">SUM(E39:P39)</f>
        <v>0</v>
      </c>
      <c r="R39" s="74">
        <f ca="1">IF(D39="",Q39,D39-Q39)</f>
        <v>0</v>
      </c>
    </row>
    <row r="40" spans="2:18" x14ac:dyDescent="0.3">
      <c r="B40" s="55"/>
      <c r="C40" s="55"/>
      <c r="D40" s="56"/>
      <c r="E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F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G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H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I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J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K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L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M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N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O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P40" s="30">
        <f ca="1">IF(AND($B40="",$C40=""),0,IF($C40="",SUMIFS(INDIRECT(TEXT(DATE(Stammdaten!$D$9,COLUMN()-COLUMN($E40)+1,1),"MMM")&amp;"!$L$9:$L$999"),INDIRECT(TEXT(DATE(Stammdaten!$D$9,COLUMN()-COLUMN($E40)+1,1),"MMM")&amp;"!$F$9:$F$999"),$B40),IF($B40="",SUMIFS(INDIRECT(TEXT(DATE(Stammdaten!$D$9,COLUMN()-COLUMN($E40)+1,1),"MMM")&amp;"!$L$9:$L$999"),INDIRECT(TEXT(DATE(Stammdaten!$D$9,COLUMN()-COLUMN($E40)+1,1),"MMM")&amp;"!$G$9:$G$999"),$C40),SUMIFS(INDIRECT(TEXT(DATE(Stammdaten!$D$9,COLUMN()-COLUMN($E40)+1,1),"MMM")&amp;"!$L$9:$L$999"),INDIRECT(TEXT(DATE(Stammdaten!$D$9,COLUMN()-COLUMN($E40)+1,1),"MMM")&amp;"!$F$9:$F$999"),IF($B40="","*",$B40),INDIRECT(TEXT(DATE(Stammdaten!$D$9,COLUMN()-COLUMN($E40)+1,1),"MMM")&amp;"!$G$9:$G$999"),IF($C40="","*",$C40)))))*24</f>
        <v>0</v>
      </c>
      <c r="Q40" s="74">
        <f t="shared" ref="Q40:Q51" ca="1" si="2">SUM(E40:P40)</f>
        <v>0</v>
      </c>
      <c r="R40" s="74">
        <f t="shared" ref="R40:R51" ca="1" si="3">IF(D40="",Q40,D40-Q40)</f>
        <v>0</v>
      </c>
    </row>
    <row r="41" spans="2:18" x14ac:dyDescent="0.3">
      <c r="B41" s="55"/>
      <c r="C41" s="55"/>
      <c r="D41" s="56"/>
      <c r="E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F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G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H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I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J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K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L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M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N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O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P41" s="30">
        <f ca="1">IF(AND($B41="",$C41=""),0,IF($C41="",SUMIFS(INDIRECT(TEXT(DATE(Stammdaten!$D$9,COLUMN()-COLUMN($E41)+1,1),"MMM")&amp;"!$L$9:$L$999"),INDIRECT(TEXT(DATE(Stammdaten!$D$9,COLUMN()-COLUMN($E41)+1,1),"MMM")&amp;"!$F$9:$F$999"),$B41),IF($B41="",SUMIFS(INDIRECT(TEXT(DATE(Stammdaten!$D$9,COLUMN()-COLUMN($E41)+1,1),"MMM")&amp;"!$L$9:$L$999"),INDIRECT(TEXT(DATE(Stammdaten!$D$9,COLUMN()-COLUMN($E41)+1,1),"MMM")&amp;"!$G$9:$G$999"),$C41),SUMIFS(INDIRECT(TEXT(DATE(Stammdaten!$D$9,COLUMN()-COLUMN($E41)+1,1),"MMM")&amp;"!$L$9:$L$999"),INDIRECT(TEXT(DATE(Stammdaten!$D$9,COLUMN()-COLUMN($E41)+1,1),"MMM")&amp;"!$F$9:$F$999"),IF($B41="","*",$B41),INDIRECT(TEXT(DATE(Stammdaten!$D$9,COLUMN()-COLUMN($E41)+1,1),"MMM")&amp;"!$G$9:$G$999"),IF($C41="","*",$C41)))))*24</f>
        <v>0</v>
      </c>
      <c r="Q41" s="74">
        <f t="shared" ca="1" si="2"/>
        <v>0</v>
      </c>
      <c r="R41" s="74">
        <f t="shared" ca="1" si="3"/>
        <v>0</v>
      </c>
    </row>
    <row r="42" spans="2:18" x14ac:dyDescent="0.3">
      <c r="B42" s="55"/>
      <c r="C42" s="55"/>
      <c r="D42" s="56"/>
      <c r="E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F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G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H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I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J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K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L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M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N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O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P42" s="30">
        <f ca="1">IF(AND($B42="",$C42=""),0,IF($C42="",SUMIFS(INDIRECT(TEXT(DATE(Stammdaten!$D$9,COLUMN()-COLUMN($E42)+1,1),"MMM")&amp;"!$L$9:$L$999"),INDIRECT(TEXT(DATE(Stammdaten!$D$9,COLUMN()-COLUMN($E42)+1,1),"MMM")&amp;"!$F$9:$F$999"),$B42),IF($B42="",SUMIFS(INDIRECT(TEXT(DATE(Stammdaten!$D$9,COLUMN()-COLUMN($E42)+1,1),"MMM")&amp;"!$L$9:$L$999"),INDIRECT(TEXT(DATE(Stammdaten!$D$9,COLUMN()-COLUMN($E42)+1,1),"MMM")&amp;"!$G$9:$G$999"),$C42),SUMIFS(INDIRECT(TEXT(DATE(Stammdaten!$D$9,COLUMN()-COLUMN($E42)+1,1),"MMM")&amp;"!$L$9:$L$999"),INDIRECT(TEXT(DATE(Stammdaten!$D$9,COLUMN()-COLUMN($E42)+1,1),"MMM")&amp;"!$F$9:$F$999"),IF($B42="","*",$B42),INDIRECT(TEXT(DATE(Stammdaten!$D$9,COLUMN()-COLUMN($E42)+1,1),"MMM")&amp;"!$G$9:$G$999"),IF($C42="","*",$C42)))))*24</f>
        <v>0</v>
      </c>
      <c r="Q42" s="74">
        <f t="shared" ca="1" si="2"/>
        <v>0</v>
      </c>
      <c r="R42" s="74">
        <f t="shared" ca="1" si="3"/>
        <v>0</v>
      </c>
    </row>
    <row r="43" spans="2:18" x14ac:dyDescent="0.3">
      <c r="B43" s="55"/>
      <c r="C43" s="55"/>
      <c r="D43" s="56"/>
      <c r="E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F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G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H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I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J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K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L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M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N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O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P43" s="30">
        <f ca="1">IF(AND($B43="",$C43=""),0,IF($C43="",SUMIFS(INDIRECT(TEXT(DATE(Stammdaten!$D$9,COLUMN()-COLUMN($E43)+1,1),"MMM")&amp;"!$L$9:$L$999"),INDIRECT(TEXT(DATE(Stammdaten!$D$9,COLUMN()-COLUMN($E43)+1,1),"MMM")&amp;"!$F$9:$F$999"),$B43),IF($B43="",SUMIFS(INDIRECT(TEXT(DATE(Stammdaten!$D$9,COLUMN()-COLUMN($E43)+1,1),"MMM")&amp;"!$L$9:$L$999"),INDIRECT(TEXT(DATE(Stammdaten!$D$9,COLUMN()-COLUMN($E43)+1,1),"MMM")&amp;"!$G$9:$G$999"),$C43),SUMIFS(INDIRECT(TEXT(DATE(Stammdaten!$D$9,COLUMN()-COLUMN($E43)+1,1),"MMM")&amp;"!$L$9:$L$999"),INDIRECT(TEXT(DATE(Stammdaten!$D$9,COLUMN()-COLUMN($E43)+1,1),"MMM")&amp;"!$F$9:$F$999"),IF($B43="","*",$B43),INDIRECT(TEXT(DATE(Stammdaten!$D$9,COLUMN()-COLUMN($E43)+1,1),"MMM")&amp;"!$G$9:$G$999"),IF($C43="","*",$C43)))))*24</f>
        <v>0</v>
      </c>
      <c r="Q43" s="74">
        <f t="shared" ca="1" si="2"/>
        <v>0</v>
      </c>
      <c r="R43" s="74">
        <f t="shared" ca="1" si="3"/>
        <v>0</v>
      </c>
    </row>
    <row r="44" spans="2:18" x14ac:dyDescent="0.3">
      <c r="B44" s="55"/>
      <c r="C44" s="55"/>
      <c r="D44" s="56"/>
      <c r="E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F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G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H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I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J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K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L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M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N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O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P44" s="30">
        <f ca="1">IF(AND($B44="",$C44=""),0,IF($C44="",SUMIFS(INDIRECT(TEXT(DATE(Stammdaten!$D$9,COLUMN()-COLUMN($E44)+1,1),"MMM")&amp;"!$L$9:$L$999"),INDIRECT(TEXT(DATE(Stammdaten!$D$9,COLUMN()-COLUMN($E44)+1,1),"MMM")&amp;"!$F$9:$F$999"),$B44),IF($B44="",SUMIFS(INDIRECT(TEXT(DATE(Stammdaten!$D$9,COLUMN()-COLUMN($E44)+1,1),"MMM")&amp;"!$L$9:$L$999"),INDIRECT(TEXT(DATE(Stammdaten!$D$9,COLUMN()-COLUMN($E44)+1,1),"MMM")&amp;"!$G$9:$G$999"),$C44),SUMIFS(INDIRECT(TEXT(DATE(Stammdaten!$D$9,COLUMN()-COLUMN($E44)+1,1),"MMM")&amp;"!$L$9:$L$999"),INDIRECT(TEXT(DATE(Stammdaten!$D$9,COLUMN()-COLUMN($E44)+1,1),"MMM")&amp;"!$F$9:$F$999"),IF($B44="","*",$B44),INDIRECT(TEXT(DATE(Stammdaten!$D$9,COLUMN()-COLUMN($E44)+1,1),"MMM")&amp;"!$G$9:$G$999"),IF($C44="","*",$C44)))))*24</f>
        <v>0</v>
      </c>
      <c r="Q44" s="74">
        <f t="shared" ca="1" si="2"/>
        <v>0</v>
      </c>
      <c r="R44" s="74">
        <f t="shared" ca="1" si="3"/>
        <v>0</v>
      </c>
    </row>
    <row r="45" spans="2:18" x14ac:dyDescent="0.3">
      <c r="B45" s="55"/>
      <c r="C45" s="55"/>
      <c r="D45" s="56"/>
      <c r="E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F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G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H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I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J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K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L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M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N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O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P45" s="30">
        <f ca="1">IF(AND($B45="",$C45=""),0,IF($C45="",SUMIFS(INDIRECT(TEXT(DATE(Stammdaten!$D$9,COLUMN()-COLUMN($E45)+1,1),"MMM")&amp;"!$L$9:$L$999"),INDIRECT(TEXT(DATE(Stammdaten!$D$9,COLUMN()-COLUMN($E45)+1,1),"MMM")&amp;"!$F$9:$F$999"),$B45),IF($B45="",SUMIFS(INDIRECT(TEXT(DATE(Stammdaten!$D$9,COLUMN()-COLUMN($E45)+1,1),"MMM")&amp;"!$L$9:$L$999"),INDIRECT(TEXT(DATE(Stammdaten!$D$9,COLUMN()-COLUMN($E45)+1,1),"MMM")&amp;"!$G$9:$G$999"),$C45),SUMIFS(INDIRECT(TEXT(DATE(Stammdaten!$D$9,COLUMN()-COLUMN($E45)+1,1),"MMM")&amp;"!$L$9:$L$999"),INDIRECT(TEXT(DATE(Stammdaten!$D$9,COLUMN()-COLUMN($E45)+1,1),"MMM")&amp;"!$F$9:$F$999"),IF($B45="","*",$B45),INDIRECT(TEXT(DATE(Stammdaten!$D$9,COLUMN()-COLUMN($E45)+1,1),"MMM")&amp;"!$G$9:$G$999"),IF($C45="","*",$C45)))))*24</f>
        <v>0</v>
      </c>
      <c r="Q45" s="74">
        <f t="shared" ca="1" si="2"/>
        <v>0</v>
      </c>
      <c r="R45" s="74">
        <f t="shared" ca="1" si="3"/>
        <v>0</v>
      </c>
    </row>
    <row r="46" spans="2:18" x14ac:dyDescent="0.3">
      <c r="B46" s="55"/>
      <c r="C46" s="55"/>
      <c r="D46" s="56"/>
      <c r="E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F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G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H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I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J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K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L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M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N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O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P46" s="30">
        <f ca="1">IF(AND($B46="",$C46=""),0,IF($C46="",SUMIFS(INDIRECT(TEXT(DATE(Stammdaten!$D$9,COLUMN()-COLUMN($E46)+1,1),"MMM")&amp;"!$L$9:$L$999"),INDIRECT(TEXT(DATE(Stammdaten!$D$9,COLUMN()-COLUMN($E46)+1,1),"MMM")&amp;"!$F$9:$F$999"),$B46),IF($B46="",SUMIFS(INDIRECT(TEXT(DATE(Stammdaten!$D$9,COLUMN()-COLUMN($E46)+1,1),"MMM")&amp;"!$L$9:$L$999"),INDIRECT(TEXT(DATE(Stammdaten!$D$9,COLUMN()-COLUMN($E46)+1,1),"MMM")&amp;"!$G$9:$G$999"),$C46),SUMIFS(INDIRECT(TEXT(DATE(Stammdaten!$D$9,COLUMN()-COLUMN($E46)+1,1),"MMM")&amp;"!$L$9:$L$999"),INDIRECT(TEXT(DATE(Stammdaten!$D$9,COLUMN()-COLUMN($E46)+1,1),"MMM")&amp;"!$F$9:$F$999"),IF($B46="","*",$B46),INDIRECT(TEXT(DATE(Stammdaten!$D$9,COLUMN()-COLUMN($E46)+1,1),"MMM")&amp;"!$G$9:$G$999"),IF($C46="","*",$C46)))))*24</f>
        <v>0</v>
      </c>
      <c r="Q46" s="74">
        <f t="shared" ca="1" si="2"/>
        <v>0</v>
      </c>
      <c r="R46" s="74">
        <f t="shared" ca="1" si="3"/>
        <v>0</v>
      </c>
    </row>
    <row r="47" spans="2:18" x14ac:dyDescent="0.3">
      <c r="B47" s="55"/>
      <c r="C47" s="55"/>
      <c r="D47" s="56"/>
      <c r="E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F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G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H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I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J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K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L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M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N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O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P47" s="30">
        <f ca="1">IF(AND($B47="",$C47=""),0,IF($C47="",SUMIFS(INDIRECT(TEXT(DATE(Stammdaten!$D$9,COLUMN()-COLUMN($E47)+1,1),"MMM")&amp;"!$L$9:$L$999"),INDIRECT(TEXT(DATE(Stammdaten!$D$9,COLUMN()-COLUMN($E47)+1,1),"MMM")&amp;"!$F$9:$F$999"),$B47),IF($B47="",SUMIFS(INDIRECT(TEXT(DATE(Stammdaten!$D$9,COLUMN()-COLUMN($E47)+1,1),"MMM")&amp;"!$L$9:$L$999"),INDIRECT(TEXT(DATE(Stammdaten!$D$9,COLUMN()-COLUMN($E47)+1,1),"MMM")&amp;"!$G$9:$G$999"),$C47),SUMIFS(INDIRECT(TEXT(DATE(Stammdaten!$D$9,COLUMN()-COLUMN($E47)+1,1),"MMM")&amp;"!$L$9:$L$999"),INDIRECT(TEXT(DATE(Stammdaten!$D$9,COLUMN()-COLUMN($E47)+1,1),"MMM")&amp;"!$F$9:$F$999"),IF($B47="","*",$B47),INDIRECT(TEXT(DATE(Stammdaten!$D$9,COLUMN()-COLUMN($E47)+1,1),"MMM")&amp;"!$G$9:$G$999"),IF($C47="","*",$C47)))))*24</f>
        <v>0</v>
      </c>
      <c r="Q47" s="74">
        <f t="shared" ca="1" si="2"/>
        <v>0</v>
      </c>
      <c r="R47" s="74">
        <f t="shared" ca="1" si="3"/>
        <v>0</v>
      </c>
    </row>
    <row r="48" spans="2:18" x14ac:dyDescent="0.3">
      <c r="B48" s="55"/>
      <c r="C48" s="55"/>
      <c r="D48" s="56"/>
      <c r="E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F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G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H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I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J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K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L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M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N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O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P48" s="30">
        <f ca="1">IF(AND($B48="",$C48=""),0,IF($C48="",SUMIFS(INDIRECT(TEXT(DATE(Stammdaten!$D$9,COLUMN()-COLUMN($E48)+1,1),"MMM")&amp;"!$L$9:$L$999"),INDIRECT(TEXT(DATE(Stammdaten!$D$9,COLUMN()-COLUMN($E48)+1,1),"MMM")&amp;"!$F$9:$F$999"),$B48),IF($B48="",SUMIFS(INDIRECT(TEXT(DATE(Stammdaten!$D$9,COLUMN()-COLUMN($E48)+1,1),"MMM")&amp;"!$L$9:$L$999"),INDIRECT(TEXT(DATE(Stammdaten!$D$9,COLUMN()-COLUMN($E48)+1,1),"MMM")&amp;"!$G$9:$G$999"),$C48),SUMIFS(INDIRECT(TEXT(DATE(Stammdaten!$D$9,COLUMN()-COLUMN($E48)+1,1),"MMM")&amp;"!$L$9:$L$999"),INDIRECT(TEXT(DATE(Stammdaten!$D$9,COLUMN()-COLUMN($E48)+1,1),"MMM")&amp;"!$F$9:$F$999"),IF($B48="","*",$B48),INDIRECT(TEXT(DATE(Stammdaten!$D$9,COLUMN()-COLUMN($E48)+1,1),"MMM")&amp;"!$G$9:$G$999"),IF($C48="","*",$C48)))))*24</f>
        <v>0</v>
      </c>
      <c r="Q48" s="74">
        <f t="shared" ca="1" si="2"/>
        <v>0</v>
      </c>
      <c r="R48" s="74">
        <f t="shared" ca="1" si="3"/>
        <v>0</v>
      </c>
    </row>
    <row r="49" spans="2:18" x14ac:dyDescent="0.3">
      <c r="B49" s="55"/>
      <c r="C49" s="55"/>
      <c r="D49" s="56"/>
      <c r="E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F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G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H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I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J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K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L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M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N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O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P49" s="30">
        <f ca="1">IF(AND($B49="",$C49=""),0,IF($C49="",SUMIFS(INDIRECT(TEXT(DATE(Stammdaten!$D$9,COLUMN()-COLUMN($E49)+1,1),"MMM")&amp;"!$L$9:$L$999"),INDIRECT(TEXT(DATE(Stammdaten!$D$9,COLUMN()-COLUMN($E49)+1,1),"MMM")&amp;"!$F$9:$F$999"),$B49),IF($B49="",SUMIFS(INDIRECT(TEXT(DATE(Stammdaten!$D$9,COLUMN()-COLUMN($E49)+1,1),"MMM")&amp;"!$L$9:$L$999"),INDIRECT(TEXT(DATE(Stammdaten!$D$9,COLUMN()-COLUMN($E49)+1,1),"MMM")&amp;"!$G$9:$G$999"),$C49),SUMIFS(INDIRECT(TEXT(DATE(Stammdaten!$D$9,COLUMN()-COLUMN($E49)+1,1),"MMM")&amp;"!$L$9:$L$999"),INDIRECT(TEXT(DATE(Stammdaten!$D$9,COLUMN()-COLUMN($E49)+1,1),"MMM")&amp;"!$F$9:$F$999"),IF($B49="","*",$B49),INDIRECT(TEXT(DATE(Stammdaten!$D$9,COLUMN()-COLUMN($E49)+1,1),"MMM")&amp;"!$G$9:$G$999"),IF($C49="","*",$C49)))))*24</f>
        <v>0</v>
      </c>
      <c r="Q49" s="74">
        <f t="shared" ca="1" si="2"/>
        <v>0</v>
      </c>
      <c r="R49" s="74">
        <f t="shared" ca="1" si="3"/>
        <v>0</v>
      </c>
    </row>
    <row r="50" spans="2:18" x14ac:dyDescent="0.3">
      <c r="B50" s="55"/>
      <c r="C50" s="55"/>
      <c r="D50" s="56"/>
      <c r="E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F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G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H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I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J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K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L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M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N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O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P50" s="30">
        <f ca="1">IF(AND($B50="",$C50=""),0,IF($C50="",SUMIFS(INDIRECT(TEXT(DATE(Stammdaten!$D$9,COLUMN()-COLUMN($E50)+1,1),"MMM")&amp;"!$L$9:$L$999"),INDIRECT(TEXT(DATE(Stammdaten!$D$9,COLUMN()-COLUMN($E50)+1,1),"MMM")&amp;"!$F$9:$F$999"),$B50),IF($B50="",SUMIFS(INDIRECT(TEXT(DATE(Stammdaten!$D$9,COLUMN()-COLUMN($E50)+1,1),"MMM")&amp;"!$L$9:$L$999"),INDIRECT(TEXT(DATE(Stammdaten!$D$9,COLUMN()-COLUMN($E50)+1,1),"MMM")&amp;"!$G$9:$G$999"),$C50),SUMIFS(INDIRECT(TEXT(DATE(Stammdaten!$D$9,COLUMN()-COLUMN($E50)+1,1),"MMM")&amp;"!$L$9:$L$999"),INDIRECT(TEXT(DATE(Stammdaten!$D$9,COLUMN()-COLUMN($E50)+1,1),"MMM")&amp;"!$F$9:$F$999"),IF($B50="","*",$B50),INDIRECT(TEXT(DATE(Stammdaten!$D$9,COLUMN()-COLUMN($E50)+1,1),"MMM")&amp;"!$G$9:$G$999"),IF($C50="","*",$C50)))))*24</f>
        <v>0</v>
      </c>
      <c r="Q50" s="74">
        <f t="shared" ca="1" si="2"/>
        <v>0</v>
      </c>
      <c r="R50" s="74">
        <f t="shared" ca="1" si="3"/>
        <v>0</v>
      </c>
    </row>
    <row r="51" spans="2:18" x14ac:dyDescent="0.3">
      <c r="B51" s="55"/>
      <c r="C51" s="55"/>
      <c r="D51" s="56"/>
      <c r="E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F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G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H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I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J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K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L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M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N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O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P51" s="30">
        <f ca="1">IF(AND($B51="",$C51=""),0,IF($C51="",SUMIFS(INDIRECT(TEXT(DATE(Stammdaten!$D$9,COLUMN()-COLUMN($E51)+1,1),"MMM")&amp;"!$L$9:$L$999"),INDIRECT(TEXT(DATE(Stammdaten!$D$9,COLUMN()-COLUMN($E51)+1,1),"MMM")&amp;"!$F$9:$F$999"),$B51),IF($B51="",SUMIFS(INDIRECT(TEXT(DATE(Stammdaten!$D$9,COLUMN()-COLUMN($E51)+1,1),"MMM")&amp;"!$L$9:$L$999"),INDIRECT(TEXT(DATE(Stammdaten!$D$9,COLUMN()-COLUMN($E51)+1,1),"MMM")&amp;"!$G$9:$G$999"),$C51),SUMIFS(INDIRECT(TEXT(DATE(Stammdaten!$D$9,COLUMN()-COLUMN($E51)+1,1),"MMM")&amp;"!$L$9:$L$999"),INDIRECT(TEXT(DATE(Stammdaten!$D$9,COLUMN()-COLUMN($E51)+1,1),"MMM")&amp;"!$F$9:$F$999"),IF($B51="","*",$B51),INDIRECT(TEXT(DATE(Stammdaten!$D$9,COLUMN()-COLUMN($E51)+1,1),"MMM")&amp;"!$G$9:$G$999"),IF($C51="","*",$C51)))))*24</f>
        <v>0</v>
      </c>
      <c r="Q51" s="74">
        <f t="shared" ca="1" si="2"/>
        <v>0</v>
      </c>
      <c r="R51" s="74">
        <f t="shared" ca="1" si="3"/>
        <v>0</v>
      </c>
    </row>
    <row r="52" spans="2:18" x14ac:dyDescent="0.3">
      <c r="B52" s="55"/>
      <c r="C52" s="55"/>
      <c r="D52" s="56"/>
      <c r="E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F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G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H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I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J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K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L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M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N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O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P52" s="30">
        <f ca="1">IF(AND($B52="",$C52=""),0,IF($C52="",SUMIFS(INDIRECT(TEXT(DATE(Stammdaten!$D$9,COLUMN()-COLUMN($E52)+1,1),"MMM")&amp;"!$L$9:$L$999"),INDIRECT(TEXT(DATE(Stammdaten!$D$9,COLUMN()-COLUMN($E52)+1,1),"MMM")&amp;"!$F$9:$F$999"),$B52),IF($B52="",SUMIFS(INDIRECT(TEXT(DATE(Stammdaten!$D$9,COLUMN()-COLUMN($E52)+1,1),"MMM")&amp;"!$L$9:$L$999"),INDIRECT(TEXT(DATE(Stammdaten!$D$9,COLUMN()-COLUMN($E52)+1,1),"MMM")&amp;"!$G$9:$G$999"),$C52),SUMIFS(INDIRECT(TEXT(DATE(Stammdaten!$D$9,COLUMN()-COLUMN($E52)+1,1),"MMM")&amp;"!$L$9:$L$999"),INDIRECT(TEXT(DATE(Stammdaten!$D$9,COLUMN()-COLUMN($E52)+1,1),"MMM")&amp;"!$F$9:$F$999"),IF($B52="","*",$B52),INDIRECT(TEXT(DATE(Stammdaten!$D$9,COLUMN()-COLUMN($E52)+1,1),"MMM")&amp;"!$G$9:$G$999"),IF($C52="","*",$C52)))))*24</f>
        <v>0</v>
      </c>
      <c r="Q52" s="74">
        <f t="shared" ref="Q52:Q98" ca="1" si="4">SUM(E52:P52)</f>
        <v>0</v>
      </c>
      <c r="R52" s="74">
        <f t="shared" ref="R52:R98" ca="1" si="5">IF(D52="",Q52,D52-Q52)</f>
        <v>0</v>
      </c>
    </row>
    <row r="53" spans="2:18" x14ac:dyDescent="0.3">
      <c r="B53" s="55"/>
      <c r="C53" s="55"/>
      <c r="D53" s="56"/>
      <c r="E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F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G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H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I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J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K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L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M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N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O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P53" s="30">
        <f ca="1">IF(AND($B53="",$C53=""),0,IF($C53="",SUMIFS(INDIRECT(TEXT(DATE(Stammdaten!$D$9,COLUMN()-COLUMN($E53)+1,1),"MMM")&amp;"!$L$9:$L$999"),INDIRECT(TEXT(DATE(Stammdaten!$D$9,COLUMN()-COLUMN($E53)+1,1),"MMM")&amp;"!$F$9:$F$999"),$B53),IF($B53="",SUMIFS(INDIRECT(TEXT(DATE(Stammdaten!$D$9,COLUMN()-COLUMN($E53)+1,1),"MMM")&amp;"!$L$9:$L$999"),INDIRECT(TEXT(DATE(Stammdaten!$D$9,COLUMN()-COLUMN($E53)+1,1),"MMM")&amp;"!$G$9:$G$999"),$C53),SUMIFS(INDIRECT(TEXT(DATE(Stammdaten!$D$9,COLUMN()-COLUMN($E53)+1,1),"MMM")&amp;"!$L$9:$L$999"),INDIRECT(TEXT(DATE(Stammdaten!$D$9,COLUMN()-COLUMN($E53)+1,1),"MMM")&amp;"!$F$9:$F$999"),IF($B53="","*",$B53),INDIRECT(TEXT(DATE(Stammdaten!$D$9,COLUMN()-COLUMN($E53)+1,1),"MMM")&amp;"!$G$9:$G$999"),IF($C53="","*",$C53)))))*24</f>
        <v>0</v>
      </c>
      <c r="Q53" s="74">
        <f t="shared" ca="1" si="4"/>
        <v>0</v>
      </c>
      <c r="R53" s="74">
        <f t="shared" ca="1" si="5"/>
        <v>0</v>
      </c>
    </row>
    <row r="54" spans="2:18" x14ac:dyDescent="0.3">
      <c r="B54" s="55"/>
      <c r="C54" s="55"/>
      <c r="D54" s="56"/>
      <c r="E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F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G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H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I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J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K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L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M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N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O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P54" s="30">
        <f ca="1">IF(AND($B54="",$C54=""),0,IF($C54="",SUMIFS(INDIRECT(TEXT(DATE(Stammdaten!$D$9,COLUMN()-COLUMN($E54)+1,1),"MMM")&amp;"!$L$9:$L$999"),INDIRECT(TEXT(DATE(Stammdaten!$D$9,COLUMN()-COLUMN($E54)+1,1),"MMM")&amp;"!$F$9:$F$999"),$B54),IF($B54="",SUMIFS(INDIRECT(TEXT(DATE(Stammdaten!$D$9,COLUMN()-COLUMN($E54)+1,1),"MMM")&amp;"!$L$9:$L$999"),INDIRECT(TEXT(DATE(Stammdaten!$D$9,COLUMN()-COLUMN($E54)+1,1),"MMM")&amp;"!$G$9:$G$999"),$C54),SUMIFS(INDIRECT(TEXT(DATE(Stammdaten!$D$9,COLUMN()-COLUMN($E54)+1,1),"MMM")&amp;"!$L$9:$L$999"),INDIRECT(TEXT(DATE(Stammdaten!$D$9,COLUMN()-COLUMN($E54)+1,1),"MMM")&amp;"!$F$9:$F$999"),IF($B54="","*",$B54),INDIRECT(TEXT(DATE(Stammdaten!$D$9,COLUMN()-COLUMN($E54)+1,1),"MMM")&amp;"!$G$9:$G$999"),IF($C54="","*",$C54)))))*24</f>
        <v>0</v>
      </c>
      <c r="Q54" s="74">
        <f t="shared" ca="1" si="4"/>
        <v>0</v>
      </c>
      <c r="R54" s="74">
        <f t="shared" ca="1" si="5"/>
        <v>0</v>
      </c>
    </row>
    <row r="55" spans="2:18" x14ac:dyDescent="0.3">
      <c r="B55" s="55"/>
      <c r="C55" s="55"/>
      <c r="D55" s="56"/>
      <c r="E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F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G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H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I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J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K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L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M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N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O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P55" s="30">
        <f ca="1">IF(AND($B55="",$C55=""),0,IF($C55="",SUMIFS(INDIRECT(TEXT(DATE(Stammdaten!$D$9,COLUMN()-COLUMN($E55)+1,1),"MMM")&amp;"!$L$9:$L$999"),INDIRECT(TEXT(DATE(Stammdaten!$D$9,COLUMN()-COLUMN($E55)+1,1),"MMM")&amp;"!$F$9:$F$999"),$B55),IF($B55="",SUMIFS(INDIRECT(TEXT(DATE(Stammdaten!$D$9,COLUMN()-COLUMN($E55)+1,1),"MMM")&amp;"!$L$9:$L$999"),INDIRECT(TEXT(DATE(Stammdaten!$D$9,COLUMN()-COLUMN($E55)+1,1),"MMM")&amp;"!$G$9:$G$999"),$C55),SUMIFS(INDIRECT(TEXT(DATE(Stammdaten!$D$9,COLUMN()-COLUMN($E55)+1,1),"MMM")&amp;"!$L$9:$L$999"),INDIRECT(TEXT(DATE(Stammdaten!$D$9,COLUMN()-COLUMN($E55)+1,1),"MMM")&amp;"!$F$9:$F$999"),IF($B55="","*",$B55),INDIRECT(TEXT(DATE(Stammdaten!$D$9,COLUMN()-COLUMN($E55)+1,1),"MMM")&amp;"!$G$9:$G$999"),IF($C55="","*",$C55)))))*24</f>
        <v>0</v>
      </c>
      <c r="Q55" s="74">
        <f t="shared" ca="1" si="4"/>
        <v>0</v>
      </c>
      <c r="R55" s="74">
        <f t="shared" ca="1" si="5"/>
        <v>0</v>
      </c>
    </row>
    <row r="56" spans="2:18" x14ac:dyDescent="0.3">
      <c r="B56" s="55"/>
      <c r="C56" s="55"/>
      <c r="D56" s="56"/>
      <c r="E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F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G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H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I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J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K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L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M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N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O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P56" s="30">
        <f ca="1">IF(AND($B56="",$C56=""),0,IF($C56="",SUMIFS(INDIRECT(TEXT(DATE(Stammdaten!$D$9,COLUMN()-COLUMN($E56)+1,1),"MMM")&amp;"!$L$9:$L$999"),INDIRECT(TEXT(DATE(Stammdaten!$D$9,COLUMN()-COLUMN($E56)+1,1),"MMM")&amp;"!$F$9:$F$999"),$B56),IF($B56="",SUMIFS(INDIRECT(TEXT(DATE(Stammdaten!$D$9,COLUMN()-COLUMN($E56)+1,1),"MMM")&amp;"!$L$9:$L$999"),INDIRECT(TEXT(DATE(Stammdaten!$D$9,COLUMN()-COLUMN($E56)+1,1),"MMM")&amp;"!$G$9:$G$999"),$C56),SUMIFS(INDIRECT(TEXT(DATE(Stammdaten!$D$9,COLUMN()-COLUMN($E56)+1,1),"MMM")&amp;"!$L$9:$L$999"),INDIRECT(TEXT(DATE(Stammdaten!$D$9,COLUMN()-COLUMN($E56)+1,1),"MMM")&amp;"!$F$9:$F$999"),IF($B56="","*",$B56),INDIRECT(TEXT(DATE(Stammdaten!$D$9,COLUMN()-COLUMN($E56)+1,1),"MMM")&amp;"!$G$9:$G$999"),IF($C56="","*",$C56)))))*24</f>
        <v>0</v>
      </c>
      <c r="Q56" s="74">
        <f t="shared" ca="1" si="4"/>
        <v>0</v>
      </c>
      <c r="R56" s="74">
        <f t="shared" ca="1" si="5"/>
        <v>0</v>
      </c>
    </row>
    <row r="57" spans="2:18" x14ac:dyDescent="0.3">
      <c r="B57" s="55"/>
      <c r="C57" s="55"/>
      <c r="D57" s="56"/>
      <c r="E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F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G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H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I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J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K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L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M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N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O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P57" s="30">
        <f ca="1">IF(AND($B57="",$C57=""),0,IF($C57="",SUMIFS(INDIRECT(TEXT(DATE(Stammdaten!$D$9,COLUMN()-COLUMN($E57)+1,1),"MMM")&amp;"!$L$9:$L$999"),INDIRECT(TEXT(DATE(Stammdaten!$D$9,COLUMN()-COLUMN($E57)+1,1),"MMM")&amp;"!$F$9:$F$999"),$B57),IF($B57="",SUMIFS(INDIRECT(TEXT(DATE(Stammdaten!$D$9,COLUMN()-COLUMN($E57)+1,1),"MMM")&amp;"!$L$9:$L$999"),INDIRECT(TEXT(DATE(Stammdaten!$D$9,COLUMN()-COLUMN($E57)+1,1),"MMM")&amp;"!$G$9:$G$999"),$C57),SUMIFS(INDIRECT(TEXT(DATE(Stammdaten!$D$9,COLUMN()-COLUMN($E57)+1,1),"MMM")&amp;"!$L$9:$L$999"),INDIRECT(TEXT(DATE(Stammdaten!$D$9,COLUMN()-COLUMN($E57)+1,1),"MMM")&amp;"!$F$9:$F$999"),IF($B57="","*",$B57),INDIRECT(TEXT(DATE(Stammdaten!$D$9,COLUMN()-COLUMN($E57)+1,1),"MMM")&amp;"!$G$9:$G$999"),IF($C57="","*",$C57)))))*24</f>
        <v>0</v>
      </c>
      <c r="Q57" s="74">
        <f t="shared" ca="1" si="4"/>
        <v>0</v>
      </c>
      <c r="R57" s="74">
        <f t="shared" ca="1" si="5"/>
        <v>0</v>
      </c>
    </row>
    <row r="58" spans="2:18" x14ac:dyDescent="0.3">
      <c r="B58" s="55"/>
      <c r="C58" s="55"/>
      <c r="D58" s="56"/>
      <c r="E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F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G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H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I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J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K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L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M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N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O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P58" s="30">
        <f ca="1">IF(AND($B58="",$C58=""),0,IF($C58="",SUMIFS(INDIRECT(TEXT(DATE(Stammdaten!$D$9,COLUMN()-COLUMN($E58)+1,1),"MMM")&amp;"!$L$9:$L$999"),INDIRECT(TEXT(DATE(Stammdaten!$D$9,COLUMN()-COLUMN($E58)+1,1),"MMM")&amp;"!$F$9:$F$999"),$B58),IF($B58="",SUMIFS(INDIRECT(TEXT(DATE(Stammdaten!$D$9,COLUMN()-COLUMN($E58)+1,1),"MMM")&amp;"!$L$9:$L$999"),INDIRECT(TEXT(DATE(Stammdaten!$D$9,COLUMN()-COLUMN($E58)+1,1),"MMM")&amp;"!$G$9:$G$999"),$C58),SUMIFS(INDIRECT(TEXT(DATE(Stammdaten!$D$9,COLUMN()-COLUMN($E58)+1,1),"MMM")&amp;"!$L$9:$L$999"),INDIRECT(TEXT(DATE(Stammdaten!$D$9,COLUMN()-COLUMN($E58)+1,1),"MMM")&amp;"!$F$9:$F$999"),IF($B58="","*",$B58),INDIRECT(TEXT(DATE(Stammdaten!$D$9,COLUMN()-COLUMN($E58)+1,1),"MMM")&amp;"!$G$9:$G$999"),IF($C58="","*",$C58)))))*24</f>
        <v>0</v>
      </c>
      <c r="Q58" s="74">
        <f t="shared" ca="1" si="4"/>
        <v>0</v>
      </c>
      <c r="R58" s="74">
        <f t="shared" ca="1" si="5"/>
        <v>0</v>
      </c>
    </row>
    <row r="59" spans="2:18" x14ac:dyDescent="0.3">
      <c r="B59" s="55"/>
      <c r="C59" s="55"/>
      <c r="D59" s="56"/>
      <c r="E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F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G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H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I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J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K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L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M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N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O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P59" s="30">
        <f ca="1">IF(AND($B59="",$C59=""),0,IF($C59="",SUMIFS(INDIRECT(TEXT(DATE(Stammdaten!$D$9,COLUMN()-COLUMN($E59)+1,1),"MMM")&amp;"!$L$9:$L$999"),INDIRECT(TEXT(DATE(Stammdaten!$D$9,COLUMN()-COLUMN($E59)+1,1),"MMM")&amp;"!$F$9:$F$999"),$B59),IF($B59="",SUMIFS(INDIRECT(TEXT(DATE(Stammdaten!$D$9,COLUMN()-COLUMN($E59)+1,1),"MMM")&amp;"!$L$9:$L$999"),INDIRECT(TEXT(DATE(Stammdaten!$D$9,COLUMN()-COLUMN($E59)+1,1),"MMM")&amp;"!$G$9:$G$999"),$C59),SUMIFS(INDIRECT(TEXT(DATE(Stammdaten!$D$9,COLUMN()-COLUMN($E59)+1,1),"MMM")&amp;"!$L$9:$L$999"),INDIRECT(TEXT(DATE(Stammdaten!$D$9,COLUMN()-COLUMN($E59)+1,1),"MMM")&amp;"!$F$9:$F$999"),IF($B59="","*",$B59),INDIRECT(TEXT(DATE(Stammdaten!$D$9,COLUMN()-COLUMN($E59)+1,1),"MMM")&amp;"!$G$9:$G$999"),IF($C59="","*",$C59)))))*24</f>
        <v>0</v>
      </c>
      <c r="Q59" s="74">
        <f t="shared" ca="1" si="4"/>
        <v>0</v>
      </c>
      <c r="R59" s="74">
        <f t="shared" ca="1" si="5"/>
        <v>0</v>
      </c>
    </row>
    <row r="60" spans="2:18" x14ac:dyDescent="0.3">
      <c r="B60" s="55"/>
      <c r="C60" s="55"/>
      <c r="D60" s="56"/>
      <c r="E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F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G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H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I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J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K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L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M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N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O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P60" s="30">
        <f ca="1">IF(AND($B60="",$C60=""),0,IF($C60="",SUMIFS(INDIRECT(TEXT(DATE(Stammdaten!$D$9,COLUMN()-COLUMN($E60)+1,1),"MMM")&amp;"!$L$9:$L$999"),INDIRECT(TEXT(DATE(Stammdaten!$D$9,COLUMN()-COLUMN($E60)+1,1),"MMM")&amp;"!$F$9:$F$999"),$B60),IF($B60="",SUMIFS(INDIRECT(TEXT(DATE(Stammdaten!$D$9,COLUMN()-COLUMN($E60)+1,1),"MMM")&amp;"!$L$9:$L$999"),INDIRECT(TEXT(DATE(Stammdaten!$D$9,COLUMN()-COLUMN($E60)+1,1),"MMM")&amp;"!$G$9:$G$999"),$C60),SUMIFS(INDIRECT(TEXT(DATE(Stammdaten!$D$9,COLUMN()-COLUMN($E60)+1,1),"MMM")&amp;"!$L$9:$L$999"),INDIRECT(TEXT(DATE(Stammdaten!$D$9,COLUMN()-COLUMN($E60)+1,1),"MMM")&amp;"!$F$9:$F$999"),IF($B60="","*",$B60),INDIRECT(TEXT(DATE(Stammdaten!$D$9,COLUMN()-COLUMN($E60)+1,1),"MMM")&amp;"!$G$9:$G$999"),IF($C60="","*",$C60)))))*24</f>
        <v>0</v>
      </c>
      <c r="Q60" s="74">
        <f t="shared" ca="1" si="4"/>
        <v>0</v>
      </c>
      <c r="R60" s="74">
        <f t="shared" ca="1" si="5"/>
        <v>0</v>
      </c>
    </row>
    <row r="61" spans="2:18" x14ac:dyDescent="0.3">
      <c r="B61" s="55"/>
      <c r="C61" s="55"/>
      <c r="D61" s="56"/>
      <c r="E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F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G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H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I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J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K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L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M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N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O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P61" s="30">
        <f ca="1">IF(AND($B61="",$C61=""),0,IF($C61="",SUMIFS(INDIRECT(TEXT(DATE(Stammdaten!$D$9,COLUMN()-COLUMN($E61)+1,1),"MMM")&amp;"!$L$9:$L$999"),INDIRECT(TEXT(DATE(Stammdaten!$D$9,COLUMN()-COLUMN($E61)+1,1),"MMM")&amp;"!$F$9:$F$999"),$B61),IF($B61="",SUMIFS(INDIRECT(TEXT(DATE(Stammdaten!$D$9,COLUMN()-COLUMN($E61)+1,1),"MMM")&amp;"!$L$9:$L$999"),INDIRECT(TEXT(DATE(Stammdaten!$D$9,COLUMN()-COLUMN($E61)+1,1),"MMM")&amp;"!$G$9:$G$999"),$C61),SUMIFS(INDIRECT(TEXT(DATE(Stammdaten!$D$9,COLUMN()-COLUMN($E61)+1,1),"MMM")&amp;"!$L$9:$L$999"),INDIRECT(TEXT(DATE(Stammdaten!$D$9,COLUMN()-COLUMN($E61)+1,1),"MMM")&amp;"!$F$9:$F$999"),IF($B61="","*",$B61),INDIRECT(TEXT(DATE(Stammdaten!$D$9,COLUMN()-COLUMN($E61)+1,1),"MMM")&amp;"!$G$9:$G$999"),IF($C61="","*",$C61)))))*24</f>
        <v>0</v>
      </c>
      <c r="Q61" s="74">
        <f t="shared" ca="1" si="4"/>
        <v>0</v>
      </c>
      <c r="R61" s="74">
        <f t="shared" ca="1" si="5"/>
        <v>0</v>
      </c>
    </row>
    <row r="62" spans="2:18" x14ac:dyDescent="0.3">
      <c r="B62" s="55"/>
      <c r="C62" s="55"/>
      <c r="D62" s="56"/>
      <c r="E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F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G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H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I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J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K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L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M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N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O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P62" s="30">
        <f ca="1">IF(AND($B62="",$C62=""),0,IF($C62="",SUMIFS(INDIRECT(TEXT(DATE(Stammdaten!$D$9,COLUMN()-COLUMN($E62)+1,1),"MMM")&amp;"!$L$9:$L$999"),INDIRECT(TEXT(DATE(Stammdaten!$D$9,COLUMN()-COLUMN($E62)+1,1),"MMM")&amp;"!$F$9:$F$999"),$B62),IF($B62="",SUMIFS(INDIRECT(TEXT(DATE(Stammdaten!$D$9,COLUMN()-COLUMN($E62)+1,1),"MMM")&amp;"!$L$9:$L$999"),INDIRECT(TEXT(DATE(Stammdaten!$D$9,COLUMN()-COLUMN($E62)+1,1),"MMM")&amp;"!$G$9:$G$999"),$C62),SUMIFS(INDIRECT(TEXT(DATE(Stammdaten!$D$9,COLUMN()-COLUMN($E62)+1,1),"MMM")&amp;"!$L$9:$L$999"),INDIRECT(TEXT(DATE(Stammdaten!$D$9,COLUMN()-COLUMN($E62)+1,1),"MMM")&amp;"!$F$9:$F$999"),IF($B62="","*",$B62),INDIRECT(TEXT(DATE(Stammdaten!$D$9,COLUMN()-COLUMN($E62)+1,1),"MMM")&amp;"!$G$9:$G$999"),IF($C62="","*",$C62)))))*24</f>
        <v>0</v>
      </c>
      <c r="Q62" s="74">
        <f t="shared" ca="1" si="4"/>
        <v>0</v>
      </c>
      <c r="R62" s="74">
        <f t="shared" ca="1" si="5"/>
        <v>0</v>
      </c>
    </row>
    <row r="63" spans="2:18" x14ac:dyDescent="0.3">
      <c r="B63" s="55"/>
      <c r="C63" s="55"/>
      <c r="D63" s="56"/>
      <c r="E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F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G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H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I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J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K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L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M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N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O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P63" s="30">
        <f ca="1">IF(AND($B63="",$C63=""),0,IF($C63="",SUMIFS(INDIRECT(TEXT(DATE(Stammdaten!$D$9,COLUMN()-COLUMN($E63)+1,1),"MMM")&amp;"!$L$9:$L$999"),INDIRECT(TEXT(DATE(Stammdaten!$D$9,COLUMN()-COLUMN($E63)+1,1),"MMM")&amp;"!$F$9:$F$999"),$B63),IF($B63="",SUMIFS(INDIRECT(TEXT(DATE(Stammdaten!$D$9,COLUMN()-COLUMN($E63)+1,1),"MMM")&amp;"!$L$9:$L$999"),INDIRECT(TEXT(DATE(Stammdaten!$D$9,COLUMN()-COLUMN($E63)+1,1),"MMM")&amp;"!$G$9:$G$999"),$C63),SUMIFS(INDIRECT(TEXT(DATE(Stammdaten!$D$9,COLUMN()-COLUMN($E63)+1,1),"MMM")&amp;"!$L$9:$L$999"),INDIRECT(TEXT(DATE(Stammdaten!$D$9,COLUMN()-COLUMN($E63)+1,1),"MMM")&amp;"!$F$9:$F$999"),IF($B63="","*",$B63),INDIRECT(TEXT(DATE(Stammdaten!$D$9,COLUMN()-COLUMN($E63)+1,1),"MMM")&amp;"!$G$9:$G$999"),IF($C63="","*",$C63)))))*24</f>
        <v>0</v>
      </c>
      <c r="Q63" s="74">
        <f t="shared" ca="1" si="4"/>
        <v>0</v>
      </c>
      <c r="R63" s="74">
        <f t="shared" ca="1" si="5"/>
        <v>0</v>
      </c>
    </row>
    <row r="64" spans="2:18" x14ac:dyDescent="0.3">
      <c r="B64" s="55"/>
      <c r="C64" s="55"/>
      <c r="D64" s="56"/>
      <c r="E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F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G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H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I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J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K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L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M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N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O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P64" s="30">
        <f ca="1">IF(AND($B64="",$C64=""),0,IF($C64="",SUMIFS(INDIRECT(TEXT(DATE(Stammdaten!$D$9,COLUMN()-COLUMN($E64)+1,1),"MMM")&amp;"!$L$9:$L$999"),INDIRECT(TEXT(DATE(Stammdaten!$D$9,COLUMN()-COLUMN($E64)+1,1),"MMM")&amp;"!$F$9:$F$999"),$B64),IF($B64="",SUMIFS(INDIRECT(TEXT(DATE(Stammdaten!$D$9,COLUMN()-COLUMN($E64)+1,1),"MMM")&amp;"!$L$9:$L$999"),INDIRECT(TEXT(DATE(Stammdaten!$D$9,COLUMN()-COLUMN($E64)+1,1),"MMM")&amp;"!$G$9:$G$999"),$C64),SUMIFS(INDIRECT(TEXT(DATE(Stammdaten!$D$9,COLUMN()-COLUMN($E64)+1,1),"MMM")&amp;"!$L$9:$L$999"),INDIRECT(TEXT(DATE(Stammdaten!$D$9,COLUMN()-COLUMN($E64)+1,1),"MMM")&amp;"!$F$9:$F$999"),IF($B64="","*",$B64),INDIRECT(TEXT(DATE(Stammdaten!$D$9,COLUMN()-COLUMN($E64)+1,1),"MMM")&amp;"!$G$9:$G$999"),IF($C64="","*",$C64)))))*24</f>
        <v>0</v>
      </c>
      <c r="Q64" s="74">
        <f t="shared" ca="1" si="4"/>
        <v>0</v>
      </c>
      <c r="R64" s="74">
        <f t="shared" ca="1" si="5"/>
        <v>0</v>
      </c>
    </row>
    <row r="65" spans="2:18" x14ac:dyDescent="0.3">
      <c r="B65" s="55"/>
      <c r="C65" s="55"/>
      <c r="D65" s="56"/>
      <c r="E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F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G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H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I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J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K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L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M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N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O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P65" s="30">
        <f ca="1">IF(AND($B65="",$C65=""),0,IF($C65="",SUMIFS(INDIRECT(TEXT(DATE(Stammdaten!$D$9,COLUMN()-COLUMN($E65)+1,1),"MMM")&amp;"!$L$9:$L$999"),INDIRECT(TEXT(DATE(Stammdaten!$D$9,COLUMN()-COLUMN($E65)+1,1),"MMM")&amp;"!$F$9:$F$999"),$B65),IF($B65="",SUMIFS(INDIRECT(TEXT(DATE(Stammdaten!$D$9,COLUMN()-COLUMN($E65)+1,1),"MMM")&amp;"!$L$9:$L$999"),INDIRECT(TEXT(DATE(Stammdaten!$D$9,COLUMN()-COLUMN($E65)+1,1),"MMM")&amp;"!$G$9:$G$999"),$C65),SUMIFS(INDIRECT(TEXT(DATE(Stammdaten!$D$9,COLUMN()-COLUMN($E65)+1,1),"MMM")&amp;"!$L$9:$L$999"),INDIRECT(TEXT(DATE(Stammdaten!$D$9,COLUMN()-COLUMN($E65)+1,1),"MMM")&amp;"!$F$9:$F$999"),IF($B65="","*",$B65),INDIRECT(TEXT(DATE(Stammdaten!$D$9,COLUMN()-COLUMN($E65)+1,1),"MMM")&amp;"!$G$9:$G$999"),IF($C65="","*",$C65)))))*24</f>
        <v>0</v>
      </c>
      <c r="Q65" s="74">
        <f t="shared" ca="1" si="4"/>
        <v>0</v>
      </c>
      <c r="R65" s="74">
        <f t="shared" ca="1" si="5"/>
        <v>0</v>
      </c>
    </row>
    <row r="66" spans="2:18" x14ac:dyDescent="0.3">
      <c r="B66" s="55"/>
      <c r="C66" s="55"/>
      <c r="D66" s="56"/>
      <c r="E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F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G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H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I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J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K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L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M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N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O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P66" s="30">
        <f ca="1">IF(AND($B66="",$C66=""),0,IF($C66="",SUMIFS(INDIRECT(TEXT(DATE(Stammdaten!$D$9,COLUMN()-COLUMN($E66)+1,1),"MMM")&amp;"!$L$9:$L$999"),INDIRECT(TEXT(DATE(Stammdaten!$D$9,COLUMN()-COLUMN($E66)+1,1),"MMM")&amp;"!$F$9:$F$999"),$B66),IF($B66="",SUMIFS(INDIRECT(TEXT(DATE(Stammdaten!$D$9,COLUMN()-COLUMN($E66)+1,1),"MMM")&amp;"!$L$9:$L$999"),INDIRECT(TEXT(DATE(Stammdaten!$D$9,COLUMN()-COLUMN($E66)+1,1),"MMM")&amp;"!$G$9:$G$999"),$C66),SUMIFS(INDIRECT(TEXT(DATE(Stammdaten!$D$9,COLUMN()-COLUMN($E66)+1,1),"MMM")&amp;"!$L$9:$L$999"),INDIRECT(TEXT(DATE(Stammdaten!$D$9,COLUMN()-COLUMN($E66)+1,1),"MMM")&amp;"!$F$9:$F$999"),IF($B66="","*",$B66),INDIRECT(TEXT(DATE(Stammdaten!$D$9,COLUMN()-COLUMN($E66)+1,1),"MMM")&amp;"!$G$9:$G$999"),IF($C66="","*",$C66)))))*24</f>
        <v>0</v>
      </c>
      <c r="Q66" s="74">
        <f t="shared" ca="1" si="4"/>
        <v>0</v>
      </c>
      <c r="R66" s="74">
        <f t="shared" ca="1" si="5"/>
        <v>0</v>
      </c>
    </row>
    <row r="67" spans="2:18" x14ac:dyDescent="0.3">
      <c r="B67" s="55"/>
      <c r="C67" s="55"/>
      <c r="D67" s="56"/>
      <c r="E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F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G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H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I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J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K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L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M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N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O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P67" s="30">
        <f ca="1">IF(AND($B67="",$C67=""),0,IF($C67="",SUMIFS(INDIRECT(TEXT(DATE(Stammdaten!$D$9,COLUMN()-COLUMN($E67)+1,1),"MMM")&amp;"!$L$9:$L$999"),INDIRECT(TEXT(DATE(Stammdaten!$D$9,COLUMN()-COLUMN($E67)+1,1),"MMM")&amp;"!$F$9:$F$999"),$B67),IF($B67="",SUMIFS(INDIRECT(TEXT(DATE(Stammdaten!$D$9,COLUMN()-COLUMN($E67)+1,1),"MMM")&amp;"!$L$9:$L$999"),INDIRECT(TEXT(DATE(Stammdaten!$D$9,COLUMN()-COLUMN($E67)+1,1),"MMM")&amp;"!$G$9:$G$999"),$C67),SUMIFS(INDIRECT(TEXT(DATE(Stammdaten!$D$9,COLUMN()-COLUMN($E67)+1,1),"MMM")&amp;"!$L$9:$L$999"),INDIRECT(TEXT(DATE(Stammdaten!$D$9,COLUMN()-COLUMN($E67)+1,1),"MMM")&amp;"!$F$9:$F$999"),IF($B67="","*",$B67),INDIRECT(TEXT(DATE(Stammdaten!$D$9,COLUMN()-COLUMN($E67)+1,1),"MMM")&amp;"!$G$9:$G$999"),IF($C67="","*",$C67)))))*24</f>
        <v>0</v>
      </c>
      <c r="Q67" s="74">
        <f t="shared" ca="1" si="4"/>
        <v>0</v>
      </c>
      <c r="R67" s="74">
        <f t="shared" ca="1" si="5"/>
        <v>0</v>
      </c>
    </row>
    <row r="68" spans="2:18" x14ac:dyDescent="0.3">
      <c r="B68" s="55"/>
      <c r="C68" s="55"/>
      <c r="D68" s="56"/>
      <c r="E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F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G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H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I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J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K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L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M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N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O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P68" s="30">
        <f ca="1">IF(AND($B68="",$C68=""),0,IF($C68="",SUMIFS(INDIRECT(TEXT(DATE(Stammdaten!$D$9,COLUMN()-COLUMN($E68)+1,1),"MMM")&amp;"!$L$9:$L$999"),INDIRECT(TEXT(DATE(Stammdaten!$D$9,COLUMN()-COLUMN($E68)+1,1),"MMM")&amp;"!$F$9:$F$999"),$B68),IF($B68="",SUMIFS(INDIRECT(TEXT(DATE(Stammdaten!$D$9,COLUMN()-COLUMN($E68)+1,1),"MMM")&amp;"!$L$9:$L$999"),INDIRECT(TEXT(DATE(Stammdaten!$D$9,COLUMN()-COLUMN($E68)+1,1),"MMM")&amp;"!$G$9:$G$999"),$C68),SUMIFS(INDIRECT(TEXT(DATE(Stammdaten!$D$9,COLUMN()-COLUMN($E68)+1,1),"MMM")&amp;"!$L$9:$L$999"),INDIRECT(TEXT(DATE(Stammdaten!$D$9,COLUMN()-COLUMN($E68)+1,1),"MMM")&amp;"!$F$9:$F$999"),IF($B68="","*",$B68),INDIRECT(TEXT(DATE(Stammdaten!$D$9,COLUMN()-COLUMN($E68)+1,1),"MMM")&amp;"!$G$9:$G$999"),IF($C68="","*",$C68)))))*24</f>
        <v>0</v>
      </c>
      <c r="Q68" s="74">
        <f t="shared" ca="1" si="4"/>
        <v>0</v>
      </c>
      <c r="R68" s="74">
        <f t="shared" ca="1" si="5"/>
        <v>0</v>
      </c>
    </row>
    <row r="69" spans="2:18" x14ac:dyDescent="0.3">
      <c r="B69" s="55"/>
      <c r="C69" s="55"/>
      <c r="D69" s="56"/>
      <c r="E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F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G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H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I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J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K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L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M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N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O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P69" s="30">
        <f ca="1">IF(AND($B69="",$C69=""),0,IF($C69="",SUMIFS(INDIRECT(TEXT(DATE(Stammdaten!$D$9,COLUMN()-COLUMN($E69)+1,1),"MMM")&amp;"!$L$9:$L$999"),INDIRECT(TEXT(DATE(Stammdaten!$D$9,COLUMN()-COLUMN($E69)+1,1),"MMM")&amp;"!$F$9:$F$999"),$B69),IF($B69="",SUMIFS(INDIRECT(TEXT(DATE(Stammdaten!$D$9,COLUMN()-COLUMN($E69)+1,1),"MMM")&amp;"!$L$9:$L$999"),INDIRECT(TEXT(DATE(Stammdaten!$D$9,COLUMN()-COLUMN($E69)+1,1),"MMM")&amp;"!$G$9:$G$999"),$C69),SUMIFS(INDIRECT(TEXT(DATE(Stammdaten!$D$9,COLUMN()-COLUMN($E69)+1,1),"MMM")&amp;"!$L$9:$L$999"),INDIRECT(TEXT(DATE(Stammdaten!$D$9,COLUMN()-COLUMN($E69)+1,1),"MMM")&amp;"!$F$9:$F$999"),IF($B69="","*",$B69),INDIRECT(TEXT(DATE(Stammdaten!$D$9,COLUMN()-COLUMN($E69)+1,1),"MMM")&amp;"!$G$9:$G$999"),IF($C69="","*",$C69)))))*24</f>
        <v>0</v>
      </c>
      <c r="Q69" s="74">
        <f t="shared" ca="1" si="4"/>
        <v>0</v>
      </c>
      <c r="R69" s="74">
        <f t="shared" ca="1" si="5"/>
        <v>0</v>
      </c>
    </row>
    <row r="70" spans="2:18" x14ac:dyDescent="0.3">
      <c r="B70" s="55"/>
      <c r="C70" s="55"/>
      <c r="D70" s="56"/>
      <c r="E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F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G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H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I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J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K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L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M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N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O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P70" s="30">
        <f ca="1">IF(AND($B70="",$C70=""),0,IF($C70="",SUMIFS(INDIRECT(TEXT(DATE(Stammdaten!$D$9,COLUMN()-COLUMN($E70)+1,1),"MMM")&amp;"!$L$9:$L$999"),INDIRECT(TEXT(DATE(Stammdaten!$D$9,COLUMN()-COLUMN($E70)+1,1),"MMM")&amp;"!$F$9:$F$999"),$B70),IF($B70="",SUMIFS(INDIRECT(TEXT(DATE(Stammdaten!$D$9,COLUMN()-COLUMN($E70)+1,1),"MMM")&amp;"!$L$9:$L$999"),INDIRECT(TEXT(DATE(Stammdaten!$D$9,COLUMN()-COLUMN($E70)+1,1),"MMM")&amp;"!$G$9:$G$999"),$C70),SUMIFS(INDIRECT(TEXT(DATE(Stammdaten!$D$9,COLUMN()-COLUMN($E70)+1,1),"MMM")&amp;"!$L$9:$L$999"),INDIRECT(TEXT(DATE(Stammdaten!$D$9,COLUMN()-COLUMN($E70)+1,1),"MMM")&amp;"!$F$9:$F$999"),IF($B70="","*",$B70),INDIRECT(TEXT(DATE(Stammdaten!$D$9,COLUMN()-COLUMN($E70)+1,1),"MMM")&amp;"!$G$9:$G$999"),IF($C70="","*",$C70)))))*24</f>
        <v>0</v>
      </c>
      <c r="Q70" s="74">
        <f t="shared" ca="1" si="4"/>
        <v>0</v>
      </c>
      <c r="R70" s="74">
        <f t="shared" ca="1" si="5"/>
        <v>0</v>
      </c>
    </row>
    <row r="71" spans="2:18" x14ac:dyDescent="0.3">
      <c r="B71" s="55"/>
      <c r="C71" s="55"/>
      <c r="D71" s="56"/>
      <c r="E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F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G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H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I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J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K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L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M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N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O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P71" s="30">
        <f ca="1">IF(AND($B71="",$C71=""),0,IF($C71="",SUMIFS(INDIRECT(TEXT(DATE(Stammdaten!$D$9,COLUMN()-COLUMN($E71)+1,1),"MMM")&amp;"!$L$9:$L$999"),INDIRECT(TEXT(DATE(Stammdaten!$D$9,COLUMN()-COLUMN($E71)+1,1),"MMM")&amp;"!$F$9:$F$999"),$B71),IF($B71="",SUMIFS(INDIRECT(TEXT(DATE(Stammdaten!$D$9,COLUMN()-COLUMN($E71)+1,1),"MMM")&amp;"!$L$9:$L$999"),INDIRECT(TEXT(DATE(Stammdaten!$D$9,COLUMN()-COLUMN($E71)+1,1),"MMM")&amp;"!$G$9:$G$999"),$C71),SUMIFS(INDIRECT(TEXT(DATE(Stammdaten!$D$9,COLUMN()-COLUMN($E71)+1,1),"MMM")&amp;"!$L$9:$L$999"),INDIRECT(TEXT(DATE(Stammdaten!$D$9,COLUMN()-COLUMN($E71)+1,1),"MMM")&amp;"!$F$9:$F$999"),IF($B71="","*",$B71),INDIRECT(TEXT(DATE(Stammdaten!$D$9,COLUMN()-COLUMN($E71)+1,1),"MMM")&amp;"!$G$9:$G$999"),IF($C71="","*",$C71)))))*24</f>
        <v>0</v>
      </c>
      <c r="Q71" s="74">
        <f t="shared" ca="1" si="4"/>
        <v>0</v>
      </c>
      <c r="R71" s="74">
        <f t="shared" ca="1" si="5"/>
        <v>0</v>
      </c>
    </row>
    <row r="72" spans="2:18" x14ac:dyDescent="0.3">
      <c r="B72" s="55"/>
      <c r="C72" s="55"/>
      <c r="D72" s="56"/>
      <c r="E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F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G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H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I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J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K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L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M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N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O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P72" s="30">
        <f ca="1">IF(AND($B72="",$C72=""),0,IF($C72="",SUMIFS(INDIRECT(TEXT(DATE(Stammdaten!$D$9,COLUMN()-COLUMN($E72)+1,1),"MMM")&amp;"!$L$9:$L$999"),INDIRECT(TEXT(DATE(Stammdaten!$D$9,COLUMN()-COLUMN($E72)+1,1),"MMM")&amp;"!$F$9:$F$999"),$B72),IF($B72="",SUMIFS(INDIRECT(TEXT(DATE(Stammdaten!$D$9,COLUMN()-COLUMN($E72)+1,1),"MMM")&amp;"!$L$9:$L$999"),INDIRECT(TEXT(DATE(Stammdaten!$D$9,COLUMN()-COLUMN($E72)+1,1),"MMM")&amp;"!$G$9:$G$999"),$C72),SUMIFS(INDIRECT(TEXT(DATE(Stammdaten!$D$9,COLUMN()-COLUMN($E72)+1,1),"MMM")&amp;"!$L$9:$L$999"),INDIRECT(TEXT(DATE(Stammdaten!$D$9,COLUMN()-COLUMN($E72)+1,1),"MMM")&amp;"!$F$9:$F$999"),IF($B72="","*",$B72),INDIRECT(TEXT(DATE(Stammdaten!$D$9,COLUMN()-COLUMN($E72)+1,1),"MMM")&amp;"!$G$9:$G$999"),IF($C72="","*",$C72)))))*24</f>
        <v>0</v>
      </c>
      <c r="Q72" s="74">
        <f t="shared" ca="1" si="4"/>
        <v>0</v>
      </c>
      <c r="R72" s="74">
        <f t="shared" ca="1" si="5"/>
        <v>0</v>
      </c>
    </row>
    <row r="73" spans="2:18" x14ac:dyDescent="0.3">
      <c r="B73" s="55"/>
      <c r="C73" s="55"/>
      <c r="D73" s="56"/>
      <c r="E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F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G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H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I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J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K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L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M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N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O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P73" s="30">
        <f ca="1">IF(AND($B73="",$C73=""),0,IF($C73="",SUMIFS(INDIRECT(TEXT(DATE(Stammdaten!$D$9,COLUMN()-COLUMN($E73)+1,1),"MMM")&amp;"!$L$9:$L$999"),INDIRECT(TEXT(DATE(Stammdaten!$D$9,COLUMN()-COLUMN($E73)+1,1),"MMM")&amp;"!$F$9:$F$999"),$B73),IF($B73="",SUMIFS(INDIRECT(TEXT(DATE(Stammdaten!$D$9,COLUMN()-COLUMN($E73)+1,1),"MMM")&amp;"!$L$9:$L$999"),INDIRECT(TEXT(DATE(Stammdaten!$D$9,COLUMN()-COLUMN($E73)+1,1),"MMM")&amp;"!$G$9:$G$999"),$C73),SUMIFS(INDIRECT(TEXT(DATE(Stammdaten!$D$9,COLUMN()-COLUMN($E73)+1,1),"MMM")&amp;"!$L$9:$L$999"),INDIRECT(TEXT(DATE(Stammdaten!$D$9,COLUMN()-COLUMN($E73)+1,1),"MMM")&amp;"!$F$9:$F$999"),IF($B73="","*",$B73),INDIRECT(TEXT(DATE(Stammdaten!$D$9,COLUMN()-COLUMN($E73)+1,1),"MMM")&amp;"!$G$9:$G$999"),IF($C73="","*",$C73)))))*24</f>
        <v>0</v>
      </c>
      <c r="Q73" s="74">
        <f t="shared" ca="1" si="4"/>
        <v>0</v>
      </c>
      <c r="R73" s="74">
        <f t="shared" ca="1" si="5"/>
        <v>0</v>
      </c>
    </row>
    <row r="74" spans="2:18" x14ac:dyDescent="0.3">
      <c r="B74" s="55"/>
      <c r="C74" s="55"/>
      <c r="D74" s="56"/>
      <c r="E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F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G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H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I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J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K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L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M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N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O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P74" s="30">
        <f ca="1">IF(AND($B74="",$C74=""),0,IF($C74="",SUMIFS(INDIRECT(TEXT(DATE(Stammdaten!$D$9,COLUMN()-COLUMN($E74)+1,1),"MMM")&amp;"!$L$9:$L$999"),INDIRECT(TEXT(DATE(Stammdaten!$D$9,COLUMN()-COLUMN($E74)+1,1),"MMM")&amp;"!$F$9:$F$999"),$B74),IF($B74="",SUMIFS(INDIRECT(TEXT(DATE(Stammdaten!$D$9,COLUMN()-COLUMN($E74)+1,1),"MMM")&amp;"!$L$9:$L$999"),INDIRECT(TEXT(DATE(Stammdaten!$D$9,COLUMN()-COLUMN($E74)+1,1),"MMM")&amp;"!$G$9:$G$999"),$C74),SUMIFS(INDIRECT(TEXT(DATE(Stammdaten!$D$9,COLUMN()-COLUMN($E74)+1,1),"MMM")&amp;"!$L$9:$L$999"),INDIRECT(TEXT(DATE(Stammdaten!$D$9,COLUMN()-COLUMN($E74)+1,1),"MMM")&amp;"!$F$9:$F$999"),IF($B74="","*",$B74),INDIRECT(TEXT(DATE(Stammdaten!$D$9,COLUMN()-COLUMN($E74)+1,1),"MMM")&amp;"!$G$9:$G$999"),IF($C74="","*",$C74)))))*24</f>
        <v>0</v>
      </c>
      <c r="Q74" s="74">
        <f t="shared" ca="1" si="4"/>
        <v>0</v>
      </c>
      <c r="R74" s="74">
        <f t="shared" ca="1" si="5"/>
        <v>0</v>
      </c>
    </row>
    <row r="75" spans="2:18" x14ac:dyDescent="0.3">
      <c r="B75" s="55"/>
      <c r="C75" s="55"/>
      <c r="D75" s="56"/>
      <c r="E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F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G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H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I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J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K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L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M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N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O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P75" s="30">
        <f ca="1">IF(AND($B75="",$C75=""),0,IF($C75="",SUMIFS(INDIRECT(TEXT(DATE(Stammdaten!$D$9,COLUMN()-COLUMN($E75)+1,1),"MMM")&amp;"!$L$9:$L$999"),INDIRECT(TEXT(DATE(Stammdaten!$D$9,COLUMN()-COLUMN($E75)+1,1),"MMM")&amp;"!$F$9:$F$999"),$B75),IF($B75="",SUMIFS(INDIRECT(TEXT(DATE(Stammdaten!$D$9,COLUMN()-COLUMN($E75)+1,1),"MMM")&amp;"!$L$9:$L$999"),INDIRECT(TEXT(DATE(Stammdaten!$D$9,COLUMN()-COLUMN($E75)+1,1),"MMM")&amp;"!$G$9:$G$999"),$C75),SUMIFS(INDIRECT(TEXT(DATE(Stammdaten!$D$9,COLUMN()-COLUMN($E75)+1,1),"MMM")&amp;"!$L$9:$L$999"),INDIRECT(TEXT(DATE(Stammdaten!$D$9,COLUMN()-COLUMN($E75)+1,1),"MMM")&amp;"!$F$9:$F$999"),IF($B75="","*",$B75),INDIRECT(TEXT(DATE(Stammdaten!$D$9,COLUMN()-COLUMN($E75)+1,1),"MMM")&amp;"!$G$9:$G$999"),IF($C75="","*",$C75)))))*24</f>
        <v>0</v>
      </c>
      <c r="Q75" s="74">
        <f t="shared" ca="1" si="4"/>
        <v>0</v>
      </c>
      <c r="R75" s="74">
        <f t="shared" ca="1" si="5"/>
        <v>0</v>
      </c>
    </row>
    <row r="76" spans="2:18" x14ac:dyDescent="0.3">
      <c r="B76" s="55"/>
      <c r="C76" s="55"/>
      <c r="D76" s="56"/>
      <c r="E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F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G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H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I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J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K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L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M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N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O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P76" s="30">
        <f ca="1">IF(AND($B76="",$C76=""),0,IF($C76="",SUMIFS(INDIRECT(TEXT(DATE(Stammdaten!$D$9,COLUMN()-COLUMN($E76)+1,1),"MMM")&amp;"!$L$9:$L$999"),INDIRECT(TEXT(DATE(Stammdaten!$D$9,COLUMN()-COLUMN($E76)+1,1),"MMM")&amp;"!$F$9:$F$999"),$B76),IF($B76="",SUMIFS(INDIRECT(TEXT(DATE(Stammdaten!$D$9,COLUMN()-COLUMN($E76)+1,1),"MMM")&amp;"!$L$9:$L$999"),INDIRECT(TEXT(DATE(Stammdaten!$D$9,COLUMN()-COLUMN($E76)+1,1),"MMM")&amp;"!$G$9:$G$999"),$C76),SUMIFS(INDIRECT(TEXT(DATE(Stammdaten!$D$9,COLUMN()-COLUMN($E76)+1,1),"MMM")&amp;"!$L$9:$L$999"),INDIRECT(TEXT(DATE(Stammdaten!$D$9,COLUMN()-COLUMN($E76)+1,1),"MMM")&amp;"!$F$9:$F$999"),IF($B76="","*",$B76),INDIRECT(TEXT(DATE(Stammdaten!$D$9,COLUMN()-COLUMN($E76)+1,1),"MMM")&amp;"!$G$9:$G$999"),IF($C76="","*",$C76)))))*24</f>
        <v>0</v>
      </c>
      <c r="Q76" s="74">
        <f t="shared" ca="1" si="4"/>
        <v>0</v>
      </c>
      <c r="R76" s="74">
        <f t="shared" ca="1" si="5"/>
        <v>0</v>
      </c>
    </row>
    <row r="77" spans="2:18" x14ac:dyDescent="0.3">
      <c r="B77" s="55"/>
      <c r="C77" s="55"/>
      <c r="D77" s="56"/>
      <c r="E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F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G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H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I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J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K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L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M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N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O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P77" s="30">
        <f ca="1">IF(AND($B77="",$C77=""),0,IF($C77="",SUMIFS(INDIRECT(TEXT(DATE(Stammdaten!$D$9,COLUMN()-COLUMN($E77)+1,1),"MMM")&amp;"!$L$9:$L$999"),INDIRECT(TEXT(DATE(Stammdaten!$D$9,COLUMN()-COLUMN($E77)+1,1),"MMM")&amp;"!$F$9:$F$999"),$B77),IF($B77="",SUMIFS(INDIRECT(TEXT(DATE(Stammdaten!$D$9,COLUMN()-COLUMN($E77)+1,1),"MMM")&amp;"!$L$9:$L$999"),INDIRECT(TEXT(DATE(Stammdaten!$D$9,COLUMN()-COLUMN($E77)+1,1),"MMM")&amp;"!$G$9:$G$999"),$C77),SUMIFS(INDIRECT(TEXT(DATE(Stammdaten!$D$9,COLUMN()-COLUMN($E77)+1,1),"MMM")&amp;"!$L$9:$L$999"),INDIRECT(TEXT(DATE(Stammdaten!$D$9,COLUMN()-COLUMN($E77)+1,1),"MMM")&amp;"!$F$9:$F$999"),IF($B77="","*",$B77),INDIRECT(TEXT(DATE(Stammdaten!$D$9,COLUMN()-COLUMN($E77)+1,1),"MMM")&amp;"!$G$9:$G$999"),IF($C77="","*",$C77)))))*24</f>
        <v>0</v>
      </c>
      <c r="Q77" s="74">
        <f t="shared" ca="1" si="4"/>
        <v>0</v>
      </c>
      <c r="R77" s="74">
        <f t="shared" ca="1" si="5"/>
        <v>0</v>
      </c>
    </row>
    <row r="78" spans="2:18" x14ac:dyDescent="0.3">
      <c r="B78" s="55"/>
      <c r="C78" s="55"/>
      <c r="D78" s="56"/>
      <c r="E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F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G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H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I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J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K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L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M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N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O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P78" s="30">
        <f ca="1">IF(AND($B78="",$C78=""),0,IF($C78="",SUMIFS(INDIRECT(TEXT(DATE(Stammdaten!$D$9,COLUMN()-COLUMN($E78)+1,1),"MMM")&amp;"!$L$9:$L$999"),INDIRECT(TEXT(DATE(Stammdaten!$D$9,COLUMN()-COLUMN($E78)+1,1),"MMM")&amp;"!$F$9:$F$999"),$B78),IF($B78="",SUMIFS(INDIRECT(TEXT(DATE(Stammdaten!$D$9,COLUMN()-COLUMN($E78)+1,1),"MMM")&amp;"!$L$9:$L$999"),INDIRECT(TEXT(DATE(Stammdaten!$D$9,COLUMN()-COLUMN($E78)+1,1),"MMM")&amp;"!$G$9:$G$999"),$C78),SUMIFS(INDIRECT(TEXT(DATE(Stammdaten!$D$9,COLUMN()-COLUMN($E78)+1,1),"MMM")&amp;"!$L$9:$L$999"),INDIRECT(TEXT(DATE(Stammdaten!$D$9,COLUMN()-COLUMN($E78)+1,1),"MMM")&amp;"!$F$9:$F$999"),IF($B78="","*",$B78),INDIRECT(TEXT(DATE(Stammdaten!$D$9,COLUMN()-COLUMN($E78)+1,1),"MMM")&amp;"!$G$9:$G$999"),IF($C78="","*",$C78)))))*24</f>
        <v>0</v>
      </c>
      <c r="Q78" s="74">
        <f t="shared" ca="1" si="4"/>
        <v>0</v>
      </c>
      <c r="R78" s="74">
        <f t="shared" ca="1" si="5"/>
        <v>0</v>
      </c>
    </row>
    <row r="79" spans="2:18" x14ac:dyDescent="0.3">
      <c r="B79" s="55"/>
      <c r="C79" s="55"/>
      <c r="D79" s="56"/>
      <c r="E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F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G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H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I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J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K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L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M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N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O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P79" s="30">
        <f ca="1">IF(AND($B79="",$C79=""),0,IF($C79="",SUMIFS(INDIRECT(TEXT(DATE(Stammdaten!$D$9,COLUMN()-COLUMN($E79)+1,1),"MMM")&amp;"!$L$9:$L$999"),INDIRECT(TEXT(DATE(Stammdaten!$D$9,COLUMN()-COLUMN($E79)+1,1),"MMM")&amp;"!$F$9:$F$999"),$B79),IF($B79="",SUMIFS(INDIRECT(TEXT(DATE(Stammdaten!$D$9,COLUMN()-COLUMN($E79)+1,1),"MMM")&amp;"!$L$9:$L$999"),INDIRECT(TEXT(DATE(Stammdaten!$D$9,COLUMN()-COLUMN($E79)+1,1),"MMM")&amp;"!$G$9:$G$999"),$C79),SUMIFS(INDIRECT(TEXT(DATE(Stammdaten!$D$9,COLUMN()-COLUMN($E79)+1,1),"MMM")&amp;"!$L$9:$L$999"),INDIRECT(TEXT(DATE(Stammdaten!$D$9,COLUMN()-COLUMN($E79)+1,1),"MMM")&amp;"!$F$9:$F$999"),IF($B79="","*",$B79),INDIRECT(TEXT(DATE(Stammdaten!$D$9,COLUMN()-COLUMN($E79)+1,1),"MMM")&amp;"!$G$9:$G$999"),IF($C79="","*",$C79)))))*24</f>
        <v>0</v>
      </c>
      <c r="Q79" s="74">
        <f t="shared" ca="1" si="4"/>
        <v>0</v>
      </c>
      <c r="R79" s="74">
        <f t="shared" ca="1" si="5"/>
        <v>0</v>
      </c>
    </row>
    <row r="80" spans="2:18" x14ac:dyDescent="0.3">
      <c r="B80" s="55"/>
      <c r="C80" s="55"/>
      <c r="D80" s="56"/>
      <c r="E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F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G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H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I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J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K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L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M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N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O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P80" s="30">
        <f ca="1">IF(AND($B80="",$C80=""),0,IF($C80="",SUMIFS(INDIRECT(TEXT(DATE(Stammdaten!$D$9,COLUMN()-COLUMN($E80)+1,1),"MMM")&amp;"!$L$9:$L$999"),INDIRECT(TEXT(DATE(Stammdaten!$D$9,COLUMN()-COLUMN($E80)+1,1),"MMM")&amp;"!$F$9:$F$999"),$B80),IF($B80="",SUMIFS(INDIRECT(TEXT(DATE(Stammdaten!$D$9,COLUMN()-COLUMN($E80)+1,1),"MMM")&amp;"!$L$9:$L$999"),INDIRECT(TEXT(DATE(Stammdaten!$D$9,COLUMN()-COLUMN($E80)+1,1),"MMM")&amp;"!$G$9:$G$999"),$C80),SUMIFS(INDIRECT(TEXT(DATE(Stammdaten!$D$9,COLUMN()-COLUMN($E80)+1,1),"MMM")&amp;"!$L$9:$L$999"),INDIRECT(TEXT(DATE(Stammdaten!$D$9,COLUMN()-COLUMN($E80)+1,1),"MMM")&amp;"!$F$9:$F$999"),IF($B80="","*",$B80),INDIRECT(TEXT(DATE(Stammdaten!$D$9,COLUMN()-COLUMN($E80)+1,1),"MMM")&amp;"!$G$9:$G$999"),IF($C80="","*",$C80)))))*24</f>
        <v>0</v>
      </c>
      <c r="Q80" s="74">
        <f t="shared" ca="1" si="4"/>
        <v>0</v>
      </c>
      <c r="R80" s="74">
        <f t="shared" ca="1" si="5"/>
        <v>0</v>
      </c>
    </row>
    <row r="81" spans="2:18" x14ac:dyDescent="0.3">
      <c r="B81" s="55"/>
      <c r="C81" s="55"/>
      <c r="D81" s="56"/>
      <c r="E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F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G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H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I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J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K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L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M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N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O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P81" s="30">
        <f ca="1">IF(AND($B81="",$C81=""),0,IF($C81="",SUMIFS(INDIRECT(TEXT(DATE(Stammdaten!$D$9,COLUMN()-COLUMN($E81)+1,1),"MMM")&amp;"!$L$9:$L$999"),INDIRECT(TEXT(DATE(Stammdaten!$D$9,COLUMN()-COLUMN($E81)+1,1),"MMM")&amp;"!$F$9:$F$999"),$B81),IF($B81="",SUMIFS(INDIRECT(TEXT(DATE(Stammdaten!$D$9,COLUMN()-COLUMN($E81)+1,1),"MMM")&amp;"!$L$9:$L$999"),INDIRECT(TEXT(DATE(Stammdaten!$D$9,COLUMN()-COLUMN($E81)+1,1),"MMM")&amp;"!$G$9:$G$999"),$C81),SUMIFS(INDIRECT(TEXT(DATE(Stammdaten!$D$9,COLUMN()-COLUMN($E81)+1,1),"MMM")&amp;"!$L$9:$L$999"),INDIRECT(TEXT(DATE(Stammdaten!$D$9,COLUMN()-COLUMN($E81)+1,1),"MMM")&amp;"!$F$9:$F$999"),IF($B81="","*",$B81),INDIRECT(TEXT(DATE(Stammdaten!$D$9,COLUMN()-COLUMN($E81)+1,1),"MMM")&amp;"!$G$9:$G$999"),IF($C81="","*",$C81)))))*24</f>
        <v>0</v>
      </c>
      <c r="Q81" s="74">
        <f t="shared" ca="1" si="4"/>
        <v>0</v>
      </c>
      <c r="R81" s="74">
        <f t="shared" ca="1" si="5"/>
        <v>0</v>
      </c>
    </row>
    <row r="82" spans="2:18" x14ac:dyDescent="0.3">
      <c r="B82" s="55"/>
      <c r="C82" s="55"/>
      <c r="D82" s="56"/>
      <c r="E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F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G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H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I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J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K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L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M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N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O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P82" s="30">
        <f ca="1">IF(AND($B82="",$C82=""),0,IF($C82="",SUMIFS(INDIRECT(TEXT(DATE(Stammdaten!$D$9,COLUMN()-COLUMN($E82)+1,1),"MMM")&amp;"!$L$9:$L$999"),INDIRECT(TEXT(DATE(Stammdaten!$D$9,COLUMN()-COLUMN($E82)+1,1),"MMM")&amp;"!$F$9:$F$999"),$B82),IF($B82="",SUMIFS(INDIRECT(TEXT(DATE(Stammdaten!$D$9,COLUMN()-COLUMN($E82)+1,1),"MMM")&amp;"!$L$9:$L$999"),INDIRECT(TEXT(DATE(Stammdaten!$D$9,COLUMN()-COLUMN($E82)+1,1),"MMM")&amp;"!$G$9:$G$999"),$C82),SUMIFS(INDIRECT(TEXT(DATE(Stammdaten!$D$9,COLUMN()-COLUMN($E82)+1,1),"MMM")&amp;"!$L$9:$L$999"),INDIRECT(TEXT(DATE(Stammdaten!$D$9,COLUMN()-COLUMN($E82)+1,1),"MMM")&amp;"!$F$9:$F$999"),IF($B82="","*",$B82),INDIRECT(TEXT(DATE(Stammdaten!$D$9,COLUMN()-COLUMN($E82)+1,1),"MMM")&amp;"!$G$9:$G$999"),IF($C82="","*",$C82)))))*24</f>
        <v>0</v>
      </c>
      <c r="Q82" s="74">
        <f t="shared" ca="1" si="4"/>
        <v>0</v>
      </c>
      <c r="R82" s="74">
        <f t="shared" ca="1" si="5"/>
        <v>0</v>
      </c>
    </row>
    <row r="83" spans="2:18" x14ac:dyDescent="0.3">
      <c r="B83" s="55"/>
      <c r="C83" s="55"/>
      <c r="D83" s="56"/>
      <c r="E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F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G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H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I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J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K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L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M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N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O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P83" s="30">
        <f ca="1">IF(AND($B83="",$C83=""),0,IF($C83="",SUMIFS(INDIRECT(TEXT(DATE(Stammdaten!$D$9,COLUMN()-COLUMN($E83)+1,1),"MMM")&amp;"!$L$9:$L$999"),INDIRECT(TEXT(DATE(Stammdaten!$D$9,COLUMN()-COLUMN($E83)+1,1),"MMM")&amp;"!$F$9:$F$999"),$B83),IF($B83="",SUMIFS(INDIRECT(TEXT(DATE(Stammdaten!$D$9,COLUMN()-COLUMN($E83)+1,1),"MMM")&amp;"!$L$9:$L$999"),INDIRECT(TEXT(DATE(Stammdaten!$D$9,COLUMN()-COLUMN($E83)+1,1),"MMM")&amp;"!$G$9:$G$999"),$C83),SUMIFS(INDIRECT(TEXT(DATE(Stammdaten!$D$9,COLUMN()-COLUMN($E83)+1,1),"MMM")&amp;"!$L$9:$L$999"),INDIRECT(TEXT(DATE(Stammdaten!$D$9,COLUMN()-COLUMN($E83)+1,1),"MMM")&amp;"!$F$9:$F$999"),IF($B83="","*",$B83),INDIRECT(TEXT(DATE(Stammdaten!$D$9,COLUMN()-COLUMN($E83)+1,1),"MMM")&amp;"!$G$9:$G$999"),IF($C83="","*",$C83)))))*24</f>
        <v>0</v>
      </c>
      <c r="Q83" s="74">
        <f t="shared" ca="1" si="4"/>
        <v>0</v>
      </c>
      <c r="R83" s="74">
        <f t="shared" ca="1" si="5"/>
        <v>0</v>
      </c>
    </row>
    <row r="84" spans="2:18" x14ac:dyDescent="0.3">
      <c r="B84" s="55"/>
      <c r="C84" s="55"/>
      <c r="D84" s="56"/>
      <c r="E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F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G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H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I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J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K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L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M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N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O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P84" s="30">
        <f ca="1">IF(AND($B84="",$C84=""),0,IF($C84="",SUMIFS(INDIRECT(TEXT(DATE(Stammdaten!$D$9,COLUMN()-COLUMN($E84)+1,1),"MMM")&amp;"!$L$9:$L$999"),INDIRECT(TEXT(DATE(Stammdaten!$D$9,COLUMN()-COLUMN($E84)+1,1),"MMM")&amp;"!$F$9:$F$999"),$B84),IF($B84="",SUMIFS(INDIRECT(TEXT(DATE(Stammdaten!$D$9,COLUMN()-COLUMN($E84)+1,1),"MMM")&amp;"!$L$9:$L$999"),INDIRECT(TEXT(DATE(Stammdaten!$D$9,COLUMN()-COLUMN($E84)+1,1),"MMM")&amp;"!$G$9:$G$999"),$C84),SUMIFS(INDIRECT(TEXT(DATE(Stammdaten!$D$9,COLUMN()-COLUMN($E84)+1,1),"MMM")&amp;"!$L$9:$L$999"),INDIRECT(TEXT(DATE(Stammdaten!$D$9,COLUMN()-COLUMN($E84)+1,1),"MMM")&amp;"!$F$9:$F$999"),IF($B84="","*",$B84),INDIRECT(TEXT(DATE(Stammdaten!$D$9,COLUMN()-COLUMN($E84)+1,1),"MMM")&amp;"!$G$9:$G$999"),IF($C84="","*",$C84)))))*24</f>
        <v>0</v>
      </c>
      <c r="Q84" s="74">
        <f t="shared" ca="1" si="4"/>
        <v>0</v>
      </c>
      <c r="R84" s="74">
        <f t="shared" ca="1" si="5"/>
        <v>0</v>
      </c>
    </row>
    <row r="85" spans="2:18" x14ac:dyDescent="0.3">
      <c r="B85" s="55"/>
      <c r="C85" s="55"/>
      <c r="D85" s="56"/>
      <c r="E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F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G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H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I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J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K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L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M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N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O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P85" s="30">
        <f ca="1">IF(AND($B85="",$C85=""),0,IF($C85="",SUMIFS(INDIRECT(TEXT(DATE(Stammdaten!$D$9,COLUMN()-COLUMN($E85)+1,1),"MMM")&amp;"!$L$9:$L$999"),INDIRECT(TEXT(DATE(Stammdaten!$D$9,COLUMN()-COLUMN($E85)+1,1),"MMM")&amp;"!$F$9:$F$999"),$B85),IF($B85="",SUMIFS(INDIRECT(TEXT(DATE(Stammdaten!$D$9,COLUMN()-COLUMN($E85)+1,1),"MMM")&amp;"!$L$9:$L$999"),INDIRECT(TEXT(DATE(Stammdaten!$D$9,COLUMN()-COLUMN($E85)+1,1),"MMM")&amp;"!$G$9:$G$999"),$C85),SUMIFS(INDIRECT(TEXT(DATE(Stammdaten!$D$9,COLUMN()-COLUMN($E85)+1,1),"MMM")&amp;"!$L$9:$L$999"),INDIRECT(TEXT(DATE(Stammdaten!$D$9,COLUMN()-COLUMN($E85)+1,1),"MMM")&amp;"!$F$9:$F$999"),IF($B85="","*",$B85),INDIRECT(TEXT(DATE(Stammdaten!$D$9,COLUMN()-COLUMN($E85)+1,1),"MMM")&amp;"!$G$9:$G$999"),IF($C85="","*",$C85)))))*24</f>
        <v>0</v>
      </c>
      <c r="Q85" s="74">
        <f t="shared" ca="1" si="4"/>
        <v>0</v>
      </c>
      <c r="R85" s="74">
        <f t="shared" ca="1" si="5"/>
        <v>0</v>
      </c>
    </row>
    <row r="86" spans="2:18" x14ac:dyDescent="0.3">
      <c r="B86" s="55"/>
      <c r="C86" s="55"/>
      <c r="D86" s="56"/>
      <c r="E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F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G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H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I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J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K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L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M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N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O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P86" s="30">
        <f ca="1">IF(AND($B86="",$C86=""),0,IF($C86="",SUMIFS(INDIRECT(TEXT(DATE(Stammdaten!$D$9,COLUMN()-COLUMN($E86)+1,1),"MMM")&amp;"!$L$9:$L$999"),INDIRECT(TEXT(DATE(Stammdaten!$D$9,COLUMN()-COLUMN($E86)+1,1),"MMM")&amp;"!$F$9:$F$999"),$B86),IF($B86="",SUMIFS(INDIRECT(TEXT(DATE(Stammdaten!$D$9,COLUMN()-COLUMN($E86)+1,1),"MMM")&amp;"!$L$9:$L$999"),INDIRECT(TEXT(DATE(Stammdaten!$D$9,COLUMN()-COLUMN($E86)+1,1),"MMM")&amp;"!$G$9:$G$999"),$C86),SUMIFS(INDIRECT(TEXT(DATE(Stammdaten!$D$9,COLUMN()-COLUMN($E86)+1,1),"MMM")&amp;"!$L$9:$L$999"),INDIRECT(TEXT(DATE(Stammdaten!$D$9,COLUMN()-COLUMN($E86)+1,1),"MMM")&amp;"!$F$9:$F$999"),IF($B86="","*",$B86),INDIRECT(TEXT(DATE(Stammdaten!$D$9,COLUMN()-COLUMN($E86)+1,1),"MMM")&amp;"!$G$9:$G$999"),IF($C86="","*",$C86)))))*24</f>
        <v>0</v>
      </c>
      <c r="Q86" s="74">
        <f t="shared" ca="1" si="4"/>
        <v>0</v>
      </c>
      <c r="R86" s="74">
        <f t="shared" ca="1" si="5"/>
        <v>0</v>
      </c>
    </row>
    <row r="87" spans="2:18" x14ac:dyDescent="0.3">
      <c r="B87" s="55"/>
      <c r="C87" s="55"/>
      <c r="D87" s="56"/>
      <c r="E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F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G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H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I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J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K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L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M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N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O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P87" s="30">
        <f ca="1">IF(AND($B87="",$C87=""),0,IF($C87="",SUMIFS(INDIRECT(TEXT(DATE(Stammdaten!$D$9,COLUMN()-COLUMN($E87)+1,1),"MMM")&amp;"!$L$9:$L$999"),INDIRECT(TEXT(DATE(Stammdaten!$D$9,COLUMN()-COLUMN($E87)+1,1),"MMM")&amp;"!$F$9:$F$999"),$B87),IF($B87="",SUMIFS(INDIRECT(TEXT(DATE(Stammdaten!$D$9,COLUMN()-COLUMN($E87)+1,1),"MMM")&amp;"!$L$9:$L$999"),INDIRECT(TEXT(DATE(Stammdaten!$D$9,COLUMN()-COLUMN($E87)+1,1),"MMM")&amp;"!$G$9:$G$999"),$C87),SUMIFS(INDIRECT(TEXT(DATE(Stammdaten!$D$9,COLUMN()-COLUMN($E87)+1,1),"MMM")&amp;"!$L$9:$L$999"),INDIRECT(TEXT(DATE(Stammdaten!$D$9,COLUMN()-COLUMN($E87)+1,1),"MMM")&amp;"!$F$9:$F$999"),IF($B87="","*",$B87),INDIRECT(TEXT(DATE(Stammdaten!$D$9,COLUMN()-COLUMN($E87)+1,1),"MMM")&amp;"!$G$9:$G$999"),IF($C87="","*",$C87)))))*24</f>
        <v>0</v>
      </c>
      <c r="Q87" s="74">
        <f t="shared" ca="1" si="4"/>
        <v>0</v>
      </c>
      <c r="R87" s="74">
        <f t="shared" ca="1" si="5"/>
        <v>0</v>
      </c>
    </row>
    <row r="88" spans="2:18" x14ac:dyDescent="0.3">
      <c r="B88" s="55"/>
      <c r="C88" s="55"/>
      <c r="D88" s="56"/>
      <c r="E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F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G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H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I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J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K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L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M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N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O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P88" s="30">
        <f ca="1">IF(AND($B88="",$C88=""),0,IF($C88="",SUMIFS(INDIRECT(TEXT(DATE(Stammdaten!$D$9,COLUMN()-COLUMN($E88)+1,1),"MMM")&amp;"!$L$9:$L$999"),INDIRECT(TEXT(DATE(Stammdaten!$D$9,COLUMN()-COLUMN($E88)+1,1),"MMM")&amp;"!$F$9:$F$999"),$B88),IF($B88="",SUMIFS(INDIRECT(TEXT(DATE(Stammdaten!$D$9,COLUMN()-COLUMN($E88)+1,1),"MMM")&amp;"!$L$9:$L$999"),INDIRECT(TEXT(DATE(Stammdaten!$D$9,COLUMN()-COLUMN($E88)+1,1),"MMM")&amp;"!$G$9:$G$999"),$C88),SUMIFS(INDIRECT(TEXT(DATE(Stammdaten!$D$9,COLUMN()-COLUMN($E88)+1,1),"MMM")&amp;"!$L$9:$L$999"),INDIRECT(TEXT(DATE(Stammdaten!$D$9,COLUMN()-COLUMN($E88)+1,1),"MMM")&amp;"!$F$9:$F$999"),IF($B88="","*",$B88),INDIRECT(TEXT(DATE(Stammdaten!$D$9,COLUMN()-COLUMN($E88)+1,1),"MMM")&amp;"!$G$9:$G$999"),IF($C88="","*",$C88)))))*24</f>
        <v>0</v>
      </c>
      <c r="Q88" s="74">
        <f t="shared" ca="1" si="4"/>
        <v>0</v>
      </c>
      <c r="R88" s="74">
        <f t="shared" ca="1" si="5"/>
        <v>0</v>
      </c>
    </row>
    <row r="89" spans="2:18" x14ac:dyDescent="0.3">
      <c r="B89" s="55"/>
      <c r="C89" s="55"/>
      <c r="D89" s="56"/>
      <c r="E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F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G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H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I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J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K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L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M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N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O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P89" s="30">
        <f ca="1">IF(AND($B89="",$C89=""),0,IF($C89="",SUMIFS(INDIRECT(TEXT(DATE(Stammdaten!$D$9,COLUMN()-COLUMN($E89)+1,1),"MMM")&amp;"!$L$9:$L$999"),INDIRECT(TEXT(DATE(Stammdaten!$D$9,COLUMN()-COLUMN($E89)+1,1),"MMM")&amp;"!$F$9:$F$999"),$B89),IF($B89="",SUMIFS(INDIRECT(TEXT(DATE(Stammdaten!$D$9,COLUMN()-COLUMN($E89)+1,1),"MMM")&amp;"!$L$9:$L$999"),INDIRECT(TEXT(DATE(Stammdaten!$D$9,COLUMN()-COLUMN($E89)+1,1),"MMM")&amp;"!$G$9:$G$999"),$C89),SUMIFS(INDIRECT(TEXT(DATE(Stammdaten!$D$9,COLUMN()-COLUMN($E89)+1,1),"MMM")&amp;"!$L$9:$L$999"),INDIRECT(TEXT(DATE(Stammdaten!$D$9,COLUMN()-COLUMN($E89)+1,1),"MMM")&amp;"!$F$9:$F$999"),IF($B89="","*",$B89),INDIRECT(TEXT(DATE(Stammdaten!$D$9,COLUMN()-COLUMN($E89)+1,1),"MMM")&amp;"!$G$9:$G$999"),IF($C89="","*",$C89)))))*24</f>
        <v>0</v>
      </c>
      <c r="Q89" s="74">
        <f t="shared" ca="1" si="4"/>
        <v>0</v>
      </c>
      <c r="R89" s="74">
        <f t="shared" ca="1" si="5"/>
        <v>0</v>
      </c>
    </row>
    <row r="90" spans="2:18" x14ac:dyDescent="0.3">
      <c r="B90" s="55"/>
      <c r="C90" s="55"/>
      <c r="D90" s="56"/>
      <c r="E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F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G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H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I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J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K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L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M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N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O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P90" s="30">
        <f ca="1">IF(AND($B90="",$C90=""),0,IF($C90="",SUMIFS(INDIRECT(TEXT(DATE(Stammdaten!$D$9,COLUMN()-COLUMN($E90)+1,1),"MMM")&amp;"!$L$9:$L$999"),INDIRECT(TEXT(DATE(Stammdaten!$D$9,COLUMN()-COLUMN($E90)+1,1),"MMM")&amp;"!$F$9:$F$999"),$B90),IF($B90="",SUMIFS(INDIRECT(TEXT(DATE(Stammdaten!$D$9,COLUMN()-COLUMN($E90)+1,1),"MMM")&amp;"!$L$9:$L$999"),INDIRECT(TEXT(DATE(Stammdaten!$D$9,COLUMN()-COLUMN($E90)+1,1),"MMM")&amp;"!$G$9:$G$999"),$C90),SUMIFS(INDIRECT(TEXT(DATE(Stammdaten!$D$9,COLUMN()-COLUMN($E90)+1,1),"MMM")&amp;"!$L$9:$L$999"),INDIRECT(TEXT(DATE(Stammdaten!$D$9,COLUMN()-COLUMN($E90)+1,1),"MMM")&amp;"!$F$9:$F$999"),IF($B90="","*",$B90),INDIRECT(TEXT(DATE(Stammdaten!$D$9,COLUMN()-COLUMN($E90)+1,1),"MMM")&amp;"!$G$9:$G$999"),IF($C90="","*",$C90)))))*24</f>
        <v>0</v>
      </c>
      <c r="Q90" s="74">
        <f t="shared" ca="1" si="4"/>
        <v>0</v>
      </c>
      <c r="R90" s="74">
        <f t="shared" ca="1" si="5"/>
        <v>0</v>
      </c>
    </row>
    <row r="91" spans="2:18" x14ac:dyDescent="0.3">
      <c r="B91" s="55"/>
      <c r="C91" s="55"/>
      <c r="D91" s="56"/>
      <c r="E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F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G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H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I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J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K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L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M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N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O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P91" s="30">
        <f ca="1">IF(AND($B91="",$C91=""),0,IF($C91="",SUMIFS(INDIRECT(TEXT(DATE(Stammdaten!$D$9,COLUMN()-COLUMN($E91)+1,1),"MMM")&amp;"!$L$9:$L$999"),INDIRECT(TEXT(DATE(Stammdaten!$D$9,COLUMN()-COLUMN($E91)+1,1),"MMM")&amp;"!$F$9:$F$999"),$B91),IF($B91="",SUMIFS(INDIRECT(TEXT(DATE(Stammdaten!$D$9,COLUMN()-COLUMN($E91)+1,1),"MMM")&amp;"!$L$9:$L$999"),INDIRECT(TEXT(DATE(Stammdaten!$D$9,COLUMN()-COLUMN($E91)+1,1),"MMM")&amp;"!$G$9:$G$999"),$C91),SUMIFS(INDIRECT(TEXT(DATE(Stammdaten!$D$9,COLUMN()-COLUMN($E91)+1,1),"MMM")&amp;"!$L$9:$L$999"),INDIRECT(TEXT(DATE(Stammdaten!$D$9,COLUMN()-COLUMN($E91)+1,1),"MMM")&amp;"!$F$9:$F$999"),IF($B91="","*",$B91),INDIRECT(TEXT(DATE(Stammdaten!$D$9,COLUMN()-COLUMN($E91)+1,1),"MMM")&amp;"!$G$9:$G$999"),IF($C91="","*",$C91)))))*24</f>
        <v>0</v>
      </c>
      <c r="Q91" s="74">
        <f t="shared" ca="1" si="4"/>
        <v>0</v>
      </c>
      <c r="R91" s="74">
        <f t="shared" ca="1" si="5"/>
        <v>0</v>
      </c>
    </row>
    <row r="92" spans="2:18" x14ac:dyDescent="0.3">
      <c r="B92" s="55"/>
      <c r="C92" s="55"/>
      <c r="D92" s="56"/>
      <c r="E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F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G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H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I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J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K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L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M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N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O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P92" s="30">
        <f ca="1">IF(AND($B92="",$C92=""),0,IF($C92="",SUMIFS(INDIRECT(TEXT(DATE(Stammdaten!$D$9,COLUMN()-COLUMN($E92)+1,1),"MMM")&amp;"!$L$9:$L$999"),INDIRECT(TEXT(DATE(Stammdaten!$D$9,COLUMN()-COLUMN($E92)+1,1),"MMM")&amp;"!$F$9:$F$999"),$B92),IF($B92="",SUMIFS(INDIRECT(TEXT(DATE(Stammdaten!$D$9,COLUMN()-COLUMN($E92)+1,1),"MMM")&amp;"!$L$9:$L$999"),INDIRECT(TEXT(DATE(Stammdaten!$D$9,COLUMN()-COLUMN($E92)+1,1),"MMM")&amp;"!$G$9:$G$999"),$C92),SUMIFS(INDIRECT(TEXT(DATE(Stammdaten!$D$9,COLUMN()-COLUMN($E92)+1,1),"MMM")&amp;"!$L$9:$L$999"),INDIRECT(TEXT(DATE(Stammdaten!$D$9,COLUMN()-COLUMN($E92)+1,1),"MMM")&amp;"!$F$9:$F$999"),IF($B92="","*",$B92),INDIRECT(TEXT(DATE(Stammdaten!$D$9,COLUMN()-COLUMN($E92)+1,1),"MMM")&amp;"!$G$9:$G$999"),IF($C92="","*",$C92)))))*24</f>
        <v>0</v>
      </c>
      <c r="Q92" s="74">
        <f t="shared" ca="1" si="4"/>
        <v>0</v>
      </c>
      <c r="R92" s="74">
        <f t="shared" ca="1" si="5"/>
        <v>0</v>
      </c>
    </row>
    <row r="93" spans="2:18" x14ac:dyDescent="0.3">
      <c r="B93" s="55"/>
      <c r="C93" s="55"/>
      <c r="D93" s="56"/>
      <c r="E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F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G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H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I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J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K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L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M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N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O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P93" s="30">
        <f ca="1">IF(AND($B93="",$C93=""),0,IF($C93="",SUMIFS(INDIRECT(TEXT(DATE(Stammdaten!$D$9,COLUMN()-COLUMN($E93)+1,1),"MMM")&amp;"!$L$9:$L$999"),INDIRECT(TEXT(DATE(Stammdaten!$D$9,COLUMN()-COLUMN($E93)+1,1),"MMM")&amp;"!$F$9:$F$999"),$B93),IF($B93="",SUMIFS(INDIRECT(TEXT(DATE(Stammdaten!$D$9,COLUMN()-COLUMN($E93)+1,1),"MMM")&amp;"!$L$9:$L$999"),INDIRECT(TEXT(DATE(Stammdaten!$D$9,COLUMN()-COLUMN($E93)+1,1),"MMM")&amp;"!$G$9:$G$999"),$C93),SUMIFS(INDIRECT(TEXT(DATE(Stammdaten!$D$9,COLUMN()-COLUMN($E93)+1,1),"MMM")&amp;"!$L$9:$L$999"),INDIRECT(TEXT(DATE(Stammdaten!$D$9,COLUMN()-COLUMN($E93)+1,1),"MMM")&amp;"!$F$9:$F$999"),IF($B93="","*",$B93),INDIRECT(TEXT(DATE(Stammdaten!$D$9,COLUMN()-COLUMN($E93)+1,1),"MMM")&amp;"!$G$9:$G$999"),IF($C93="","*",$C93)))))*24</f>
        <v>0</v>
      </c>
      <c r="Q93" s="74">
        <f t="shared" ca="1" si="4"/>
        <v>0</v>
      </c>
      <c r="R93" s="74">
        <f t="shared" ca="1" si="5"/>
        <v>0</v>
      </c>
    </row>
    <row r="94" spans="2:18" x14ac:dyDescent="0.3">
      <c r="B94" s="55"/>
      <c r="C94" s="55"/>
      <c r="D94" s="56"/>
      <c r="E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F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G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H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I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J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K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L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M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N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O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P94" s="30">
        <f ca="1">IF(AND($B94="",$C94=""),0,IF($C94="",SUMIFS(INDIRECT(TEXT(DATE(Stammdaten!$D$9,COLUMN()-COLUMN($E94)+1,1),"MMM")&amp;"!$L$9:$L$999"),INDIRECT(TEXT(DATE(Stammdaten!$D$9,COLUMN()-COLUMN($E94)+1,1),"MMM")&amp;"!$F$9:$F$999"),$B94),IF($B94="",SUMIFS(INDIRECT(TEXT(DATE(Stammdaten!$D$9,COLUMN()-COLUMN($E94)+1,1),"MMM")&amp;"!$L$9:$L$999"),INDIRECT(TEXT(DATE(Stammdaten!$D$9,COLUMN()-COLUMN($E94)+1,1),"MMM")&amp;"!$G$9:$G$999"),$C94),SUMIFS(INDIRECT(TEXT(DATE(Stammdaten!$D$9,COLUMN()-COLUMN($E94)+1,1),"MMM")&amp;"!$L$9:$L$999"),INDIRECT(TEXT(DATE(Stammdaten!$D$9,COLUMN()-COLUMN($E94)+1,1),"MMM")&amp;"!$F$9:$F$999"),IF($B94="","*",$B94),INDIRECT(TEXT(DATE(Stammdaten!$D$9,COLUMN()-COLUMN($E94)+1,1),"MMM")&amp;"!$G$9:$G$999"),IF($C94="","*",$C94)))))*24</f>
        <v>0</v>
      </c>
      <c r="Q94" s="74">
        <f t="shared" ca="1" si="4"/>
        <v>0</v>
      </c>
      <c r="R94" s="74">
        <f t="shared" ca="1" si="5"/>
        <v>0</v>
      </c>
    </row>
    <row r="95" spans="2:18" x14ac:dyDescent="0.3">
      <c r="B95" s="55"/>
      <c r="C95" s="55"/>
      <c r="D95" s="56"/>
      <c r="E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F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G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H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I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J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K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L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M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N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O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P95" s="30">
        <f ca="1">IF(AND($B95="",$C95=""),0,IF($C95="",SUMIFS(INDIRECT(TEXT(DATE(Stammdaten!$D$9,COLUMN()-COLUMN($E95)+1,1),"MMM")&amp;"!$L$9:$L$999"),INDIRECT(TEXT(DATE(Stammdaten!$D$9,COLUMN()-COLUMN($E95)+1,1),"MMM")&amp;"!$F$9:$F$999"),$B95),IF($B95="",SUMIFS(INDIRECT(TEXT(DATE(Stammdaten!$D$9,COLUMN()-COLUMN($E95)+1,1),"MMM")&amp;"!$L$9:$L$999"),INDIRECT(TEXT(DATE(Stammdaten!$D$9,COLUMN()-COLUMN($E95)+1,1),"MMM")&amp;"!$G$9:$G$999"),$C95),SUMIFS(INDIRECT(TEXT(DATE(Stammdaten!$D$9,COLUMN()-COLUMN($E95)+1,1),"MMM")&amp;"!$L$9:$L$999"),INDIRECT(TEXT(DATE(Stammdaten!$D$9,COLUMN()-COLUMN($E95)+1,1),"MMM")&amp;"!$F$9:$F$999"),IF($B95="","*",$B95),INDIRECT(TEXT(DATE(Stammdaten!$D$9,COLUMN()-COLUMN($E95)+1,1),"MMM")&amp;"!$G$9:$G$999"),IF($C95="","*",$C95)))))*24</f>
        <v>0</v>
      </c>
      <c r="Q95" s="74">
        <f t="shared" ca="1" si="4"/>
        <v>0</v>
      </c>
      <c r="R95" s="74">
        <f t="shared" ca="1" si="5"/>
        <v>0</v>
      </c>
    </row>
    <row r="96" spans="2:18" x14ac:dyDescent="0.3">
      <c r="B96" s="55"/>
      <c r="C96" s="55"/>
      <c r="D96" s="56"/>
      <c r="E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F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G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H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I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J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K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L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M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N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O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P96" s="30">
        <f ca="1">IF(AND($B96="",$C96=""),0,IF($C96="",SUMIFS(INDIRECT(TEXT(DATE(Stammdaten!$D$9,COLUMN()-COLUMN($E96)+1,1),"MMM")&amp;"!$L$9:$L$999"),INDIRECT(TEXT(DATE(Stammdaten!$D$9,COLUMN()-COLUMN($E96)+1,1),"MMM")&amp;"!$F$9:$F$999"),$B96),IF($B96="",SUMIFS(INDIRECT(TEXT(DATE(Stammdaten!$D$9,COLUMN()-COLUMN($E96)+1,1),"MMM")&amp;"!$L$9:$L$999"),INDIRECT(TEXT(DATE(Stammdaten!$D$9,COLUMN()-COLUMN($E96)+1,1),"MMM")&amp;"!$G$9:$G$999"),$C96),SUMIFS(INDIRECT(TEXT(DATE(Stammdaten!$D$9,COLUMN()-COLUMN($E96)+1,1),"MMM")&amp;"!$L$9:$L$999"),INDIRECT(TEXT(DATE(Stammdaten!$D$9,COLUMN()-COLUMN($E96)+1,1),"MMM")&amp;"!$F$9:$F$999"),IF($B96="","*",$B96),INDIRECT(TEXT(DATE(Stammdaten!$D$9,COLUMN()-COLUMN($E96)+1,1),"MMM")&amp;"!$G$9:$G$999"),IF($C96="","*",$C96)))))*24</f>
        <v>0</v>
      </c>
      <c r="Q96" s="74">
        <f t="shared" ca="1" si="4"/>
        <v>0</v>
      </c>
      <c r="R96" s="74">
        <f t="shared" ca="1" si="5"/>
        <v>0</v>
      </c>
    </row>
    <row r="97" spans="2:18" x14ac:dyDescent="0.3">
      <c r="B97" s="55"/>
      <c r="C97" s="55"/>
      <c r="D97" s="56"/>
      <c r="E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F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G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H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I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J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K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L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M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N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O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P97" s="30">
        <f ca="1">IF(AND($B97="",$C97=""),0,IF($C97="",SUMIFS(INDIRECT(TEXT(DATE(Stammdaten!$D$9,COLUMN()-COLUMN($E97)+1,1),"MMM")&amp;"!$L$9:$L$999"),INDIRECT(TEXT(DATE(Stammdaten!$D$9,COLUMN()-COLUMN($E97)+1,1),"MMM")&amp;"!$F$9:$F$999"),$B97),IF($B97="",SUMIFS(INDIRECT(TEXT(DATE(Stammdaten!$D$9,COLUMN()-COLUMN($E97)+1,1),"MMM")&amp;"!$L$9:$L$999"),INDIRECT(TEXT(DATE(Stammdaten!$D$9,COLUMN()-COLUMN($E97)+1,1),"MMM")&amp;"!$G$9:$G$999"),$C97),SUMIFS(INDIRECT(TEXT(DATE(Stammdaten!$D$9,COLUMN()-COLUMN($E97)+1,1),"MMM")&amp;"!$L$9:$L$999"),INDIRECT(TEXT(DATE(Stammdaten!$D$9,COLUMN()-COLUMN($E97)+1,1),"MMM")&amp;"!$F$9:$F$999"),IF($B97="","*",$B97),INDIRECT(TEXT(DATE(Stammdaten!$D$9,COLUMN()-COLUMN($E97)+1,1),"MMM")&amp;"!$G$9:$G$999"),IF($C97="","*",$C97)))))*24</f>
        <v>0</v>
      </c>
      <c r="Q97" s="74">
        <f t="shared" ca="1" si="4"/>
        <v>0</v>
      </c>
      <c r="R97" s="74">
        <f t="shared" ca="1" si="5"/>
        <v>0</v>
      </c>
    </row>
    <row r="98" spans="2:18" x14ac:dyDescent="0.3">
      <c r="B98" s="55"/>
      <c r="C98" s="55"/>
      <c r="D98" s="56"/>
      <c r="E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F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G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H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I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J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K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L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M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N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O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P98" s="30">
        <f ca="1">IF(AND($B98="",$C98=""),0,IF($C98="",SUMIFS(INDIRECT(TEXT(DATE(Stammdaten!$D$9,COLUMN()-COLUMN($E98)+1,1),"MMM")&amp;"!$L$9:$L$999"),INDIRECT(TEXT(DATE(Stammdaten!$D$9,COLUMN()-COLUMN($E98)+1,1),"MMM")&amp;"!$F$9:$F$999"),$B98),IF($B98="",SUMIFS(INDIRECT(TEXT(DATE(Stammdaten!$D$9,COLUMN()-COLUMN($E98)+1,1),"MMM")&amp;"!$L$9:$L$999"),INDIRECT(TEXT(DATE(Stammdaten!$D$9,COLUMN()-COLUMN($E98)+1,1),"MMM")&amp;"!$G$9:$G$999"),$C98),SUMIFS(INDIRECT(TEXT(DATE(Stammdaten!$D$9,COLUMN()-COLUMN($E98)+1,1),"MMM")&amp;"!$L$9:$L$999"),INDIRECT(TEXT(DATE(Stammdaten!$D$9,COLUMN()-COLUMN($E98)+1,1),"MMM")&amp;"!$F$9:$F$999"),IF($B98="","*",$B98),INDIRECT(TEXT(DATE(Stammdaten!$D$9,COLUMN()-COLUMN($E98)+1,1),"MMM")&amp;"!$G$9:$G$999"),IF($C98="","*",$C98)))))*24</f>
        <v>0</v>
      </c>
      <c r="Q98" s="74">
        <f t="shared" ca="1" si="4"/>
        <v>0</v>
      </c>
      <c r="R98" s="74">
        <f t="shared" ca="1" si="5"/>
        <v>0</v>
      </c>
    </row>
  </sheetData>
  <protectedRanges>
    <protectedRange sqref="B25:D27 D3:D24 C28:D28 B29:D29 B31:D98 C30:D30 B3:B24" name="Projekte"/>
    <protectedRange sqref="C20:C24" name="Arbeitspakete_1"/>
    <protectedRange sqref="C20:C24" name="Projekte_2"/>
    <protectedRange sqref="C3:C19" name="Arbeitspakete_1_1"/>
    <protectedRange sqref="C3:C19" name="Projekte_1_1"/>
    <protectedRange sqref="B28" name="Projekte_1"/>
    <protectedRange sqref="B28" name="Projektnamen"/>
    <protectedRange sqref="B30" name="Jänner_2_2_1"/>
  </protectedRanges>
  <dataValidations count="2">
    <dataValidation type="list" allowBlank="1" showInputMessage="1" showErrorMessage="1" sqref="B29:B98 B3:B27" xr:uid="{00000000-0002-0000-0100-000000000000}">
      <formula1>Projektnamen</formula1>
    </dataValidation>
    <dataValidation type="list" allowBlank="1" showInputMessage="1" showErrorMessage="1" sqref="C3:C98" xr:uid="{00000000-0002-0000-0100-000001000000}">
      <formula1>Arbeitspakete</formula1>
    </dataValidation>
  </dataValidations>
  <pageMargins left="0.7" right="0.7" top="0.78740157499999996" bottom="0.78740157499999996" header="0.3" footer="0.3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994"/>
  <sheetViews>
    <sheetView showGridLines="0" zoomScaleNormal="100" workbookViewId="0">
      <pane xSplit="3" ySplit="8" topLeftCell="D69" activePane="bottomRight" state="frozen"/>
      <selection activeCell="C3" sqref="C3"/>
      <selection pane="topRight" activeCell="C3" sqref="C3"/>
      <selection pane="bottomLeft" activeCell="C3" sqref="C3"/>
      <selection pane="bottomRight" activeCell="D9" sqref="D9:K80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SUM(L9:L994)*24</f>
        <v>0</v>
      </c>
    </row>
    <row r="5" spans="2:12" x14ac:dyDescent="0.3">
      <c r="B5" t="s">
        <v>67</v>
      </c>
      <c r="D5" t="str">
        <f ca="1">TEXT("1. "&amp;_xlfn.SHEET()-2,"MMMM")</f>
        <v>Jänner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0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t="shared" ref="B9:B59" ca="1" si="0">IF(D9&lt;&gt;"",DATE(Jahr,_xlfn.SHEET()-2,D9),"")</f>
        <v/>
      </c>
      <c r="C9" s="29" t="str">
        <f t="shared" ref="C9:C60" ca="1" si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59" si="2">J9-I9-K9</f>
        <v>0</v>
      </c>
    </row>
    <row r="10" spans="2:12" x14ac:dyDescent="0.3">
      <c r="B10" s="28" t="str">
        <f ca="1">IF(D10&lt;&gt;"",DATE(Jahr,_xlfn.SHEET()-2,D10),"")</f>
        <v/>
      </c>
      <c r="C10" s="29" t="str">
        <f ca="1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2"/>
        <v>0</v>
      </c>
    </row>
    <row r="11" spans="2:12" x14ac:dyDescent="0.3">
      <c r="B11" s="28" t="str">
        <f t="shared" ca="1" si="0"/>
        <v/>
      </c>
      <c r="C11" s="29" t="str">
        <f t="shared" ca="1" si="1"/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2"/>
        <v>0</v>
      </c>
    </row>
    <row r="12" spans="2:12" x14ac:dyDescent="0.3">
      <c r="B12" s="28" t="str">
        <f t="shared" ca="1" si="0"/>
        <v/>
      </c>
      <c r="C12" s="29" t="str">
        <f t="shared" ca="1" si="1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2"/>
        <v>0</v>
      </c>
    </row>
    <row r="13" spans="2:12" x14ac:dyDescent="0.3">
      <c r="B13" s="28" t="str">
        <f t="shared" ca="1" si="0"/>
        <v/>
      </c>
      <c r="C13" s="29" t="str">
        <f t="shared" ca="1" si="1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2"/>
        <v>0</v>
      </c>
    </row>
    <row r="14" spans="2:12" x14ac:dyDescent="0.3">
      <c r="B14" s="28" t="str">
        <f t="shared" ca="1" si="0"/>
        <v/>
      </c>
      <c r="C14" s="29" t="str">
        <f t="shared" ca="1" si="1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2"/>
        <v>0</v>
      </c>
    </row>
    <row r="15" spans="2:12" x14ac:dyDescent="0.3">
      <c r="B15" s="28" t="str">
        <f t="shared" ca="1" si="0"/>
        <v/>
      </c>
      <c r="C15" s="29" t="str">
        <f t="shared" ca="1" si="1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2"/>
        <v>0</v>
      </c>
    </row>
    <row r="16" spans="2:12" x14ac:dyDescent="0.3">
      <c r="B16" s="28" t="str">
        <f t="shared" ca="1" si="0"/>
        <v/>
      </c>
      <c r="C16" s="29" t="str">
        <f t="shared" ca="1" si="1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2"/>
        <v>0</v>
      </c>
    </row>
    <row r="17" spans="2:20" x14ac:dyDescent="0.3">
      <c r="B17" s="28" t="str">
        <f t="shared" ca="1" si="0"/>
        <v/>
      </c>
      <c r="C17" s="29" t="str">
        <f t="shared" ca="1" si="1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2"/>
        <v>0</v>
      </c>
    </row>
    <row r="18" spans="2:20" x14ac:dyDescent="0.3">
      <c r="B18" s="28" t="str">
        <f t="shared" ca="1" si="0"/>
        <v/>
      </c>
      <c r="C18" s="29" t="str">
        <f t="shared" ca="1" si="1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2"/>
        <v>0</v>
      </c>
    </row>
    <row r="19" spans="2:20" x14ac:dyDescent="0.3">
      <c r="B19" s="28" t="str">
        <f t="shared" ca="1" si="0"/>
        <v/>
      </c>
      <c r="C19" s="29" t="str">
        <f t="shared" ca="1" si="1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2"/>
        <v>0</v>
      </c>
    </row>
    <row r="20" spans="2:20" x14ac:dyDescent="0.3">
      <c r="B20" s="28" t="str">
        <f t="shared" ca="1" si="0"/>
        <v/>
      </c>
      <c r="C20" s="29" t="str">
        <f t="shared" ca="1" si="1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2"/>
        <v>0</v>
      </c>
    </row>
    <row r="21" spans="2:20" x14ac:dyDescent="0.3">
      <c r="B21" s="28" t="str">
        <f t="shared" ca="1" si="0"/>
        <v/>
      </c>
      <c r="C21" s="29" t="str">
        <f t="shared" ca="1" si="1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2"/>
        <v>0</v>
      </c>
    </row>
    <row r="22" spans="2:20" x14ac:dyDescent="0.3">
      <c r="B22" s="28" t="str">
        <f t="shared" ca="1" si="0"/>
        <v/>
      </c>
      <c r="C22" s="29" t="str">
        <f t="shared" ca="1" si="1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2"/>
        <v>0</v>
      </c>
    </row>
    <row r="23" spans="2:20" x14ac:dyDescent="0.3">
      <c r="B23" s="28" t="str">
        <f t="shared" ca="1" si="0"/>
        <v/>
      </c>
      <c r="C23" s="29" t="str">
        <f t="shared" ca="1" si="1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2"/>
        <v>0</v>
      </c>
    </row>
    <row r="24" spans="2:20" x14ac:dyDescent="0.3">
      <c r="B24" s="28" t="str">
        <f t="shared" ca="1" si="0"/>
        <v/>
      </c>
      <c r="C24" s="29" t="str">
        <f t="shared" ca="1" si="1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2"/>
        <v>0</v>
      </c>
    </row>
    <row r="25" spans="2:20" x14ac:dyDescent="0.3">
      <c r="B25" s="28" t="str">
        <f t="shared" ca="1" si="0"/>
        <v/>
      </c>
      <c r="C25" s="29" t="str">
        <f t="shared" ca="1" si="1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2"/>
        <v>0</v>
      </c>
    </row>
    <row r="26" spans="2:20" x14ac:dyDescent="0.3">
      <c r="B26" s="28" t="str">
        <f t="shared" ca="1" si="0"/>
        <v/>
      </c>
      <c r="C26" s="29" t="str">
        <f t="shared" ca="1" si="1"/>
        <v/>
      </c>
      <c r="D26" s="57"/>
      <c r="E26" s="57"/>
      <c r="F26" s="58"/>
      <c r="G26" s="58"/>
      <c r="H26" s="58"/>
      <c r="I26" s="59"/>
      <c r="J26" s="59"/>
      <c r="K26" s="59"/>
      <c r="L26" s="5">
        <f t="shared" si="2"/>
        <v>0</v>
      </c>
    </row>
    <row r="27" spans="2:20" x14ac:dyDescent="0.3">
      <c r="B27" s="28" t="str">
        <f t="shared" ca="1" si="0"/>
        <v/>
      </c>
      <c r="C27" s="29" t="str">
        <f t="shared" ca="1" si="1"/>
        <v/>
      </c>
      <c r="D27" s="57"/>
      <c r="E27" s="57"/>
      <c r="F27" s="58"/>
      <c r="G27" s="58"/>
      <c r="H27" s="58"/>
      <c r="I27" s="59"/>
      <c r="J27" s="59"/>
      <c r="K27" s="59"/>
      <c r="L27" s="5">
        <f t="shared" si="2"/>
        <v>0</v>
      </c>
    </row>
    <row r="28" spans="2:20" x14ac:dyDescent="0.3">
      <c r="B28" s="28" t="str">
        <f t="shared" ca="1" si="0"/>
        <v/>
      </c>
      <c r="C28" s="29" t="str">
        <f t="shared" ca="1" si="1"/>
        <v/>
      </c>
      <c r="D28" s="57"/>
      <c r="E28" s="57"/>
      <c r="F28" s="58"/>
      <c r="G28" s="58"/>
      <c r="H28" s="58"/>
      <c r="I28" s="59"/>
      <c r="J28" s="59"/>
      <c r="K28" s="59"/>
      <c r="L28" s="5">
        <f t="shared" si="2"/>
        <v>0</v>
      </c>
    </row>
    <row r="29" spans="2:20" x14ac:dyDescent="0.3">
      <c r="B29" s="28" t="str">
        <f t="shared" ca="1" si="0"/>
        <v/>
      </c>
      <c r="C29" s="29" t="str">
        <f t="shared" ca="1" si="1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2"/>
        <v>0</v>
      </c>
    </row>
    <row r="30" spans="2:20" x14ac:dyDescent="0.3">
      <c r="B30" s="28" t="str">
        <f t="shared" ca="1" si="0"/>
        <v/>
      </c>
      <c r="C30" s="29" t="str">
        <f t="shared" ca="1" si="1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2"/>
        <v>0</v>
      </c>
      <c r="T30" s="88"/>
    </row>
    <row r="31" spans="2:20" x14ac:dyDescent="0.3">
      <c r="B31" s="28" t="str">
        <f t="shared" ca="1" si="0"/>
        <v/>
      </c>
      <c r="C31" s="29" t="str">
        <f t="shared" ca="1" si="1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2"/>
        <v>0</v>
      </c>
      <c r="T31" s="89"/>
    </row>
    <row r="32" spans="2:20" x14ac:dyDescent="0.3">
      <c r="B32" s="28" t="str">
        <f t="shared" ca="1" si="0"/>
        <v/>
      </c>
      <c r="C32" s="29" t="str">
        <f t="shared" ca="1" si="1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2"/>
        <v>0</v>
      </c>
      <c r="T32" s="89"/>
    </row>
    <row r="33" spans="2:20" x14ac:dyDescent="0.3">
      <c r="B33" s="28" t="str">
        <f t="shared" ca="1" si="0"/>
        <v/>
      </c>
      <c r="C33" s="29" t="str">
        <f t="shared" ca="1" si="1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2"/>
        <v>0</v>
      </c>
      <c r="T33" s="89"/>
    </row>
    <row r="34" spans="2:20" x14ac:dyDescent="0.3">
      <c r="B34" s="28" t="str">
        <f t="shared" ca="1" si="0"/>
        <v/>
      </c>
      <c r="C34" s="29" t="str">
        <f t="shared" ca="1" si="1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2"/>
        <v>0</v>
      </c>
      <c r="T34" s="89"/>
    </row>
    <row r="35" spans="2:20" x14ac:dyDescent="0.3">
      <c r="B35" s="28" t="str">
        <f t="shared" ca="1" si="0"/>
        <v/>
      </c>
      <c r="C35" s="29" t="str">
        <f t="shared" ca="1" si="1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2"/>
        <v>0</v>
      </c>
      <c r="T35" s="89"/>
    </row>
    <row r="36" spans="2:20" x14ac:dyDescent="0.3">
      <c r="B36" s="28" t="str">
        <f t="shared" ca="1" si="0"/>
        <v/>
      </c>
      <c r="C36" s="29" t="str">
        <f t="shared" ca="1" si="1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2"/>
        <v>0</v>
      </c>
      <c r="T36" s="90"/>
    </row>
    <row r="37" spans="2:20" x14ac:dyDescent="0.3">
      <c r="B37" s="28" t="str">
        <f t="shared" ca="1" si="0"/>
        <v/>
      </c>
      <c r="C37" s="29" t="str">
        <f t="shared" ca="1" si="1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2"/>
        <v>0</v>
      </c>
    </row>
    <row r="38" spans="2:20" x14ac:dyDescent="0.3">
      <c r="B38" s="28" t="str">
        <f t="shared" ca="1" si="0"/>
        <v/>
      </c>
      <c r="C38" s="29" t="str">
        <f t="shared" ca="1" si="1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2"/>
        <v>0</v>
      </c>
    </row>
    <row r="39" spans="2:20" x14ac:dyDescent="0.3">
      <c r="B39" s="28" t="str">
        <f t="shared" ca="1" si="0"/>
        <v/>
      </c>
      <c r="C39" s="29" t="str">
        <f t="shared" ca="1" si="1"/>
        <v/>
      </c>
      <c r="D39" s="57"/>
      <c r="E39" s="57"/>
      <c r="F39" s="57"/>
      <c r="G39" s="58"/>
      <c r="H39" s="108"/>
      <c r="I39" s="59"/>
      <c r="J39" s="59"/>
      <c r="K39" s="59"/>
      <c r="L39" s="5">
        <f t="shared" si="2"/>
        <v>0</v>
      </c>
    </row>
    <row r="40" spans="2:20" x14ac:dyDescent="0.3">
      <c r="B40" s="28" t="str">
        <f t="shared" ca="1" si="0"/>
        <v/>
      </c>
      <c r="C40" s="29" t="str">
        <f t="shared" ca="1" si="1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2"/>
        <v>0</v>
      </c>
    </row>
    <row r="41" spans="2:20" x14ac:dyDescent="0.3">
      <c r="B41" s="28" t="str">
        <f t="shared" ca="1" si="0"/>
        <v/>
      </c>
      <c r="C41" s="29" t="str">
        <f t="shared" ca="1" si="1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2"/>
        <v>0</v>
      </c>
    </row>
    <row r="42" spans="2:20" x14ac:dyDescent="0.3">
      <c r="B42" s="28" t="str">
        <f t="shared" ca="1" si="0"/>
        <v/>
      </c>
      <c r="C42" s="29" t="str">
        <f t="shared" ca="1" si="1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2"/>
        <v>0</v>
      </c>
    </row>
    <row r="43" spans="2:20" x14ac:dyDescent="0.3">
      <c r="B43" s="28" t="str">
        <f t="shared" ca="1" si="0"/>
        <v/>
      </c>
      <c r="C43" s="29" t="str">
        <f t="shared" ca="1" si="1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2"/>
        <v>0</v>
      </c>
    </row>
    <row r="44" spans="2:20" x14ac:dyDescent="0.3">
      <c r="B44" s="28" t="str">
        <f t="shared" ca="1" si="0"/>
        <v/>
      </c>
      <c r="C44" s="29" t="str">
        <f t="shared" ca="1" si="1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2"/>
        <v>0</v>
      </c>
    </row>
    <row r="45" spans="2:20" x14ac:dyDescent="0.3">
      <c r="B45" s="28" t="str">
        <f t="shared" ca="1" si="0"/>
        <v/>
      </c>
      <c r="C45" s="29" t="str">
        <f t="shared" ca="1" si="1"/>
        <v/>
      </c>
      <c r="D45" s="57"/>
      <c r="E45" s="57"/>
      <c r="F45" s="58"/>
      <c r="G45" s="58"/>
      <c r="H45" s="58"/>
      <c r="I45" s="59"/>
      <c r="J45" s="59"/>
      <c r="K45" s="59"/>
      <c r="L45" s="5">
        <f t="shared" si="2"/>
        <v>0</v>
      </c>
    </row>
    <row r="46" spans="2:20" x14ac:dyDescent="0.3">
      <c r="B46" s="28" t="str">
        <f t="shared" ca="1" si="0"/>
        <v/>
      </c>
      <c r="C46" s="29" t="str">
        <f t="shared" ca="1" si="1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2"/>
        <v>0</v>
      </c>
    </row>
    <row r="47" spans="2:20" x14ac:dyDescent="0.3">
      <c r="B47" s="28" t="str">
        <f t="shared" ca="1" si="0"/>
        <v/>
      </c>
      <c r="C47" s="29" t="str">
        <f t="shared" ca="1" si="1"/>
        <v/>
      </c>
      <c r="D47" s="57"/>
      <c r="E47" s="57"/>
      <c r="F47" s="58"/>
      <c r="G47" s="58"/>
      <c r="H47" s="58"/>
      <c r="I47" s="59"/>
      <c r="J47" s="59"/>
      <c r="K47" s="59"/>
      <c r="L47" s="5">
        <f t="shared" si="2"/>
        <v>0</v>
      </c>
    </row>
    <row r="48" spans="2:20" x14ac:dyDescent="0.3">
      <c r="B48" s="28" t="str">
        <f t="shared" ca="1" si="0"/>
        <v/>
      </c>
      <c r="C48" s="29" t="str">
        <f t="shared" ca="1" si="1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2"/>
        <v>0</v>
      </c>
    </row>
    <row r="49" spans="2:12" x14ac:dyDescent="0.3">
      <c r="B49" s="28" t="str">
        <f t="shared" ca="1" si="0"/>
        <v/>
      </c>
      <c r="C49" s="29" t="str">
        <f t="shared" ca="1" si="1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2"/>
        <v>0</v>
      </c>
    </row>
    <row r="50" spans="2:12" x14ac:dyDescent="0.3">
      <c r="B50" s="28" t="str">
        <f t="shared" ca="1" si="0"/>
        <v/>
      </c>
      <c r="C50" s="29" t="str">
        <f t="shared" ca="1" si="1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2"/>
        <v>0</v>
      </c>
    </row>
    <row r="51" spans="2:12" x14ac:dyDescent="0.3">
      <c r="B51" s="28" t="str">
        <f t="shared" ca="1" si="0"/>
        <v/>
      </c>
      <c r="C51" s="29" t="str">
        <f t="shared" ca="1" si="1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2"/>
        <v>0</v>
      </c>
    </row>
    <row r="52" spans="2:12" x14ac:dyDescent="0.3">
      <c r="B52" s="28" t="str">
        <f t="shared" ca="1" si="0"/>
        <v/>
      </c>
      <c r="C52" s="29" t="str">
        <f t="shared" ca="1" si="1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2"/>
        <v>0</v>
      </c>
    </row>
    <row r="53" spans="2:12" x14ac:dyDescent="0.3">
      <c r="B53" s="28" t="str">
        <f t="shared" ca="1" si="0"/>
        <v/>
      </c>
      <c r="C53" s="29" t="str">
        <f t="shared" ca="1" si="1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2"/>
        <v>0</v>
      </c>
    </row>
    <row r="54" spans="2:12" x14ac:dyDescent="0.3">
      <c r="B54" s="28" t="str">
        <f t="shared" ca="1" si="0"/>
        <v/>
      </c>
      <c r="C54" s="29" t="str">
        <f t="shared" ca="1" si="1"/>
        <v/>
      </c>
      <c r="D54" s="57"/>
      <c r="E54" s="57"/>
      <c r="F54" s="58"/>
      <c r="G54" s="58"/>
      <c r="H54" s="58"/>
      <c r="I54" s="59"/>
      <c r="J54" s="59"/>
      <c r="K54" s="59"/>
      <c r="L54" s="5">
        <f t="shared" si="2"/>
        <v>0</v>
      </c>
    </row>
    <row r="55" spans="2:12" x14ac:dyDescent="0.3">
      <c r="B55" s="28" t="str">
        <f t="shared" ca="1" si="0"/>
        <v/>
      </c>
      <c r="C55" s="29" t="str">
        <f t="shared" ca="1" si="1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2"/>
        <v>0</v>
      </c>
    </row>
    <row r="56" spans="2:12" x14ac:dyDescent="0.3">
      <c r="B56" s="28" t="str">
        <f t="shared" ca="1" si="0"/>
        <v/>
      </c>
      <c r="C56" s="29" t="str">
        <f t="shared" ca="1" si="1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2"/>
        <v>0</v>
      </c>
    </row>
    <row r="57" spans="2:12" x14ac:dyDescent="0.3">
      <c r="B57" s="28" t="str">
        <f t="shared" ca="1" si="0"/>
        <v/>
      </c>
      <c r="C57" s="29" t="str">
        <f t="shared" ca="1" si="1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2"/>
        <v>0</v>
      </c>
    </row>
    <row r="58" spans="2:12" x14ac:dyDescent="0.3">
      <c r="B58" s="28" t="str">
        <f t="shared" ca="1" si="0"/>
        <v/>
      </c>
      <c r="C58" s="29" t="str">
        <f t="shared" ca="1" si="1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2"/>
        <v>0</v>
      </c>
    </row>
    <row r="59" spans="2:12" x14ac:dyDescent="0.3">
      <c r="B59" s="28" t="str">
        <f t="shared" ca="1" si="0"/>
        <v/>
      </c>
      <c r="C59" s="29" t="str">
        <f t="shared" ca="1" si="1"/>
        <v/>
      </c>
      <c r="D59" s="57"/>
      <c r="E59" s="57"/>
      <c r="F59" s="58"/>
      <c r="G59" s="58"/>
      <c r="H59" s="58"/>
      <c r="I59" s="59"/>
      <c r="J59" s="59"/>
      <c r="K59" s="59"/>
      <c r="L59" s="5">
        <f t="shared" si="2"/>
        <v>0</v>
      </c>
    </row>
    <row r="60" spans="2:12" x14ac:dyDescent="0.3">
      <c r="B60" s="28" t="str">
        <f t="shared" ref="B60:B125" ca="1" si="3">IF(D60&lt;&gt;"",DATE(Jahr,_xlfn.SHEET()-2,D60),"")</f>
        <v/>
      </c>
      <c r="C60" s="29" t="str">
        <f t="shared" ca="1" si="1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ref="L60:L125" si="4">J60-I60-K60</f>
        <v>0</v>
      </c>
    </row>
    <row r="61" spans="2:12" x14ac:dyDescent="0.3">
      <c r="B61" s="28" t="str">
        <f t="shared" ca="1" si="3"/>
        <v/>
      </c>
      <c r="C61" s="29" t="str">
        <f t="shared" ref="C61:C126" ca="1" si="5">B61</f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4"/>
        <v>0</v>
      </c>
    </row>
    <row r="62" spans="2:12" x14ac:dyDescent="0.3">
      <c r="B62" s="28" t="str">
        <f t="shared" ca="1" si="3"/>
        <v/>
      </c>
      <c r="C62" s="29" t="str">
        <f t="shared" ca="1" si="5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4"/>
        <v>0</v>
      </c>
    </row>
    <row r="63" spans="2:12" x14ac:dyDescent="0.3">
      <c r="B63" s="28" t="str">
        <f t="shared" ca="1" si="3"/>
        <v/>
      </c>
      <c r="C63" s="29" t="str">
        <f t="shared" ca="1" si="5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4"/>
        <v>0</v>
      </c>
    </row>
    <row r="64" spans="2:12" x14ac:dyDescent="0.3">
      <c r="B64" s="28" t="str">
        <f t="shared" ca="1" si="3"/>
        <v/>
      </c>
      <c r="C64" s="29" t="str">
        <f t="shared" ca="1" si="5"/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4"/>
        <v>0</v>
      </c>
    </row>
    <row r="65" spans="2:12" x14ac:dyDescent="0.3">
      <c r="B65" s="28" t="str">
        <f t="shared" ca="1" si="3"/>
        <v/>
      </c>
      <c r="C65" s="29" t="str">
        <f t="shared" ca="1" si="5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4"/>
        <v>0</v>
      </c>
    </row>
    <row r="66" spans="2:12" x14ac:dyDescent="0.3">
      <c r="B66" s="28" t="str">
        <f t="shared" ca="1" si="3"/>
        <v/>
      </c>
      <c r="C66" s="29" t="str">
        <f t="shared" ca="1" si="5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4"/>
        <v>0</v>
      </c>
    </row>
    <row r="67" spans="2:12" x14ac:dyDescent="0.3">
      <c r="B67" s="28" t="str">
        <f ca="1">IF(D67&lt;&gt;"",DATE(Jahr,_xlfn.SHEET()-2,D67),"")</f>
        <v/>
      </c>
      <c r="C67" s="29" t="str">
        <f ca="1">B67</f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4"/>
        <v>0</v>
      </c>
    </row>
    <row r="68" spans="2:12" x14ac:dyDescent="0.3">
      <c r="B68" s="28" t="str">
        <f t="shared" ca="1" si="3"/>
        <v/>
      </c>
      <c r="C68" s="29" t="str">
        <f t="shared" ca="1" si="5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4"/>
        <v>0</v>
      </c>
    </row>
    <row r="69" spans="2:12" x14ac:dyDescent="0.3">
      <c r="B69" s="28" t="str">
        <f t="shared" ca="1" si="3"/>
        <v/>
      </c>
      <c r="C69" s="29" t="str">
        <f t="shared" ca="1" si="5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4"/>
        <v>0</v>
      </c>
    </row>
    <row r="70" spans="2:12" x14ac:dyDescent="0.3">
      <c r="B70" s="28" t="str">
        <f t="shared" ca="1" si="3"/>
        <v/>
      </c>
      <c r="C70" s="29" t="str">
        <f t="shared" ca="1" si="5"/>
        <v/>
      </c>
      <c r="D70" s="57"/>
      <c r="E70" s="57"/>
      <c r="F70" s="58"/>
      <c r="G70" s="58"/>
      <c r="H70" s="58"/>
      <c r="I70" s="59"/>
      <c r="J70" s="59"/>
      <c r="K70" s="59"/>
      <c r="L70" s="5">
        <f t="shared" si="4"/>
        <v>0</v>
      </c>
    </row>
    <row r="71" spans="2:12" x14ac:dyDescent="0.3">
      <c r="B71" s="28" t="str">
        <f t="shared" ca="1" si="3"/>
        <v/>
      </c>
      <c r="C71" s="29" t="str">
        <f t="shared" ca="1" si="5"/>
        <v/>
      </c>
      <c r="D71" s="57"/>
      <c r="E71" s="57"/>
      <c r="F71" s="58"/>
      <c r="G71" s="58"/>
      <c r="H71" s="58"/>
      <c r="I71" s="59"/>
      <c r="J71" s="59"/>
      <c r="K71" s="59"/>
      <c r="L71" s="5">
        <f t="shared" si="4"/>
        <v>0</v>
      </c>
    </row>
    <row r="72" spans="2:12" x14ac:dyDescent="0.3">
      <c r="B72" s="28" t="str">
        <f t="shared" ca="1" si="3"/>
        <v/>
      </c>
      <c r="C72" s="29" t="str">
        <f t="shared" ca="1" si="5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4"/>
        <v>0</v>
      </c>
    </row>
    <row r="73" spans="2:12" x14ac:dyDescent="0.3">
      <c r="B73" s="28" t="str">
        <f t="shared" ca="1" si="3"/>
        <v/>
      </c>
      <c r="C73" s="29" t="str">
        <f t="shared" ca="1" si="5"/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4"/>
        <v>0</v>
      </c>
    </row>
    <row r="74" spans="2:12" x14ac:dyDescent="0.3">
      <c r="B74" s="28" t="str">
        <f t="shared" ca="1" si="3"/>
        <v/>
      </c>
      <c r="C74" s="29" t="str">
        <f t="shared" ca="1" si="5"/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4"/>
        <v>0</v>
      </c>
    </row>
    <row r="75" spans="2:12" x14ac:dyDescent="0.3">
      <c r="B75" s="28" t="str">
        <f t="shared" ca="1" si="3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4"/>
        <v>0</v>
      </c>
    </row>
    <row r="76" spans="2:12" x14ac:dyDescent="0.3">
      <c r="B76" s="28" t="str">
        <f t="shared" ca="1" si="3"/>
        <v/>
      </c>
      <c r="C76" s="29" t="str">
        <f t="shared" ca="1" si="5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4"/>
        <v>0</v>
      </c>
    </row>
    <row r="77" spans="2:12" x14ac:dyDescent="0.3">
      <c r="B77" s="28" t="str">
        <f t="shared" ca="1" si="3"/>
        <v/>
      </c>
      <c r="C77" s="29" t="str">
        <f t="shared" ca="1" si="5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4"/>
        <v>0</v>
      </c>
    </row>
    <row r="78" spans="2:12" x14ac:dyDescent="0.3">
      <c r="B78" s="28" t="str">
        <f t="shared" ca="1" si="3"/>
        <v/>
      </c>
      <c r="C78" s="29" t="str">
        <f t="shared" ca="1" si="5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4"/>
        <v>0</v>
      </c>
    </row>
    <row r="79" spans="2:12" x14ac:dyDescent="0.3">
      <c r="B79" s="28" t="str">
        <f t="shared" ca="1" si="3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4"/>
        <v>0</v>
      </c>
    </row>
    <row r="80" spans="2:12" x14ac:dyDescent="0.3">
      <c r="B80" s="28" t="str">
        <f t="shared" ca="1" si="3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4"/>
        <v>0</v>
      </c>
    </row>
    <row r="81" spans="2:12" x14ac:dyDescent="0.3">
      <c r="B81" s="28" t="str">
        <f ca="1">IF(D81&lt;&gt;"",DATE(Jahr,_xlfn.SHEET()-2,D81),"")</f>
        <v/>
      </c>
      <c r="C81" s="29" t="str">
        <f ca="1">B81</f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4"/>
        <v>0</v>
      </c>
    </row>
    <row r="82" spans="2:12" x14ac:dyDescent="0.3">
      <c r="B82" s="28" t="str">
        <f t="shared" ca="1" si="3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4"/>
        <v>0</v>
      </c>
    </row>
    <row r="83" spans="2:12" x14ac:dyDescent="0.3">
      <c r="B83" s="28" t="str">
        <f t="shared" ca="1" si="3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4"/>
        <v>0</v>
      </c>
    </row>
    <row r="84" spans="2:12" x14ac:dyDescent="0.3">
      <c r="B84" s="28" t="str">
        <f t="shared" ca="1" si="3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4"/>
        <v>0</v>
      </c>
    </row>
    <row r="85" spans="2:12" x14ac:dyDescent="0.3">
      <c r="B85" s="28" t="str">
        <f t="shared" ca="1" si="3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4"/>
        <v>0</v>
      </c>
    </row>
    <row r="86" spans="2:12" x14ac:dyDescent="0.3">
      <c r="B86" s="28" t="str">
        <f t="shared" ca="1" si="3"/>
        <v/>
      </c>
      <c r="C86" s="29" t="str">
        <f t="shared" ca="1" si="5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4"/>
        <v>0</v>
      </c>
    </row>
    <row r="87" spans="2:12" x14ac:dyDescent="0.3">
      <c r="B87" s="28" t="str">
        <f t="shared" ca="1" si="3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4"/>
        <v>0</v>
      </c>
    </row>
    <row r="88" spans="2:12" x14ac:dyDescent="0.3">
      <c r="B88" s="28" t="str">
        <f t="shared" ca="1" si="3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4"/>
        <v>0</v>
      </c>
    </row>
    <row r="89" spans="2:12" x14ac:dyDescent="0.3">
      <c r="B89" s="28" t="str">
        <f t="shared" ca="1" si="3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4"/>
        <v>0</v>
      </c>
    </row>
    <row r="90" spans="2:12" x14ac:dyDescent="0.3">
      <c r="B90" s="28" t="str">
        <f t="shared" ca="1" si="3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4"/>
        <v>0</v>
      </c>
    </row>
    <row r="91" spans="2:12" x14ac:dyDescent="0.3">
      <c r="B91" s="28" t="str">
        <f t="shared" ca="1" si="3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4"/>
        <v>0</v>
      </c>
    </row>
    <row r="92" spans="2:12" x14ac:dyDescent="0.3">
      <c r="B92" s="28" t="str">
        <f t="shared" ca="1" si="3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4"/>
        <v>0</v>
      </c>
    </row>
    <row r="93" spans="2:12" x14ac:dyDescent="0.3">
      <c r="B93" s="28" t="str">
        <f t="shared" ca="1" si="3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4"/>
        <v>0</v>
      </c>
    </row>
    <row r="94" spans="2:12" x14ac:dyDescent="0.3">
      <c r="B94" s="28" t="str">
        <f t="shared" ca="1" si="3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4"/>
        <v>0</v>
      </c>
    </row>
    <row r="95" spans="2:12" x14ac:dyDescent="0.3">
      <c r="B95" s="28" t="str">
        <f t="shared" ca="1" si="3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4"/>
        <v>0</v>
      </c>
    </row>
    <row r="96" spans="2:12" x14ac:dyDescent="0.3">
      <c r="B96" s="28" t="str">
        <f t="shared" ca="1" si="3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4"/>
        <v>0</v>
      </c>
    </row>
    <row r="97" spans="2:12" x14ac:dyDescent="0.3">
      <c r="B97" s="28" t="str">
        <f t="shared" ca="1" si="3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4"/>
        <v>0</v>
      </c>
    </row>
    <row r="98" spans="2:12" x14ac:dyDescent="0.3">
      <c r="B98" s="28" t="str">
        <f t="shared" ca="1" si="3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4"/>
        <v>0</v>
      </c>
    </row>
    <row r="99" spans="2:12" x14ac:dyDescent="0.3">
      <c r="B99" s="28" t="str">
        <f t="shared" ca="1" si="3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4"/>
        <v>0</v>
      </c>
    </row>
    <row r="100" spans="2:12" x14ac:dyDescent="0.3">
      <c r="B100" s="28" t="str">
        <f t="shared" ca="1" si="3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4"/>
        <v>0</v>
      </c>
    </row>
    <row r="101" spans="2:12" x14ac:dyDescent="0.3">
      <c r="B101" s="28" t="str">
        <f t="shared" ca="1" si="3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4"/>
        <v>0</v>
      </c>
    </row>
    <row r="102" spans="2:12" x14ac:dyDescent="0.3">
      <c r="B102" s="28" t="str">
        <f t="shared" ca="1" si="3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4"/>
        <v>0</v>
      </c>
    </row>
    <row r="103" spans="2:12" x14ac:dyDescent="0.3">
      <c r="B103" s="28" t="str">
        <f t="shared" ca="1" si="3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4"/>
        <v>0</v>
      </c>
    </row>
    <row r="104" spans="2:12" x14ac:dyDescent="0.3">
      <c r="B104" s="28" t="str">
        <f t="shared" ca="1" si="3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4"/>
        <v>0</v>
      </c>
    </row>
    <row r="105" spans="2:12" x14ac:dyDescent="0.3">
      <c r="B105" s="28" t="str">
        <f t="shared" ca="1" si="3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4"/>
        <v>0</v>
      </c>
    </row>
    <row r="106" spans="2:12" x14ac:dyDescent="0.3">
      <c r="B106" s="28" t="str">
        <f t="shared" ca="1" si="3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4"/>
        <v>0</v>
      </c>
    </row>
    <row r="107" spans="2:12" x14ac:dyDescent="0.3">
      <c r="B107" s="28" t="str">
        <f t="shared" ca="1" si="3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4"/>
        <v>0</v>
      </c>
    </row>
    <row r="108" spans="2:12" x14ac:dyDescent="0.3">
      <c r="B108" s="28" t="str">
        <f t="shared" ca="1" si="3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4"/>
        <v>0</v>
      </c>
    </row>
    <row r="109" spans="2:12" x14ac:dyDescent="0.3">
      <c r="B109" s="28" t="str">
        <f t="shared" ca="1" si="3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4"/>
        <v>0</v>
      </c>
    </row>
    <row r="110" spans="2:12" x14ac:dyDescent="0.3">
      <c r="B110" s="28" t="str">
        <f t="shared" ca="1" si="3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4"/>
        <v>0</v>
      </c>
    </row>
    <row r="111" spans="2:12" x14ac:dyDescent="0.3">
      <c r="B111" s="28" t="str">
        <f t="shared" ca="1" si="3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4"/>
        <v>0</v>
      </c>
    </row>
    <row r="112" spans="2:12" x14ac:dyDescent="0.3">
      <c r="B112" s="28" t="str">
        <f t="shared" ca="1" si="3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4"/>
        <v>0</v>
      </c>
    </row>
    <row r="113" spans="2:12" x14ac:dyDescent="0.3">
      <c r="B113" s="28" t="str">
        <f t="shared" ca="1" si="3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4"/>
        <v>0</v>
      </c>
    </row>
    <row r="114" spans="2:12" x14ac:dyDescent="0.3">
      <c r="B114" s="28" t="str">
        <f t="shared" ca="1" si="3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4"/>
        <v>0</v>
      </c>
    </row>
    <row r="115" spans="2:12" x14ac:dyDescent="0.3">
      <c r="B115" s="28" t="str">
        <f t="shared" ca="1" si="3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4"/>
        <v>0</v>
      </c>
    </row>
    <row r="116" spans="2:12" x14ac:dyDescent="0.3">
      <c r="B116" s="28" t="str">
        <f t="shared" ca="1" si="3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4"/>
        <v>0</v>
      </c>
    </row>
    <row r="117" spans="2:12" x14ac:dyDescent="0.3">
      <c r="B117" s="28" t="str">
        <f t="shared" ca="1" si="3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4"/>
        <v>0</v>
      </c>
    </row>
    <row r="118" spans="2:12" x14ac:dyDescent="0.3">
      <c r="B118" s="28" t="str">
        <f t="shared" ca="1" si="3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4"/>
        <v>0</v>
      </c>
    </row>
    <row r="119" spans="2:12" x14ac:dyDescent="0.3">
      <c r="B119" s="28" t="str">
        <f t="shared" ca="1" si="3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4"/>
        <v>0</v>
      </c>
    </row>
    <row r="120" spans="2:12" x14ac:dyDescent="0.3">
      <c r="B120" s="28" t="str">
        <f t="shared" ca="1" si="3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4"/>
        <v>0</v>
      </c>
    </row>
    <row r="121" spans="2:12" x14ac:dyDescent="0.3">
      <c r="B121" s="28" t="str">
        <f t="shared" ca="1" si="3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4"/>
        <v>0</v>
      </c>
    </row>
    <row r="122" spans="2:12" x14ac:dyDescent="0.3">
      <c r="B122" s="28" t="str">
        <f t="shared" ca="1" si="3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4"/>
        <v>0</v>
      </c>
    </row>
    <row r="123" spans="2:12" x14ac:dyDescent="0.3">
      <c r="B123" s="28" t="str">
        <f t="shared" ca="1" si="3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4"/>
        <v>0</v>
      </c>
    </row>
    <row r="124" spans="2:12" x14ac:dyDescent="0.3">
      <c r="B124" s="28" t="str">
        <f t="shared" ca="1" si="3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4"/>
        <v>0</v>
      </c>
    </row>
    <row r="125" spans="2:12" x14ac:dyDescent="0.3">
      <c r="B125" s="28" t="str">
        <f t="shared" ca="1" si="3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4"/>
        <v>0</v>
      </c>
    </row>
    <row r="126" spans="2:12" x14ac:dyDescent="0.3">
      <c r="B126" s="28" t="str">
        <f t="shared" ref="B126:B189" ca="1" si="6">IF(D126&lt;&gt;"",DATE(Jahr,_xlfn.SHEET()-2,D126),"")</f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ref="L126:L189" si="7">J126-I126-K126</f>
        <v>0</v>
      </c>
    </row>
    <row r="127" spans="2:12" x14ac:dyDescent="0.3">
      <c r="B127" s="28" t="str">
        <f t="shared" ca="1" si="6"/>
        <v/>
      </c>
      <c r="C127" s="29" t="str">
        <f t="shared" ref="C127:C190" ca="1" si="8">B127</f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7"/>
        <v>0</v>
      </c>
    </row>
    <row r="128" spans="2:12" x14ac:dyDescent="0.3">
      <c r="B128" s="28" t="str">
        <f t="shared" ca="1" si="6"/>
        <v/>
      </c>
      <c r="C128" s="29" t="str">
        <f t="shared" ca="1" si="8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7"/>
        <v>0</v>
      </c>
    </row>
    <row r="129" spans="2:12" x14ac:dyDescent="0.3">
      <c r="B129" s="28" t="str">
        <f t="shared" ca="1" si="6"/>
        <v/>
      </c>
      <c r="C129" s="29" t="str">
        <f t="shared" ca="1" si="8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7"/>
        <v>0</v>
      </c>
    </row>
    <row r="130" spans="2:12" x14ac:dyDescent="0.3">
      <c r="B130" s="28" t="str">
        <f t="shared" ca="1" si="6"/>
        <v/>
      </c>
      <c r="C130" s="29" t="str">
        <f t="shared" ca="1" si="8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7"/>
        <v>0</v>
      </c>
    </row>
    <row r="131" spans="2:12" x14ac:dyDescent="0.3">
      <c r="B131" s="28" t="str">
        <f t="shared" ca="1" si="6"/>
        <v/>
      </c>
      <c r="C131" s="29" t="str">
        <f t="shared" ca="1" si="8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7"/>
        <v>0</v>
      </c>
    </row>
    <row r="132" spans="2:12" x14ac:dyDescent="0.3">
      <c r="B132" s="28" t="str">
        <f t="shared" ca="1" si="6"/>
        <v/>
      </c>
      <c r="C132" s="29" t="str">
        <f t="shared" ca="1" si="8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7"/>
        <v>0</v>
      </c>
    </row>
    <row r="133" spans="2:12" x14ac:dyDescent="0.3">
      <c r="B133" s="28" t="str">
        <f t="shared" ca="1" si="6"/>
        <v/>
      </c>
      <c r="C133" s="29" t="str">
        <f t="shared" ca="1" si="8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7"/>
        <v>0</v>
      </c>
    </row>
    <row r="134" spans="2:12" x14ac:dyDescent="0.3">
      <c r="B134" s="28" t="str">
        <f t="shared" ca="1" si="6"/>
        <v/>
      </c>
      <c r="C134" s="29" t="str">
        <f t="shared" ca="1" si="8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7"/>
        <v>0</v>
      </c>
    </row>
    <row r="135" spans="2:12" x14ac:dyDescent="0.3">
      <c r="B135" s="28" t="str">
        <f t="shared" ca="1" si="6"/>
        <v/>
      </c>
      <c r="C135" s="29" t="str">
        <f t="shared" ca="1" si="8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7"/>
        <v>0</v>
      </c>
    </row>
    <row r="136" spans="2:12" x14ac:dyDescent="0.3">
      <c r="B136" s="28" t="str">
        <f t="shared" ca="1" si="6"/>
        <v/>
      </c>
      <c r="C136" s="29" t="str">
        <f t="shared" ca="1" si="8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7"/>
        <v>0</v>
      </c>
    </row>
    <row r="137" spans="2:12" x14ac:dyDescent="0.3">
      <c r="B137" s="28" t="str">
        <f t="shared" ca="1" si="6"/>
        <v/>
      </c>
      <c r="C137" s="29" t="str">
        <f t="shared" ca="1" si="8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7"/>
        <v>0</v>
      </c>
    </row>
    <row r="138" spans="2:12" x14ac:dyDescent="0.3">
      <c r="B138" s="28" t="str">
        <f t="shared" ca="1" si="6"/>
        <v/>
      </c>
      <c r="C138" s="29" t="str">
        <f t="shared" ca="1" si="8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7"/>
        <v>0</v>
      </c>
    </row>
    <row r="139" spans="2:12" x14ac:dyDescent="0.3">
      <c r="B139" s="28" t="str">
        <f t="shared" ca="1" si="6"/>
        <v/>
      </c>
      <c r="C139" s="29" t="str">
        <f t="shared" ca="1" si="8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7"/>
        <v>0</v>
      </c>
    </row>
    <row r="140" spans="2:12" x14ac:dyDescent="0.3">
      <c r="B140" s="28" t="str">
        <f t="shared" ca="1" si="6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7"/>
        <v>0</v>
      </c>
    </row>
    <row r="141" spans="2:12" x14ac:dyDescent="0.3">
      <c r="B141" s="28" t="str">
        <f t="shared" ca="1" si="6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7"/>
        <v>0</v>
      </c>
    </row>
    <row r="142" spans="2:12" x14ac:dyDescent="0.3">
      <c r="B142" s="28" t="str">
        <f t="shared" ca="1" si="6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7"/>
        <v>0</v>
      </c>
    </row>
    <row r="143" spans="2:12" x14ac:dyDescent="0.3">
      <c r="B143" s="28" t="str">
        <f t="shared" ca="1" si="6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7"/>
        <v>0</v>
      </c>
    </row>
    <row r="144" spans="2:12" x14ac:dyDescent="0.3">
      <c r="B144" s="28" t="str">
        <f t="shared" ca="1" si="6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7"/>
        <v>0</v>
      </c>
    </row>
    <row r="145" spans="2:12" x14ac:dyDescent="0.3">
      <c r="B145" s="28" t="str">
        <f t="shared" ca="1" si="6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7"/>
        <v>0</v>
      </c>
    </row>
    <row r="146" spans="2:12" x14ac:dyDescent="0.3">
      <c r="B146" s="28" t="str">
        <f t="shared" ca="1" si="6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7"/>
        <v>0</v>
      </c>
    </row>
    <row r="147" spans="2:12" x14ac:dyDescent="0.3">
      <c r="B147" s="28" t="str">
        <f t="shared" ca="1" si="6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7"/>
        <v>0</v>
      </c>
    </row>
    <row r="148" spans="2:12" x14ac:dyDescent="0.3">
      <c r="B148" s="28" t="str">
        <f t="shared" ca="1" si="6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7"/>
        <v>0</v>
      </c>
    </row>
    <row r="149" spans="2:12" x14ac:dyDescent="0.3">
      <c r="B149" s="28" t="str">
        <f t="shared" ca="1" si="6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7"/>
        <v>0</v>
      </c>
    </row>
    <row r="150" spans="2:12" x14ac:dyDescent="0.3">
      <c r="B150" s="28" t="str">
        <f t="shared" ca="1" si="6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7"/>
        <v>0</v>
      </c>
    </row>
    <row r="151" spans="2:12" x14ac:dyDescent="0.3">
      <c r="B151" s="28" t="str">
        <f t="shared" ca="1" si="6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7"/>
        <v>0</v>
      </c>
    </row>
    <row r="152" spans="2:12" x14ac:dyDescent="0.3">
      <c r="B152" s="28" t="str">
        <f t="shared" ca="1" si="6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7"/>
        <v>0</v>
      </c>
    </row>
    <row r="153" spans="2:12" x14ac:dyDescent="0.3">
      <c r="B153" s="28" t="str">
        <f t="shared" ca="1" si="6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7"/>
        <v>0</v>
      </c>
    </row>
    <row r="154" spans="2:12" x14ac:dyDescent="0.3">
      <c r="B154" s="28" t="str">
        <f t="shared" ca="1" si="6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7"/>
        <v>0</v>
      </c>
    </row>
    <row r="155" spans="2:12" x14ac:dyDescent="0.3">
      <c r="B155" s="28" t="str">
        <f t="shared" ca="1" si="6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7"/>
        <v>0</v>
      </c>
    </row>
    <row r="156" spans="2:12" x14ac:dyDescent="0.3">
      <c r="B156" s="28" t="str">
        <f t="shared" ca="1" si="6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7"/>
        <v>0</v>
      </c>
    </row>
    <row r="157" spans="2:12" x14ac:dyDescent="0.3">
      <c r="B157" s="28" t="str">
        <f t="shared" ca="1" si="6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7"/>
        <v>0</v>
      </c>
    </row>
    <row r="158" spans="2:12" x14ac:dyDescent="0.3">
      <c r="B158" s="28" t="str">
        <f t="shared" ca="1" si="6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7"/>
        <v>0</v>
      </c>
    </row>
    <row r="159" spans="2:12" x14ac:dyDescent="0.3">
      <c r="B159" s="28" t="str">
        <f t="shared" ca="1" si="6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7"/>
        <v>0</v>
      </c>
    </row>
    <row r="160" spans="2:12" x14ac:dyDescent="0.3">
      <c r="B160" s="28" t="str">
        <f t="shared" ca="1" si="6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7"/>
        <v>0</v>
      </c>
    </row>
    <row r="161" spans="2:12" x14ac:dyDescent="0.3">
      <c r="B161" s="28" t="str">
        <f t="shared" ca="1" si="6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7"/>
        <v>0</v>
      </c>
    </row>
    <row r="162" spans="2:12" x14ac:dyDescent="0.3">
      <c r="B162" s="28" t="str">
        <f t="shared" ca="1" si="6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7"/>
        <v>0</v>
      </c>
    </row>
    <row r="163" spans="2:12" x14ac:dyDescent="0.3">
      <c r="B163" s="28" t="str">
        <f t="shared" ca="1" si="6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7"/>
        <v>0</v>
      </c>
    </row>
    <row r="164" spans="2:12" x14ac:dyDescent="0.3">
      <c r="B164" s="28" t="str">
        <f t="shared" ca="1" si="6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7"/>
        <v>0</v>
      </c>
    </row>
    <row r="165" spans="2:12" x14ac:dyDescent="0.3">
      <c r="B165" s="28" t="str">
        <f t="shared" ca="1" si="6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7"/>
        <v>0</v>
      </c>
    </row>
    <row r="166" spans="2:12" x14ac:dyDescent="0.3">
      <c r="B166" s="28" t="str">
        <f t="shared" ca="1" si="6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7"/>
        <v>0</v>
      </c>
    </row>
    <row r="167" spans="2:12" x14ac:dyDescent="0.3">
      <c r="B167" s="28" t="str">
        <f t="shared" ca="1" si="6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7"/>
        <v>0</v>
      </c>
    </row>
    <row r="168" spans="2:12" x14ac:dyDescent="0.3">
      <c r="B168" s="28" t="str">
        <f t="shared" ca="1" si="6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7"/>
        <v>0</v>
      </c>
    </row>
    <row r="169" spans="2:12" x14ac:dyDescent="0.3">
      <c r="B169" s="28" t="str">
        <f t="shared" ca="1" si="6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7"/>
        <v>0</v>
      </c>
    </row>
    <row r="170" spans="2:12" x14ac:dyDescent="0.3">
      <c r="B170" s="28" t="str">
        <f t="shared" ca="1" si="6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7"/>
        <v>0</v>
      </c>
    </row>
    <row r="171" spans="2:12" x14ac:dyDescent="0.3">
      <c r="B171" s="28" t="str">
        <f t="shared" ca="1" si="6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7"/>
        <v>0</v>
      </c>
    </row>
    <row r="172" spans="2:12" x14ac:dyDescent="0.3">
      <c r="B172" s="28" t="str">
        <f t="shared" ca="1" si="6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7"/>
        <v>0</v>
      </c>
    </row>
    <row r="173" spans="2:12" x14ac:dyDescent="0.3">
      <c r="B173" s="28" t="str">
        <f t="shared" ca="1" si="6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7"/>
        <v>0</v>
      </c>
    </row>
    <row r="174" spans="2:12" x14ac:dyDescent="0.3">
      <c r="B174" s="28" t="str">
        <f t="shared" ca="1" si="6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7"/>
        <v>0</v>
      </c>
    </row>
    <row r="175" spans="2:12" x14ac:dyDescent="0.3">
      <c r="B175" s="28" t="str">
        <f t="shared" ca="1" si="6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7"/>
        <v>0</v>
      </c>
    </row>
    <row r="176" spans="2:12" x14ac:dyDescent="0.3">
      <c r="B176" s="28" t="str">
        <f t="shared" ca="1" si="6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7"/>
        <v>0</v>
      </c>
    </row>
    <row r="177" spans="2:12" x14ac:dyDescent="0.3">
      <c r="B177" s="28" t="str">
        <f t="shared" ca="1" si="6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7"/>
        <v>0</v>
      </c>
    </row>
    <row r="178" spans="2:12" x14ac:dyDescent="0.3">
      <c r="B178" s="28" t="str">
        <f t="shared" ca="1" si="6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7"/>
        <v>0</v>
      </c>
    </row>
    <row r="179" spans="2:12" x14ac:dyDescent="0.3">
      <c r="B179" s="28" t="str">
        <f t="shared" ca="1" si="6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7"/>
        <v>0</v>
      </c>
    </row>
    <row r="180" spans="2:12" x14ac:dyDescent="0.3">
      <c r="B180" s="28" t="str">
        <f t="shared" ca="1" si="6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7"/>
        <v>0</v>
      </c>
    </row>
    <row r="181" spans="2:12" x14ac:dyDescent="0.3">
      <c r="B181" s="28" t="str">
        <f t="shared" ca="1" si="6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7"/>
        <v>0</v>
      </c>
    </row>
    <row r="182" spans="2:12" x14ac:dyDescent="0.3">
      <c r="B182" s="28" t="str">
        <f t="shared" ca="1" si="6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7"/>
        <v>0</v>
      </c>
    </row>
    <row r="183" spans="2:12" x14ac:dyDescent="0.3">
      <c r="B183" s="28" t="str">
        <f t="shared" ca="1" si="6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7"/>
        <v>0</v>
      </c>
    </row>
    <row r="184" spans="2:12" x14ac:dyDescent="0.3">
      <c r="B184" s="28" t="str">
        <f t="shared" ca="1" si="6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7"/>
        <v>0</v>
      </c>
    </row>
    <row r="185" spans="2:12" x14ac:dyDescent="0.3">
      <c r="B185" s="28" t="str">
        <f t="shared" ca="1" si="6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7"/>
        <v>0</v>
      </c>
    </row>
    <row r="186" spans="2:12" x14ac:dyDescent="0.3">
      <c r="B186" s="28" t="str">
        <f t="shared" ca="1" si="6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7"/>
        <v>0</v>
      </c>
    </row>
    <row r="187" spans="2:12" x14ac:dyDescent="0.3">
      <c r="B187" s="28" t="str">
        <f t="shared" ca="1" si="6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7"/>
        <v>0</v>
      </c>
    </row>
    <row r="188" spans="2:12" x14ac:dyDescent="0.3">
      <c r="B188" s="28" t="str">
        <f t="shared" ca="1" si="6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7"/>
        <v>0</v>
      </c>
    </row>
    <row r="189" spans="2:12" x14ac:dyDescent="0.3">
      <c r="B189" s="28" t="str">
        <f t="shared" ca="1" si="6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7"/>
        <v>0</v>
      </c>
    </row>
    <row r="190" spans="2:12" x14ac:dyDescent="0.3">
      <c r="B190" s="28" t="str">
        <f t="shared" ref="B190:B253" ca="1" si="9">IF(D190&lt;&gt;"",DATE(Jahr,_xlfn.SHEET()-2,D190),"")</f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ref="L190:L253" si="10">J190-I190-K190</f>
        <v>0</v>
      </c>
    </row>
    <row r="191" spans="2:12" x14ac:dyDescent="0.3">
      <c r="B191" s="28" t="str">
        <f t="shared" ca="1" si="9"/>
        <v/>
      </c>
      <c r="C191" s="29" t="str">
        <f t="shared" ref="C191:C254" ca="1" si="11">B191</f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10"/>
        <v>0</v>
      </c>
    </row>
    <row r="192" spans="2:12" x14ac:dyDescent="0.3">
      <c r="B192" s="28" t="str">
        <f t="shared" ca="1" si="9"/>
        <v/>
      </c>
      <c r="C192" s="29" t="str">
        <f t="shared" ca="1" si="11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10"/>
        <v>0</v>
      </c>
    </row>
    <row r="193" spans="2:12" x14ac:dyDescent="0.3">
      <c r="B193" s="28" t="str">
        <f t="shared" ca="1" si="9"/>
        <v/>
      </c>
      <c r="C193" s="29" t="str">
        <f t="shared" ca="1" si="11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10"/>
        <v>0</v>
      </c>
    </row>
    <row r="194" spans="2:12" x14ac:dyDescent="0.3">
      <c r="B194" s="28" t="str">
        <f t="shared" ca="1" si="9"/>
        <v/>
      </c>
      <c r="C194" s="29" t="str">
        <f t="shared" ca="1" si="11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10"/>
        <v>0</v>
      </c>
    </row>
    <row r="195" spans="2:12" x14ac:dyDescent="0.3">
      <c r="B195" s="28" t="str">
        <f t="shared" ca="1" si="9"/>
        <v/>
      </c>
      <c r="C195" s="29" t="str">
        <f t="shared" ca="1" si="11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10"/>
        <v>0</v>
      </c>
    </row>
    <row r="196" spans="2:12" x14ac:dyDescent="0.3">
      <c r="B196" s="28" t="str">
        <f t="shared" ca="1" si="9"/>
        <v/>
      </c>
      <c r="C196" s="29" t="str">
        <f t="shared" ca="1" si="11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10"/>
        <v>0</v>
      </c>
    </row>
    <row r="197" spans="2:12" x14ac:dyDescent="0.3">
      <c r="B197" s="28" t="str">
        <f t="shared" ca="1" si="9"/>
        <v/>
      </c>
      <c r="C197" s="29" t="str">
        <f t="shared" ca="1" si="11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10"/>
        <v>0</v>
      </c>
    </row>
    <row r="198" spans="2:12" x14ac:dyDescent="0.3">
      <c r="B198" s="28" t="str">
        <f t="shared" ca="1" si="9"/>
        <v/>
      </c>
      <c r="C198" s="29" t="str">
        <f t="shared" ca="1" si="11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10"/>
        <v>0</v>
      </c>
    </row>
    <row r="199" spans="2:12" x14ac:dyDescent="0.3">
      <c r="B199" s="28" t="str">
        <f t="shared" ca="1" si="9"/>
        <v/>
      </c>
      <c r="C199" s="29" t="str">
        <f t="shared" ca="1" si="11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10"/>
        <v>0</v>
      </c>
    </row>
    <row r="200" spans="2:12" x14ac:dyDescent="0.3">
      <c r="B200" s="28" t="str">
        <f t="shared" ca="1" si="9"/>
        <v/>
      </c>
      <c r="C200" s="29" t="str">
        <f t="shared" ca="1" si="11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10"/>
        <v>0</v>
      </c>
    </row>
    <row r="201" spans="2:12" x14ac:dyDescent="0.3">
      <c r="B201" s="28" t="str">
        <f t="shared" ca="1" si="9"/>
        <v/>
      </c>
      <c r="C201" s="29" t="str">
        <f t="shared" ca="1" si="11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10"/>
        <v>0</v>
      </c>
    </row>
    <row r="202" spans="2:12" x14ac:dyDescent="0.3">
      <c r="B202" s="28" t="str">
        <f t="shared" ca="1" si="9"/>
        <v/>
      </c>
      <c r="C202" s="29" t="str">
        <f t="shared" ca="1" si="11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10"/>
        <v>0</v>
      </c>
    </row>
    <row r="203" spans="2:12" x14ac:dyDescent="0.3">
      <c r="B203" s="28" t="str">
        <f t="shared" ca="1" si="9"/>
        <v/>
      </c>
      <c r="C203" s="29" t="str">
        <f t="shared" ca="1" si="11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10"/>
        <v>0</v>
      </c>
    </row>
    <row r="204" spans="2:12" x14ac:dyDescent="0.3">
      <c r="B204" s="28" t="str">
        <f t="shared" ca="1" si="9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10"/>
        <v>0</v>
      </c>
    </row>
    <row r="205" spans="2:12" x14ac:dyDescent="0.3">
      <c r="B205" s="28" t="str">
        <f t="shared" ca="1" si="9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10"/>
        <v>0</v>
      </c>
    </row>
    <row r="206" spans="2:12" x14ac:dyDescent="0.3">
      <c r="B206" s="28" t="str">
        <f t="shared" ca="1" si="9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10"/>
        <v>0</v>
      </c>
    </row>
    <row r="207" spans="2:12" x14ac:dyDescent="0.3">
      <c r="B207" s="28" t="str">
        <f t="shared" ca="1" si="9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10"/>
        <v>0</v>
      </c>
    </row>
    <row r="208" spans="2:12" x14ac:dyDescent="0.3">
      <c r="B208" s="28" t="str">
        <f t="shared" ca="1" si="9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10"/>
        <v>0</v>
      </c>
    </row>
    <row r="209" spans="2:12" x14ac:dyDescent="0.3">
      <c r="B209" s="28" t="str">
        <f t="shared" ca="1" si="9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10"/>
        <v>0</v>
      </c>
    </row>
    <row r="210" spans="2:12" x14ac:dyDescent="0.3">
      <c r="B210" s="28" t="str">
        <f t="shared" ca="1" si="9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10"/>
        <v>0</v>
      </c>
    </row>
    <row r="211" spans="2:12" x14ac:dyDescent="0.3">
      <c r="B211" s="28" t="str">
        <f t="shared" ca="1" si="9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10"/>
        <v>0</v>
      </c>
    </row>
    <row r="212" spans="2:12" x14ac:dyDescent="0.3">
      <c r="B212" s="28" t="str">
        <f t="shared" ca="1" si="9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10"/>
        <v>0</v>
      </c>
    </row>
    <row r="213" spans="2:12" x14ac:dyDescent="0.3">
      <c r="B213" s="28" t="str">
        <f t="shared" ca="1" si="9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10"/>
        <v>0</v>
      </c>
    </row>
    <row r="214" spans="2:12" x14ac:dyDescent="0.3">
      <c r="B214" s="28" t="str">
        <f t="shared" ca="1" si="9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10"/>
        <v>0</v>
      </c>
    </row>
    <row r="215" spans="2:12" x14ac:dyDescent="0.3">
      <c r="B215" s="28" t="str">
        <f t="shared" ca="1" si="9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10"/>
        <v>0</v>
      </c>
    </row>
    <row r="216" spans="2:12" x14ac:dyDescent="0.3">
      <c r="B216" s="28" t="str">
        <f t="shared" ca="1" si="9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10"/>
        <v>0</v>
      </c>
    </row>
    <row r="217" spans="2:12" x14ac:dyDescent="0.3">
      <c r="B217" s="28" t="str">
        <f t="shared" ca="1" si="9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10"/>
        <v>0</v>
      </c>
    </row>
    <row r="218" spans="2:12" x14ac:dyDescent="0.3">
      <c r="B218" s="28" t="str">
        <f t="shared" ca="1" si="9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10"/>
        <v>0</v>
      </c>
    </row>
    <row r="219" spans="2:12" x14ac:dyDescent="0.3">
      <c r="B219" s="28" t="str">
        <f t="shared" ca="1" si="9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10"/>
        <v>0</v>
      </c>
    </row>
    <row r="220" spans="2:12" x14ac:dyDescent="0.3">
      <c r="B220" s="28" t="str">
        <f t="shared" ca="1" si="9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10"/>
        <v>0</v>
      </c>
    </row>
    <row r="221" spans="2:12" x14ac:dyDescent="0.3">
      <c r="B221" s="28" t="str">
        <f t="shared" ca="1" si="9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10"/>
        <v>0</v>
      </c>
    </row>
    <row r="222" spans="2:12" x14ac:dyDescent="0.3">
      <c r="B222" s="28" t="str">
        <f t="shared" ca="1" si="9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10"/>
        <v>0</v>
      </c>
    </row>
    <row r="223" spans="2:12" x14ac:dyDescent="0.3">
      <c r="B223" s="28" t="str">
        <f t="shared" ca="1" si="9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10"/>
        <v>0</v>
      </c>
    </row>
    <row r="224" spans="2:12" x14ac:dyDescent="0.3">
      <c r="B224" s="28" t="str">
        <f t="shared" ca="1" si="9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10"/>
        <v>0</v>
      </c>
    </row>
    <row r="225" spans="2:12" x14ac:dyDescent="0.3">
      <c r="B225" s="28" t="str">
        <f t="shared" ca="1" si="9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10"/>
        <v>0</v>
      </c>
    </row>
    <row r="226" spans="2:12" x14ac:dyDescent="0.3">
      <c r="B226" s="28" t="str">
        <f t="shared" ca="1" si="9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10"/>
        <v>0</v>
      </c>
    </row>
    <row r="227" spans="2:12" x14ac:dyDescent="0.3">
      <c r="B227" s="28" t="str">
        <f t="shared" ca="1" si="9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10"/>
        <v>0</v>
      </c>
    </row>
    <row r="228" spans="2:12" x14ac:dyDescent="0.3">
      <c r="B228" s="28" t="str">
        <f t="shared" ca="1" si="9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10"/>
        <v>0</v>
      </c>
    </row>
    <row r="229" spans="2:12" x14ac:dyDescent="0.3">
      <c r="B229" s="28" t="str">
        <f t="shared" ca="1" si="9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10"/>
        <v>0</v>
      </c>
    </row>
    <row r="230" spans="2:12" x14ac:dyDescent="0.3">
      <c r="B230" s="28" t="str">
        <f t="shared" ca="1" si="9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10"/>
        <v>0</v>
      </c>
    </row>
    <row r="231" spans="2:12" x14ac:dyDescent="0.3">
      <c r="B231" s="28" t="str">
        <f t="shared" ca="1" si="9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10"/>
        <v>0</v>
      </c>
    </row>
    <row r="232" spans="2:12" x14ac:dyDescent="0.3">
      <c r="B232" s="28" t="str">
        <f t="shared" ca="1" si="9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10"/>
        <v>0</v>
      </c>
    </row>
    <row r="233" spans="2:12" x14ac:dyDescent="0.3">
      <c r="B233" s="28" t="str">
        <f t="shared" ca="1" si="9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10"/>
        <v>0</v>
      </c>
    </row>
    <row r="234" spans="2:12" x14ac:dyDescent="0.3">
      <c r="B234" s="28" t="str">
        <f t="shared" ca="1" si="9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10"/>
        <v>0</v>
      </c>
    </row>
    <row r="235" spans="2:12" x14ac:dyDescent="0.3">
      <c r="B235" s="28" t="str">
        <f t="shared" ca="1" si="9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10"/>
        <v>0</v>
      </c>
    </row>
    <row r="236" spans="2:12" x14ac:dyDescent="0.3">
      <c r="B236" s="28" t="str">
        <f t="shared" ca="1" si="9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10"/>
        <v>0</v>
      </c>
    </row>
    <row r="237" spans="2:12" x14ac:dyDescent="0.3">
      <c r="B237" s="28" t="str">
        <f t="shared" ca="1" si="9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10"/>
        <v>0</v>
      </c>
    </row>
    <row r="238" spans="2:12" x14ac:dyDescent="0.3">
      <c r="B238" s="28" t="str">
        <f t="shared" ca="1" si="9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10"/>
        <v>0</v>
      </c>
    </row>
    <row r="239" spans="2:12" x14ac:dyDescent="0.3">
      <c r="B239" s="28" t="str">
        <f t="shared" ca="1" si="9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10"/>
        <v>0</v>
      </c>
    </row>
    <row r="240" spans="2:12" x14ac:dyDescent="0.3">
      <c r="B240" s="28" t="str">
        <f t="shared" ca="1" si="9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10"/>
        <v>0</v>
      </c>
    </row>
    <row r="241" spans="2:12" x14ac:dyDescent="0.3">
      <c r="B241" s="28" t="str">
        <f t="shared" ca="1" si="9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10"/>
        <v>0</v>
      </c>
    </row>
    <row r="242" spans="2:12" x14ac:dyDescent="0.3">
      <c r="B242" s="28" t="str">
        <f t="shared" ca="1" si="9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10"/>
        <v>0</v>
      </c>
    </row>
    <row r="243" spans="2:12" x14ac:dyDescent="0.3">
      <c r="B243" s="28" t="str">
        <f t="shared" ca="1" si="9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10"/>
        <v>0</v>
      </c>
    </row>
    <row r="244" spans="2:12" x14ac:dyDescent="0.3">
      <c r="B244" s="28" t="str">
        <f t="shared" ca="1" si="9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10"/>
        <v>0</v>
      </c>
    </row>
    <row r="245" spans="2:12" x14ac:dyDescent="0.3">
      <c r="B245" s="28" t="str">
        <f t="shared" ca="1" si="9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10"/>
        <v>0</v>
      </c>
    </row>
    <row r="246" spans="2:12" x14ac:dyDescent="0.3">
      <c r="B246" s="28" t="str">
        <f t="shared" ca="1" si="9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10"/>
        <v>0</v>
      </c>
    </row>
    <row r="247" spans="2:12" x14ac:dyDescent="0.3">
      <c r="B247" s="28" t="str">
        <f t="shared" ca="1" si="9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10"/>
        <v>0</v>
      </c>
    </row>
    <row r="248" spans="2:12" x14ac:dyDescent="0.3">
      <c r="B248" s="28" t="str">
        <f t="shared" ca="1" si="9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10"/>
        <v>0</v>
      </c>
    </row>
    <row r="249" spans="2:12" x14ac:dyDescent="0.3">
      <c r="B249" s="28" t="str">
        <f t="shared" ca="1" si="9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10"/>
        <v>0</v>
      </c>
    </row>
    <row r="250" spans="2:12" x14ac:dyDescent="0.3">
      <c r="B250" s="28" t="str">
        <f t="shared" ca="1" si="9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10"/>
        <v>0</v>
      </c>
    </row>
    <row r="251" spans="2:12" x14ac:dyDescent="0.3">
      <c r="B251" s="28" t="str">
        <f t="shared" ca="1" si="9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10"/>
        <v>0</v>
      </c>
    </row>
    <row r="252" spans="2:12" x14ac:dyDescent="0.3">
      <c r="B252" s="28" t="str">
        <f t="shared" ca="1" si="9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10"/>
        <v>0</v>
      </c>
    </row>
    <row r="253" spans="2:12" x14ac:dyDescent="0.3">
      <c r="B253" s="28" t="str">
        <f t="shared" ca="1" si="9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10"/>
        <v>0</v>
      </c>
    </row>
    <row r="254" spans="2:12" x14ac:dyDescent="0.3">
      <c r="B254" s="28" t="str">
        <f t="shared" ref="B254:B317" ca="1" si="12">IF(D254&lt;&gt;"",DATE(Jahr,_xlfn.SHEET()-2,D254),"")</f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ref="L254:L317" si="13">J254-I254-K254</f>
        <v>0</v>
      </c>
    </row>
    <row r="255" spans="2:12" x14ac:dyDescent="0.3">
      <c r="B255" s="28" t="str">
        <f t="shared" ca="1" si="12"/>
        <v/>
      </c>
      <c r="C255" s="29" t="str">
        <f t="shared" ref="C255:C318" ca="1" si="14">B255</f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13"/>
        <v>0</v>
      </c>
    </row>
    <row r="256" spans="2:12" x14ac:dyDescent="0.3">
      <c r="B256" s="28" t="str">
        <f t="shared" ca="1" si="12"/>
        <v/>
      </c>
      <c r="C256" s="29" t="str">
        <f t="shared" ca="1" si="14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13"/>
        <v>0</v>
      </c>
    </row>
    <row r="257" spans="2:12" x14ac:dyDescent="0.3">
      <c r="B257" s="28" t="str">
        <f t="shared" ca="1" si="12"/>
        <v/>
      </c>
      <c r="C257" s="29" t="str">
        <f t="shared" ca="1" si="14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13"/>
        <v>0</v>
      </c>
    </row>
    <row r="258" spans="2:12" x14ac:dyDescent="0.3">
      <c r="B258" s="28" t="str">
        <f t="shared" ca="1" si="12"/>
        <v/>
      </c>
      <c r="C258" s="29" t="str">
        <f t="shared" ca="1" si="14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13"/>
        <v>0</v>
      </c>
    </row>
    <row r="259" spans="2:12" x14ac:dyDescent="0.3">
      <c r="B259" s="28" t="str">
        <f t="shared" ca="1" si="12"/>
        <v/>
      </c>
      <c r="C259" s="29" t="str">
        <f t="shared" ca="1" si="14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13"/>
        <v>0</v>
      </c>
    </row>
    <row r="260" spans="2:12" x14ac:dyDescent="0.3">
      <c r="B260" s="28" t="str">
        <f t="shared" ca="1" si="12"/>
        <v/>
      </c>
      <c r="C260" s="29" t="str">
        <f t="shared" ca="1" si="14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13"/>
        <v>0</v>
      </c>
    </row>
    <row r="261" spans="2:12" x14ac:dyDescent="0.3">
      <c r="B261" s="28" t="str">
        <f t="shared" ca="1" si="12"/>
        <v/>
      </c>
      <c r="C261" s="29" t="str">
        <f t="shared" ca="1" si="14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13"/>
        <v>0</v>
      </c>
    </row>
    <row r="262" spans="2:12" x14ac:dyDescent="0.3">
      <c r="B262" s="28" t="str">
        <f t="shared" ca="1" si="12"/>
        <v/>
      </c>
      <c r="C262" s="29" t="str">
        <f t="shared" ca="1" si="14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13"/>
        <v>0</v>
      </c>
    </row>
    <row r="263" spans="2:12" x14ac:dyDescent="0.3">
      <c r="B263" s="28" t="str">
        <f t="shared" ca="1" si="12"/>
        <v/>
      </c>
      <c r="C263" s="29" t="str">
        <f t="shared" ca="1" si="14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13"/>
        <v>0</v>
      </c>
    </row>
    <row r="264" spans="2:12" x14ac:dyDescent="0.3">
      <c r="B264" s="28" t="str">
        <f t="shared" ca="1" si="12"/>
        <v/>
      </c>
      <c r="C264" s="29" t="str">
        <f t="shared" ca="1" si="14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13"/>
        <v>0</v>
      </c>
    </row>
    <row r="265" spans="2:12" x14ac:dyDescent="0.3">
      <c r="B265" s="28" t="str">
        <f t="shared" ca="1" si="12"/>
        <v/>
      </c>
      <c r="C265" s="29" t="str">
        <f t="shared" ca="1" si="14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13"/>
        <v>0</v>
      </c>
    </row>
    <row r="266" spans="2:12" x14ac:dyDescent="0.3">
      <c r="B266" s="28" t="str">
        <f t="shared" ca="1" si="12"/>
        <v/>
      </c>
      <c r="C266" s="29" t="str">
        <f t="shared" ca="1" si="14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13"/>
        <v>0</v>
      </c>
    </row>
    <row r="267" spans="2:12" x14ac:dyDescent="0.3">
      <c r="B267" s="28" t="str">
        <f t="shared" ca="1" si="12"/>
        <v/>
      </c>
      <c r="C267" s="29" t="str">
        <f t="shared" ca="1" si="14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3"/>
        <v>0</v>
      </c>
    </row>
    <row r="268" spans="2:12" x14ac:dyDescent="0.3">
      <c r="B268" s="28" t="str">
        <f t="shared" ca="1" si="12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3"/>
        <v>0</v>
      </c>
    </row>
    <row r="269" spans="2:12" x14ac:dyDescent="0.3">
      <c r="B269" s="28" t="str">
        <f t="shared" ca="1" si="12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3"/>
        <v>0</v>
      </c>
    </row>
    <row r="270" spans="2:12" x14ac:dyDescent="0.3">
      <c r="B270" s="28" t="str">
        <f t="shared" ca="1" si="12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3"/>
        <v>0</v>
      </c>
    </row>
    <row r="271" spans="2:12" x14ac:dyDescent="0.3">
      <c r="B271" s="28" t="str">
        <f t="shared" ca="1" si="12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3"/>
        <v>0</v>
      </c>
    </row>
    <row r="272" spans="2:12" x14ac:dyDescent="0.3">
      <c r="B272" s="28" t="str">
        <f t="shared" ca="1" si="12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3"/>
        <v>0</v>
      </c>
    </row>
    <row r="273" spans="2:12" x14ac:dyDescent="0.3">
      <c r="B273" s="28" t="str">
        <f t="shared" ca="1" si="12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3"/>
        <v>0</v>
      </c>
    </row>
    <row r="274" spans="2:12" x14ac:dyDescent="0.3">
      <c r="B274" s="28" t="str">
        <f t="shared" ca="1" si="12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3"/>
        <v>0</v>
      </c>
    </row>
    <row r="275" spans="2:12" x14ac:dyDescent="0.3">
      <c r="B275" s="28" t="str">
        <f t="shared" ca="1" si="12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3"/>
        <v>0</v>
      </c>
    </row>
    <row r="276" spans="2:12" x14ac:dyDescent="0.3">
      <c r="B276" s="28" t="str">
        <f t="shared" ca="1" si="12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3"/>
        <v>0</v>
      </c>
    </row>
    <row r="277" spans="2:12" x14ac:dyDescent="0.3">
      <c r="B277" s="28" t="str">
        <f t="shared" ca="1" si="12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3"/>
        <v>0</v>
      </c>
    </row>
    <row r="278" spans="2:12" x14ac:dyDescent="0.3">
      <c r="B278" s="28" t="str">
        <f t="shared" ca="1" si="12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3"/>
        <v>0</v>
      </c>
    </row>
    <row r="279" spans="2:12" x14ac:dyDescent="0.3">
      <c r="B279" s="28" t="str">
        <f t="shared" ca="1" si="12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3"/>
        <v>0</v>
      </c>
    </row>
    <row r="280" spans="2:12" x14ac:dyDescent="0.3">
      <c r="B280" s="28" t="str">
        <f t="shared" ca="1" si="12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3"/>
        <v>0</v>
      </c>
    </row>
    <row r="281" spans="2:12" x14ac:dyDescent="0.3">
      <c r="B281" s="28" t="str">
        <f t="shared" ca="1" si="12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3"/>
        <v>0</v>
      </c>
    </row>
    <row r="282" spans="2:12" x14ac:dyDescent="0.3">
      <c r="B282" s="28" t="str">
        <f t="shared" ca="1" si="12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3"/>
        <v>0</v>
      </c>
    </row>
    <row r="283" spans="2:12" x14ac:dyDescent="0.3">
      <c r="B283" s="28" t="str">
        <f t="shared" ca="1" si="12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3"/>
        <v>0</v>
      </c>
    </row>
    <row r="284" spans="2:12" x14ac:dyDescent="0.3">
      <c r="B284" s="28" t="str">
        <f t="shared" ca="1" si="12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3"/>
        <v>0</v>
      </c>
    </row>
    <row r="285" spans="2:12" x14ac:dyDescent="0.3">
      <c r="B285" s="28" t="str">
        <f t="shared" ca="1" si="12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3"/>
        <v>0</v>
      </c>
    </row>
    <row r="286" spans="2:12" x14ac:dyDescent="0.3">
      <c r="B286" s="28" t="str">
        <f t="shared" ca="1" si="12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3"/>
        <v>0</v>
      </c>
    </row>
    <row r="287" spans="2:12" x14ac:dyDescent="0.3">
      <c r="B287" s="28" t="str">
        <f t="shared" ca="1" si="12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3"/>
        <v>0</v>
      </c>
    </row>
    <row r="288" spans="2:12" x14ac:dyDescent="0.3">
      <c r="B288" s="28" t="str">
        <f t="shared" ca="1" si="12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3"/>
        <v>0</v>
      </c>
    </row>
    <row r="289" spans="2:12" x14ac:dyDescent="0.3">
      <c r="B289" s="28" t="str">
        <f t="shared" ca="1" si="12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3"/>
        <v>0</v>
      </c>
    </row>
    <row r="290" spans="2:12" x14ac:dyDescent="0.3">
      <c r="B290" s="28" t="str">
        <f t="shared" ca="1" si="12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3"/>
        <v>0</v>
      </c>
    </row>
    <row r="291" spans="2:12" x14ac:dyDescent="0.3">
      <c r="B291" s="28" t="str">
        <f t="shared" ca="1" si="12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3"/>
        <v>0</v>
      </c>
    </row>
    <row r="292" spans="2:12" x14ac:dyDescent="0.3">
      <c r="B292" s="28" t="str">
        <f t="shared" ca="1" si="12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3"/>
        <v>0</v>
      </c>
    </row>
    <row r="293" spans="2:12" x14ac:dyDescent="0.3">
      <c r="B293" s="28" t="str">
        <f t="shared" ca="1" si="12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3"/>
        <v>0</v>
      </c>
    </row>
    <row r="294" spans="2:12" x14ac:dyDescent="0.3">
      <c r="B294" s="28" t="str">
        <f t="shared" ca="1" si="12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3"/>
        <v>0</v>
      </c>
    </row>
    <row r="295" spans="2:12" x14ac:dyDescent="0.3">
      <c r="B295" s="28" t="str">
        <f t="shared" ca="1" si="12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3"/>
        <v>0</v>
      </c>
    </row>
    <row r="296" spans="2:12" x14ac:dyDescent="0.3">
      <c r="B296" s="28" t="str">
        <f t="shared" ca="1" si="12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3"/>
        <v>0</v>
      </c>
    </row>
    <row r="297" spans="2:12" x14ac:dyDescent="0.3">
      <c r="B297" s="28" t="str">
        <f t="shared" ca="1" si="12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3"/>
        <v>0</v>
      </c>
    </row>
    <row r="298" spans="2:12" x14ac:dyDescent="0.3">
      <c r="B298" s="28" t="str">
        <f t="shared" ca="1" si="12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3"/>
        <v>0</v>
      </c>
    </row>
    <row r="299" spans="2:12" x14ac:dyDescent="0.3">
      <c r="B299" s="28" t="str">
        <f t="shared" ca="1" si="12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3"/>
        <v>0</v>
      </c>
    </row>
    <row r="300" spans="2:12" x14ac:dyDescent="0.3">
      <c r="B300" s="28" t="str">
        <f t="shared" ca="1" si="12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3"/>
        <v>0</v>
      </c>
    </row>
    <row r="301" spans="2:12" x14ac:dyDescent="0.3">
      <c r="B301" s="28" t="str">
        <f t="shared" ca="1" si="12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3"/>
        <v>0</v>
      </c>
    </row>
    <row r="302" spans="2:12" x14ac:dyDescent="0.3">
      <c r="B302" s="28" t="str">
        <f t="shared" ca="1" si="12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3"/>
        <v>0</v>
      </c>
    </row>
    <row r="303" spans="2:12" x14ac:dyDescent="0.3">
      <c r="B303" s="28" t="str">
        <f t="shared" ca="1" si="12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3"/>
        <v>0</v>
      </c>
    </row>
    <row r="304" spans="2:12" x14ac:dyDescent="0.3">
      <c r="B304" s="28" t="str">
        <f t="shared" ca="1" si="12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3"/>
        <v>0</v>
      </c>
    </row>
    <row r="305" spans="2:12" x14ac:dyDescent="0.3">
      <c r="B305" s="28" t="str">
        <f t="shared" ca="1" si="12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3"/>
        <v>0</v>
      </c>
    </row>
    <row r="306" spans="2:12" x14ac:dyDescent="0.3">
      <c r="B306" s="28" t="str">
        <f t="shared" ca="1" si="12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3"/>
        <v>0</v>
      </c>
    </row>
    <row r="307" spans="2:12" x14ac:dyDescent="0.3">
      <c r="B307" s="28" t="str">
        <f t="shared" ca="1" si="12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3"/>
        <v>0</v>
      </c>
    </row>
    <row r="308" spans="2:12" x14ac:dyDescent="0.3">
      <c r="B308" s="28" t="str">
        <f t="shared" ca="1" si="12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3"/>
        <v>0</v>
      </c>
    </row>
    <row r="309" spans="2:12" x14ac:dyDescent="0.3">
      <c r="B309" s="28" t="str">
        <f t="shared" ca="1" si="12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3"/>
        <v>0</v>
      </c>
    </row>
    <row r="310" spans="2:12" x14ac:dyDescent="0.3">
      <c r="B310" s="28" t="str">
        <f t="shared" ca="1" si="12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3"/>
        <v>0</v>
      </c>
    </row>
    <row r="311" spans="2:12" x14ac:dyDescent="0.3">
      <c r="B311" s="28" t="str">
        <f t="shared" ca="1" si="12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3"/>
        <v>0</v>
      </c>
    </row>
    <row r="312" spans="2:12" x14ac:dyDescent="0.3">
      <c r="B312" s="28" t="str">
        <f t="shared" ca="1" si="12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3"/>
        <v>0</v>
      </c>
    </row>
    <row r="313" spans="2:12" x14ac:dyDescent="0.3">
      <c r="B313" s="28" t="str">
        <f t="shared" ca="1" si="12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3"/>
        <v>0</v>
      </c>
    </row>
    <row r="314" spans="2:12" x14ac:dyDescent="0.3">
      <c r="B314" s="28" t="str">
        <f t="shared" ca="1" si="12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3"/>
        <v>0</v>
      </c>
    </row>
    <row r="315" spans="2:12" x14ac:dyDescent="0.3">
      <c r="B315" s="28" t="str">
        <f t="shared" ca="1" si="12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3"/>
        <v>0</v>
      </c>
    </row>
    <row r="316" spans="2:12" x14ac:dyDescent="0.3">
      <c r="B316" s="28" t="str">
        <f t="shared" ca="1" si="12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3"/>
        <v>0</v>
      </c>
    </row>
    <row r="317" spans="2:12" x14ac:dyDescent="0.3">
      <c r="B317" s="28" t="str">
        <f t="shared" ca="1" si="12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3"/>
        <v>0</v>
      </c>
    </row>
    <row r="318" spans="2:12" x14ac:dyDescent="0.3">
      <c r="B318" s="28" t="str">
        <f t="shared" ref="B318:B381" ca="1" si="15">IF(D318&lt;&gt;"",DATE(Jahr,_xlfn.SHEET()-2,D318),"")</f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ref="L318:L381" si="16">J318-I318-K318</f>
        <v>0</v>
      </c>
    </row>
    <row r="319" spans="2:12" x14ac:dyDescent="0.3">
      <c r="B319" s="28" t="str">
        <f t="shared" ca="1" si="15"/>
        <v/>
      </c>
      <c r="C319" s="29" t="str">
        <f t="shared" ref="C319:C382" ca="1" si="17">B319</f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6"/>
        <v>0</v>
      </c>
    </row>
    <row r="320" spans="2:12" x14ac:dyDescent="0.3">
      <c r="B320" s="28" t="str">
        <f t="shared" ca="1" si="15"/>
        <v/>
      </c>
      <c r="C320" s="29" t="str">
        <f t="shared" ca="1" si="17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6"/>
        <v>0</v>
      </c>
    </row>
    <row r="321" spans="2:12" x14ac:dyDescent="0.3">
      <c r="B321" s="28" t="str">
        <f t="shared" ca="1" si="15"/>
        <v/>
      </c>
      <c r="C321" s="29" t="str">
        <f t="shared" ca="1" si="17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6"/>
        <v>0</v>
      </c>
    </row>
    <row r="322" spans="2:12" x14ac:dyDescent="0.3">
      <c r="B322" s="28" t="str">
        <f t="shared" ca="1" si="15"/>
        <v/>
      </c>
      <c r="C322" s="29" t="str">
        <f t="shared" ca="1" si="17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6"/>
        <v>0</v>
      </c>
    </row>
    <row r="323" spans="2:12" x14ac:dyDescent="0.3">
      <c r="B323" s="28" t="str">
        <f t="shared" ca="1" si="15"/>
        <v/>
      </c>
      <c r="C323" s="29" t="str">
        <f t="shared" ca="1" si="17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6"/>
        <v>0</v>
      </c>
    </row>
    <row r="324" spans="2:12" x14ac:dyDescent="0.3">
      <c r="B324" s="28" t="str">
        <f t="shared" ca="1" si="15"/>
        <v/>
      </c>
      <c r="C324" s="29" t="str">
        <f t="shared" ca="1" si="17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6"/>
        <v>0</v>
      </c>
    </row>
    <row r="325" spans="2:12" x14ac:dyDescent="0.3">
      <c r="B325" s="28" t="str">
        <f t="shared" ca="1" si="15"/>
        <v/>
      </c>
      <c r="C325" s="29" t="str">
        <f t="shared" ca="1" si="17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6"/>
        <v>0</v>
      </c>
    </row>
    <row r="326" spans="2:12" x14ac:dyDescent="0.3">
      <c r="B326" s="28" t="str">
        <f t="shared" ca="1" si="15"/>
        <v/>
      </c>
      <c r="C326" s="29" t="str">
        <f t="shared" ca="1" si="17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6"/>
        <v>0</v>
      </c>
    </row>
    <row r="327" spans="2:12" x14ac:dyDescent="0.3">
      <c r="B327" s="28" t="str">
        <f t="shared" ca="1" si="15"/>
        <v/>
      </c>
      <c r="C327" s="29" t="str">
        <f t="shared" ca="1" si="17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6"/>
        <v>0</v>
      </c>
    </row>
    <row r="328" spans="2:12" x14ac:dyDescent="0.3">
      <c r="B328" s="28" t="str">
        <f t="shared" ca="1" si="15"/>
        <v/>
      </c>
      <c r="C328" s="29" t="str">
        <f t="shared" ca="1" si="17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6"/>
        <v>0</v>
      </c>
    </row>
    <row r="329" spans="2:12" x14ac:dyDescent="0.3">
      <c r="B329" s="28" t="str">
        <f t="shared" ca="1" si="15"/>
        <v/>
      </c>
      <c r="C329" s="29" t="str">
        <f t="shared" ca="1" si="17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6"/>
        <v>0</v>
      </c>
    </row>
    <row r="330" spans="2:12" x14ac:dyDescent="0.3">
      <c r="B330" s="28" t="str">
        <f t="shared" ca="1" si="15"/>
        <v/>
      </c>
      <c r="C330" s="29" t="str">
        <f t="shared" ca="1" si="17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6"/>
        <v>0</v>
      </c>
    </row>
    <row r="331" spans="2:12" x14ac:dyDescent="0.3">
      <c r="B331" s="28" t="str">
        <f t="shared" ca="1" si="15"/>
        <v/>
      </c>
      <c r="C331" s="29" t="str">
        <f t="shared" ca="1" si="17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6"/>
        <v>0</v>
      </c>
    </row>
    <row r="332" spans="2:12" x14ac:dyDescent="0.3">
      <c r="B332" s="28" t="str">
        <f t="shared" ca="1" si="15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6"/>
        <v>0</v>
      </c>
    </row>
    <row r="333" spans="2:12" x14ac:dyDescent="0.3">
      <c r="B333" s="28" t="str">
        <f t="shared" ca="1" si="15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6"/>
        <v>0</v>
      </c>
    </row>
    <row r="334" spans="2:12" x14ac:dyDescent="0.3">
      <c r="B334" s="28" t="str">
        <f t="shared" ca="1" si="15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6"/>
        <v>0</v>
      </c>
    </row>
    <row r="335" spans="2:12" x14ac:dyDescent="0.3">
      <c r="B335" s="28" t="str">
        <f t="shared" ca="1" si="15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6"/>
        <v>0</v>
      </c>
    </row>
    <row r="336" spans="2:12" x14ac:dyDescent="0.3">
      <c r="B336" s="28" t="str">
        <f t="shared" ca="1" si="15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6"/>
        <v>0</v>
      </c>
    </row>
    <row r="337" spans="2:12" x14ac:dyDescent="0.3">
      <c r="B337" s="28" t="str">
        <f t="shared" ca="1" si="15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6"/>
        <v>0</v>
      </c>
    </row>
    <row r="338" spans="2:12" x14ac:dyDescent="0.3">
      <c r="B338" s="28" t="str">
        <f t="shared" ca="1" si="15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6"/>
        <v>0</v>
      </c>
    </row>
    <row r="339" spans="2:12" x14ac:dyDescent="0.3">
      <c r="B339" s="28" t="str">
        <f t="shared" ca="1" si="15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6"/>
        <v>0</v>
      </c>
    </row>
    <row r="340" spans="2:12" x14ac:dyDescent="0.3">
      <c r="B340" s="28" t="str">
        <f t="shared" ca="1" si="15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6"/>
        <v>0</v>
      </c>
    </row>
    <row r="341" spans="2:12" x14ac:dyDescent="0.3">
      <c r="B341" s="28" t="str">
        <f t="shared" ca="1" si="15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6"/>
        <v>0</v>
      </c>
    </row>
    <row r="342" spans="2:12" x14ac:dyDescent="0.3">
      <c r="B342" s="28" t="str">
        <f t="shared" ca="1" si="15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6"/>
        <v>0</v>
      </c>
    </row>
    <row r="343" spans="2:12" x14ac:dyDescent="0.3">
      <c r="B343" s="28" t="str">
        <f t="shared" ca="1" si="15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6"/>
        <v>0</v>
      </c>
    </row>
    <row r="344" spans="2:12" x14ac:dyDescent="0.3">
      <c r="B344" s="28" t="str">
        <f t="shared" ca="1" si="15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6"/>
        <v>0</v>
      </c>
    </row>
    <row r="345" spans="2:12" x14ac:dyDescent="0.3">
      <c r="B345" s="28" t="str">
        <f t="shared" ca="1" si="15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6"/>
        <v>0</v>
      </c>
    </row>
    <row r="346" spans="2:12" x14ac:dyDescent="0.3">
      <c r="B346" s="28" t="str">
        <f t="shared" ca="1" si="15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6"/>
        <v>0</v>
      </c>
    </row>
    <row r="347" spans="2:12" x14ac:dyDescent="0.3">
      <c r="B347" s="28" t="str">
        <f t="shared" ca="1" si="15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6"/>
        <v>0</v>
      </c>
    </row>
    <row r="348" spans="2:12" x14ac:dyDescent="0.3">
      <c r="B348" s="28" t="str">
        <f t="shared" ca="1" si="15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6"/>
        <v>0</v>
      </c>
    </row>
    <row r="349" spans="2:12" x14ac:dyDescent="0.3">
      <c r="B349" s="28" t="str">
        <f t="shared" ca="1" si="15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6"/>
        <v>0</v>
      </c>
    </row>
    <row r="350" spans="2:12" x14ac:dyDescent="0.3">
      <c r="B350" s="28" t="str">
        <f t="shared" ca="1" si="15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6"/>
        <v>0</v>
      </c>
    </row>
    <row r="351" spans="2:12" x14ac:dyDescent="0.3">
      <c r="B351" s="28" t="str">
        <f t="shared" ca="1" si="15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6"/>
        <v>0</v>
      </c>
    </row>
    <row r="352" spans="2:12" x14ac:dyDescent="0.3">
      <c r="B352" s="28" t="str">
        <f t="shared" ca="1" si="15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6"/>
        <v>0</v>
      </c>
    </row>
    <row r="353" spans="2:12" x14ac:dyDescent="0.3">
      <c r="B353" s="28" t="str">
        <f t="shared" ca="1" si="15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6"/>
        <v>0</v>
      </c>
    </row>
    <row r="354" spans="2:12" x14ac:dyDescent="0.3">
      <c r="B354" s="28" t="str">
        <f t="shared" ca="1" si="15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6"/>
        <v>0</v>
      </c>
    </row>
    <row r="355" spans="2:12" x14ac:dyDescent="0.3">
      <c r="B355" s="28" t="str">
        <f t="shared" ca="1" si="15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6"/>
        <v>0</v>
      </c>
    </row>
    <row r="356" spans="2:12" x14ac:dyDescent="0.3">
      <c r="B356" s="28" t="str">
        <f t="shared" ca="1" si="15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6"/>
        <v>0</v>
      </c>
    </row>
    <row r="357" spans="2:12" x14ac:dyDescent="0.3">
      <c r="B357" s="28" t="str">
        <f t="shared" ca="1" si="15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6"/>
        <v>0</v>
      </c>
    </row>
    <row r="358" spans="2:12" x14ac:dyDescent="0.3">
      <c r="B358" s="28" t="str">
        <f t="shared" ca="1" si="15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6"/>
        <v>0</v>
      </c>
    </row>
    <row r="359" spans="2:12" x14ac:dyDescent="0.3">
      <c r="B359" s="28" t="str">
        <f t="shared" ca="1" si="15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6"/>
        <v>0</v>
      </c>
    </row>
    <row r="360" spans="2:12" x14ac:dyDescent="0.3">
      <c r="B360" s="28" t="str">
        <f t="shared" ca="1" si="15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6"/>
        <v>0</v>
      </c>
    </row>
    <row r="361" spans="2:12" x14ac:dyDescent="0.3">
      <c r="B361" s="28" t="str">
        <f t="shared" ca="1" si="15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6"/>
        <v>0</v>
      </c>
    </row>
    <row r="362" spans="2:12" x14ac:dyDescent="0.3">
      <c r="B362" s="28" t="str">
        <f t="shared" ca="1" si="15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6"/>
        <v>0</v>
      </c>
    </row>
    <row r="363" spans="2:12" x14ac:dyDescent="0.3">
      <c r="B363" s="28" t="str">
        <f t="shared" ca="1" si="15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6"/>
        <v>0</v>
      </c>
    </row>
    <row r="364" spans="2:12" x14ac:dyDescent="0.3">
      <c r="B364" s="28" t="str">
        <f t="shared" ca="1" si="15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6"/>
        <v>0</v>
      </c>
    </row>
    <row r="365" spans="2:12" x14ac:dyDescent="0.3">
      <c r="B365" s="28" t="str">
        <f t="shared" ca="1" si="15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6"/>
        <v>0</v>
      </c>
    </row>
    <row r="366" spans="2:12" x14ac:dyDescent="0.3">
      <c r="B366" s="28" t="str">
        <f t="shared" ca="1" si="15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6"/>
        <v>0</v>
      </c>
    </row>
    <row r="367" spans="2:12" x14ac:dyDescent="0.3">
      <c r="B367" s="28" t="str">
        <f t="shared" ca="1" si="15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6"/>
        <v>0</v>
      </c>
    </row>
    <row r="368" spans="2:12" x14ac:dyDescent="0.3">
      <c r="B368" s="28" t="str">
        <f t="shared" ca="1" si="15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6"/>
        <v>0</v>
      </c>
    </row>
    <row r="369" spans="2:12" x14ac:dyDescent="0.3">
      <c r="B369" s="28" t="str">
        <f t="shared" ca="1" si="15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6"/>
        <v>0</v>
      </c>
    </row>
    <row r="370" spans="2:12" x14ac:dyDescent="0.3">
      <c r="B370" s="28" t="str">
        <f t="shared" ca="1" si="15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6"/>
        <v>0</v>
      </c>
    </row>
    <row r="371" spans="2:12" x14ac:dyDescent="0.3">
      <c r="B371" s="28" t="str">
        <f t="shared" ca="1" si="15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6"/>
        <v>0</v>
      </c>
    </row>
    <row r="372" spans="2:12" x14ac:dyDescent="0.3">
      <c r="B372" s="28" t="str">
        <f t="shared" ca="1" si="15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6"/>
        <v>0</v>
      </c>
    </row>
    <row r="373" spans="2:12" x14ac:dyDescent="0.3">
      <c r="B373" s="28" t="str">
        <f t="shared" ca="1" si="15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6"/>
        <v>0</v>
      </c>
    </row>
    <row r="374" spans="2:12" x14ac:dyDescent="0.3">
      <c r="B374" s="28" t="str">
        <f t="shared" ca="1" si="15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6"/>
        <v>0</v>
      </c>
    </row>
    <row r="375" spans="2:12" x14ac:dyDescent="0.3">
      <c r="B375" s="28" t="str">
        <f t="shared" ca="1" si="15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6"/>
        <v>0</v>
      </c>
    </row>
    <row r="376" spans="2:12" x14ac:dyDescent="0.3">
      <c r="B376" s="28" t="str">
        <f t="shared" ca="1" si="15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6"/>
        <v>0</v>
      </c>
    </row>
    <row r="377" spans="2:12" x14ac:dyDescent="0.3">
      <c r="B377" s="28" t="str">
        <f t="shared" ca="1" si="15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6"/>
        <v>0</v>
      </c>
    </row>
    <row r="378" spans="2:12" x14ac:dyDescent="0.3">
      <c r="B378" s="28" t="str">
        <f t="shared" ca="1" si="15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6"/>
        <v>0</v>
      </c>
    </row>
    <row r="379" spans="2:12" x14ac:dyDescent="0.3">
      <c r="B379" s="28" t="str">
        <f t="shared" ca="1" si="15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6"/>
        <v>0</v>
      </c>
    </row>
    <row r="380" spans="2:12" x14ac:dyDescent="0.3">
      <c r="B380" s="28" t="str">
        <f t="shared" ca="1" si="15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6"/>
        <v>0</v>
      </c>
    </row>
    <row r="381" spans="2:12" x14ac:dyDescent="0.3">
      <c r="B381" s="28" t="str">
        <f t="shared" ca="1" si="15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6"/>
        <v>0</v>
      </c>
    </row>
    <row r="382" spans="2:12" x14ac:dyDescent="0.3">
      <c r="B382" s="28" t="str">
        <f t="shared" ref="B382:B445" ca="1" si="18">IF(D382&lt;&gt;"",DATE(Jahr,_xlfn.SHEET()-2,D382),"")</f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ref="L382:L445" si="19">J382-I382-K382</f>
        <v>0</v>
      </c>
    </row>
    <row r="383" spans="2:12" x14ac:dyDescent="0.3">
      <c r="B383" s="28" t="str">
        <f t="shared" ca="1" si="18"/>
        <v/>
      </c>
      <c r="C383" s="29" t="str">
        <f t="shared" ref="C383:C446" ca="1" si="20">B383</f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9"/>
        <v>0</v>
      </c>
    </row>
    <row r="384" spans="2:12" x14ac:dyDescent="0.3">
      <c r="B384" s="28" t="str">
        <f t="shared" ca="1" si="18"/>
        <v/>
      </c>
      <c r="C384" s="29" t="str">
        <f t="shared" ca="1" si="20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9"/>
        <v>0</v>
      </c>
    </row>
    <row r="385" spans="2:12" x14ac:dyDescent="0.3">
      <c r="B385" s="28" t="str">
        <f t="shared" ca="1" si="18"/>
        <v/>
      </c>
      <c r="C385" s="29" t="str">
        <f t="shared" ca="1" si="20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9"/>
        <v>0</v>
      </c>
    </row>
    <row r="386" spans="2:12" x14ac:dyDescent="0.3">
      <c r="B386" s="28" t="str">
        <f t="shared" ca="1" si="18"/>
        <v/>
      </c>
      <c r="C386" s="29" t="str">
        <f t="shared" ca="1" si="20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9"/>
        <v>0</v>
      </c>
    </row>
    <row r="387" spans="2:12" x14ac:dyDescent="0.3">
      <c r="B387" s="28" t="str">
        <f t="shared" ca="1" si="18"/>
        <v/>
      </c>
      <c r="C387" s="29" t="str">
        <f t="shared" ca="1" si="20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9"/>
        <v>0</v>
      </c>
    </row>
    <row r="388" spans="2:12" x14ac:dyDescent="0.3">
      <c r="B388" s="28" t="str">
        <f t="shared" ca="1" si="18"/>
        <v/>
      </c>
      <c r="C388" s="29" t="str">
        <f t="shared" ca="1" si="20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9"/>
        <v>0</v>
      </c>
    </row>
    <row r="389" spans="2:12" x14ac:dyDescent="0.3">
      <c r="B389" s="28" t="str">
        <f t="shared" ca="1" si="18"/>
        <v/>
      </c>
      <c r="C389" s="29" t="str">
        <f t="shared" ca="1" si="20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9"/>
        <v>0</v>
      </c>
    </row>
    <row r="390" spans="2:12" x14ac:dyDescent="0.3">
      <c r="B390" s="28" t="str">
        <f t="shared" ca="1" si="18"/>
        <v/>
      </c>
      <c r="C390" s="29" t="str">
        <f t="shared" ca="1" si="20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9"/>
        <v>0</v>
      </c>
    </row>
    <row r="391" spans="2:12" x14ac:dyDescent="0.3">
      <c r="B391" s="28" t="str">
        <f t="shared" ca="1" si="18"/>
        <v/>
      </c>
      <c r="C391" s="29" t="str">
        <f t="shared" ca="1" si="20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9"/>
        <v>0</v>
      </c>
    </row>
    <row r="392" spans="2:12" x14ac:dyDescent="0.3">
      <c r="B392" s="28" t="str">
        <f t="shared" ca="1" si="18"/>
        <v/>
      </c>
      <c r="C392" s="29" t="str">
        <f t="shared" ca="1" si="20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9"/>
        <v>0</v>
      </c>
    </row>
    <row r="393" spans="2:12" x14ac:dyDescent="0.3">
      <c r="B393" s="28" t="str">
        <f t="shared" ca="1" si="18"/>
        <v/>
      </c>
      <c r="C393" s="29" t="str">
        <f t="shared" ca="1" si="20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9"/>
        <v>0</v>
      </c>
    </row>
    <row r="394" spans="2:12" x14ac:dyDescent="0.3">
      <c r="B394" s="28" t="str">
        <f t="shared" ca="1" si="18"/>
        <v/>
      </c>
      <c r="C394" s="29" t="str">
        <f t="shared" ca="1" si="20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9"/>
        <v>0</v>
      </c>
    </row>
    <row r="395" spans="2:12" x14ac:dyDescent="0.3">
      <c r="B395" s="28" t="str">
        <f t="shared" ca="1" si="18"/>
        <v/>
      </c>
      <c r="C395" s="29" t="str">
        <f t="shared" ca="1" si="20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9"/>
        <v>0</v>
      </c>
    </row>
    <row r="396" spans="2:12" x14ac:dyDescent="0.3">
      <c r="B396" s="28" t="str">
        <f t="shared" ca="1" si="18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9"/>
        <v>0</v>
      </c>
    </row>
    <row r="397" spans="2:12" x14ac:dyDescent="0.3">
      <c r="B397" s="28" t="str">
        <f t="shared" ca="1" si="18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9"/>
        <v>0</v>
      </c>
    </row>
    <row r="398" spans="2:12" x14ac:dyDescent="0.3">
      <c r="B398" s="28" t="str">
        <f t="shared" ca="1" si="18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9"/>
        <v>0</v>
      </c>
    </row>
    <row r="399" spans="2:12" x14ac:dyDescent="0.3">
      <c r="B399" s="28" t="str">
        <f t="shared" ca="1" si="18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9"/>
        <v>0</v>
      </c>
    </row>
    <row r="400" spans="2:12" x14ac:dyDescent="0.3">
      <c r="B400" s="28" t="str">
        <f t="shared" ca="1" si="18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9"/>
        <v>0</v>
      </c>
    </row>
    <row r="401" spans="2:12" x14ac:dyDescent="0.3">
      <c r="B401" s="28" t="str">
        <f t="shared" ca="1" si="18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9"/>
        <v>0</v>
      </c>
    </row>
    <row r="402" spans="2:12" x14ac:dyDescent="0.3">
      <c r="B402" s="28" t="str">
        <f t="shared" ca="1" si="18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9"/>
        <v>0</v>
      </c>
    </row>
    <row r="403" spans="2:12" x14ac:dyDescent="0.3">
      <c r="B403" s="28" t="str">
        <f t="shared" ca="1" si="18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9"/>
        <v>0</v>
      </c>
    </row>
    <row r="404" spans="2:12" x14ac:dyDescent="0.3">
      <c r="B404" s="28" t="str">
        <f t="shared" ca="1" si="18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9"/>
        <v>0</v>
      </c>
    </row>
    <row r="405" spans="2:12" x14ac:dyDescent="0.3">
      <c r="B405" s="28" t="str">
        <f t="shared" ca="1" si="18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9"/>
        <v>0</v>
      </c>
    </row>
    <row r="406" spans="2:12" x14ac:dyDescent="0.3">
      <c r="B406" s="28" t="str">
        <f t="shared" ca="1" si="18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9"/>
        <v>0</v>
      </c>
    </row>
    <row r="407" spans="2:12" x14ac:dyDescent="0.3">
      <c r="B407" s="28" t="str">
        <f t="shared" ca="1" si="18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9"/>
        <v>0</v>
      </c>
    </row>
    <row r="408" spans="2:12" x14ac:dyDescent="0.3">
      <c r="B408" s="28" t="str">
        <f t="shared" ca="1" si="18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9"/>
        <v>0</v>
      </c>
    </row>
    <row r="409" spans="2:12" x14ac:dyDescent="0.3">
      <c r="B409" s="28" t="str">
        <f t="shared" ca="1" si="18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9"/>
        <v>0</v>
      </c>
    </row>
    <row r="410" spans="2:12" x14ac:dyDescent="0.3">
      <c r="B410" s="28" t="str">
        <f t="shared" ca="1" si="18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9"/>
        <v>0</v>
      </c>
    </row>
    <row r="411" spans="2:12" x14ac:dyDescent="0.3">
      <c r="B411" s="28" t="str">
        <f t="shared" ca="1" si="18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9"/>
        <v>0</v>
      </c>
    </row>
    <row r="412" spans="2:12" x14ac:dyDescent="0.3">
      <c r="B412" s="28" t="str">
        <f t="shared" ca="1" si="18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9"/>
        <v>0</v>
      </c>
    </row>
    <row r="413" spans="2:12" x14ac:dyDescent="0.3">
      <c r="B413" s="28" t="str">
        <f t="shared" ca="1" si="18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9"/>
        <v>0</v>
      </c>
    </row>
    <row r="414" spans="2:12" x14ac:dyDescent="0.3">
      <c r="B414" s="28" t="str">
        <f t="shared" ca="1" si="18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9"/>
        <v>0</v>
      </c>
    </row>
    <row r="415" spans="2:12" x14ac:dyDescent="0.3">
      <c r="B415" s="28" t="str">
        <f t="shared" ca="1" si="18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9"/>
        <v>0</v>
      </c>
    </row>
    <row r="416" spans="2:12" x14ac:dyDescent="0.3">
      <c r="B416" s="28" t="str">
        <f t="shared" ca="1" si="18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9"/>
        <v>0</v>
      </c>
    </row>
    <row r="417" spans="2:12" x14ac:dyDescent="0.3">
      <c r="B417" s="28" t="str">
        <f t="shared" ca="1" si="18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9"/>
        <v>0</v>
      </c>
    </row>
    <row r="418" spans="2:12" x14ac:dyDescent="0.3">
      <c r="B418" s="28" t="str">
        <f t="shared" ca="1" si="18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9"/>
        <v>0</v>
      </c>
    </row>
    <row r="419" spans="2:12" x14ac:dyDescent="0.3">
      <c r="B419" s="28" t="str">
        <f t="shared" ca="1" si="18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9"/>
        <v>0</v>
      </c>
    </row>
    <row r="420" spans="2:12" x14ac:dyDescent="0.3">
      <c r="B420" s="28" t="str">
        <f t="shared" ca="1" si="18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9"/>
        <v>0</v>
      </c>
    </row>
    <row r="421" spans="2:12" x14ac:dyDescent="0.3">
      <c r="B421" s="28" t="str">
        <f t="shared" ca="1" si="18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9"/>
        <v>0</v>
      </c>
    </row>
    <row r="422" spans="2:12" x14ac:dyDescent="0.3">
      <c r="B422" s="28" t="str">
        <f t="shared" ca="1" si="18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9"/>
        <v>0</v>
      </c>
    </row>
    <row r="423" spans="2:12" x14ac:dyDescent="0.3">
      <c r="B423" s="28" t="str">
        <f t="shared" ca="1" si="18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9"/>
        <v>0</v>
      </c>
    </row>
    <row r="424" spans="2:12" x14ac:dyDescent="0.3">
      <c r="B424" s="28" t="str">
        <f t="shared" ca="1" si="18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9"/>
        <v>0</v>
      </c>
    </row>
    <row r="425" spans="2:12" x14ac:dyDescent="0.3">
      <c r="B425" s="28" t="str">
        <f t="shared" ca="1" si="18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9"/>
        <v>0</v>
      </c>
    </row>
    <row r="426" spans="2:12" x14ac:dyDescent="0.3">
      <c r="B426" s="28" t="str">
        <f t="shared" ca="1" si="18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9"/>
        <v>0</v>
      </c>
    </row>
    <row r="427" spans="2:12" x14ac:dyDescent="0.3">
      <c r="B427" s="28" t="str">
        <f t="shared" ca="1" si="18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9"/>
        <v>0</v>
      </c>
    </row>
    <row r="428" spans="2:12" x14ac:dyDescent="0.3">
      <c r="B428" s="28" t="str">
        <f t="shared" ca="1" si="18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9"/>
        <v>0</v>
      </c>
    </row>
    <row r="429" spans="2:12" x14ac:dyDescent="0.3">
      <c r="B429" s="28" t="str">
        <f t="shared" ca="1" si="18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9"/>
        <v>0</v>
      </c>
    </row>
    <row r="430" spans="2:12" x14ac:dyDescent="0.3">
      <c r="B430" s="28" t="str">
        <f t="shared" ca="1" si="18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9"/>
        <v>0</v>
      </c>
    </row>
    <row r="431" spans="2:12" x14ac:dyDescent="0.3">
      <c r="B431" s="28" t="str">
        <f t="shared" ca="1" si="18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9"/>
        <v>0</v>
      </c>
    </row>
    <row r="432" spans="2:12" x14ac:dyDescent="0.3">
      <c r="B432" s="28" t="str">
        <f t="shared" ca="1" si="18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9"/>
        <v>0</v>
      </c>
    </row>
    <row r="433" spans="2:12" x14ac:dyDescent="0.3">
      <c r="B433" s="28" t="str">
        <f t="shared" ca="1" si="18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9"/>
        <v>0</v>
      </c>
    </row>
    <row r="434" spans="2:12" x14ac:dyDescent="0.3">
      <c r="B434" s="28" t="str">
        <f t="shared" ca="1" si="18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9"/>
        <v>0</v>
      </c>
    </row>
    <row r="435" spans="2:12" x14ac:dyDescent="0.3">
      <c r="B435" s="28" t="str">
        <f t="shared" ca="1" si="18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9"/>
        <v>0</v>
      </c>
    </row>
    <row r="436" spans="2:12" x14ac:dyDescent="0.3">
      <c r="B436" s="28" t="str">
        <f t="shared" ca="1" si="18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9"/>
        <v>0</v>
      </c>
    </row>
    <row r="437" spans="2:12" x14ac:dyDescent="0.3">
      <c r="B437" s="28" t="str">
        <f t="shared" ca="1" si="18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9"/>
        <v>0</v>
      </c>
    </row>
    <row r="438" spans="2:12" x14ac:dyDescent="0.3">
      <c r="B438" s="28" t="str">
        <f t="shared" ca="1" si="18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9"/>
        <v>0</v>
      </c>
    </row>
    <row r="439" spans="2:12" x14ac:dyDescent="0.3">
      <c r="B439" s="28" t="str">
        <f t="shared" ca="1" si="18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9"/>
        <v>0</v>
      </c>
    </row>
    <row r="440" spans="2:12" x14ac:dyDescent="0.3">
      <c r="B440" s="28" t="str">
        <f t="shared" ca="1" si="18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9"/>
        <v>0</v>
      </c>
    </row>
    <row r="441" spans="2:12" x14ac:dyDescent="0.3">
      <c r="B441" s="28" t="str">
        <f t="shared" ca="1" si="18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9"/>
        <v>0</v>
      </c>
    </row>
    <row r="442" spans="2:12" x14ac:dyDescent="0.3">
      <c r="B442" s="28" t="str">
        <f t="shared" ca="1" si="18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9"/>
        <v>0</v>
      </c>
    </row>
    <row r="443" spans="2:12" x14ac:dyDescent="0.3">
      <c r="B443" s="28" t="str">
        <f t="shared" ca="1" si="18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9"/>
        <v>0</v>
      </c>
    </row>
    <row r="444" spans="2:12" x14ac:dyDescent="0.3">
      <c r="B444" s="28" t="str">
        <f t="shared" ca="1" si="18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9"/>
        <v>0</v>
      </c>
    </row>
    <row r="445" spans="2:12" x14ac:dyDescent="0.3">
      <c r="B445" s="28" t="str">
        <f t="shared" ca="1" si="18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9"/>
        <v>0</v>
      </c>
    </row>
    <row r="446" spans="2:12" x14ac:dyDescent="0.3">
      <c r="B446" s="28" t="str">
        <f t="shared" ref="B446:B509" ca="1" si="21">IF(D446&lt;&gt;"",DATE(Jahr,_xlfn.SHEET()-2,D446),"")</f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ref="L446:L509" si="22">J446-I446-K446</f>
        <v>0</v>
      </c>
    </row>
    <row r="447" spans="2:12" x14ac:dyDescent="0.3">
      <c r="B447" s="28" t="str">
        <f t="shared" ca="1" si="21"/>
        <v/>
      </c>
      <c r="C447" s="29" t="str">
        <f t="shared" ref="C447:C510" ca="1" si="23">B447</f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22"/>
        <v>0</v>
      </c>
    </row>
    <row r="448" spans="2:12" x14ac:dyDescent="0.3">
      <c r="B448" s="28" t="str">
        <f t="shared" ca="1" si="21"/>
        <v/>
      </c>
      <c r="C448" s="29" t="str">
        <f t="shared" ca="1" si="23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22"/>
        <v>0</v>
      </c>
    </row>
    <row r="449" spans="2:12" x14ac:dyDescent="0.3">
      <c r="B449" s="28" t="str">
        <f t="shared" ca="1" si="21"/>
        <v/>
      </c>
      <c r="C449" s="29" t="str">
        <f t="shared" ca="1" si="23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22"/>
        <v>0</v>
      </c>
    </row>
    <row r="450" spans="2:12" x14ac:dyDescent="0.3">
      <c r="B450" s="28" t="str">
        <f t="shared" ca="1" si="21"/>
        <v/>
      </c>
      <c r="C450" s="29" t="str">
        <f t="shared" ca="1" si="23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22"/>
        <v>0</v>
      </c>
    </row>
    <row r="451" spans="2:12" x14ac:dyDescent="0.3">
      <c r="B451" s="28" t="str">
        <f t="shared" ca="1" si="21"/>
        <v/>
      </c>
      <c r="C451" s="29" t="str">
        <f t="shared" ca="1" si="23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22"/>
        <v>0</v>
      </c>
    </row>
    <row r="452" spans="2:12" x14ac:dyDescent="0.3">
      <c r="B452" s="28" t="str">
        <f t="shared" ca="1" si="21"/>
        <v/>
      </c>
      <c r="C452" s="29" t="str">
        <f t="shared" ca="1" si="23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22"/>
        <v>0</v>
      </c>
    </row>
    <row r="453" spans="2:12" x14ac:dyDescent="0.3">
      <c r="B453" s="28" t="str">
        <f t="shared" ca="1" si="21"/>
        <v/>
      </c>
      <c r="C453" s="29" t="str">
        <f t="shared" ca="1" si="23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22"/>
        <v>0</v>
      </c>
    </row>
    <row r="454" spans="2:12" x14ac:dyDescent="0.3">
      <c r="B454" s="28" t="str">
        <f t="shared" ca="1" si="21"/>
        <v/>
      </c>
      <c r="C454" s="29" t="str">
        <f t="shared" ca="1" si="23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22"/>
        <v>0</v>
      </c>
    </row>
    <row r="455" spans="2:12" x14ac:dyDescent="0.3">
      <c r="B455" s="28" t="str">
        <f t="shared" ca="1" si="21"/>
        <v/>
      </c>
      <c r="C455" s="29" t="str">
        <f t="shared" ca="1" si="23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22"/>
        <v>0</v>
      </c>
    </row>
    <row r="456" spans="2:12" x14ac:dyDescent="0.3">
      <c r="B456" s="28" t="str">
        <f t="shared" ca="1" si="21"/>
        <v/>
      </c>
      <c r="C456" s="29" t="str">
        <f t="shared" ca="1" si="23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22"/>
        <v>0</v>
      </c>
    </row>
    <row r="457" spans="2:12" x14ac:dyDescent="0.3">
      <c r="B457" s="28" t="str">
        <f t="shared" ca="1" si="21"/>
        <v/>
      </c>
      <c r="C457" s="29" t="str">
        <f t="shared" ca="1" si="23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22"/>
        <v>0</v>
      </c>
    </row>
    <row r="458" spans="2:12" x14ac:dyDescent="0.3">
      <c r="B458" s="28" t="str">
        <f t="shared" ca="1" si="21"/>
        <v/>
      </c>
      <c r="C458" s="29" t="str">
        <f t="shared" ca="1" si="23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22"/>
        <v>0</v>
      </c>
    </row>
    <row r="459" spans="2:12" x14ac:dyDescent="0.3">
      <c r="B459" s="28" t="str">
        <f t="shared" ca="1" si="21"/>
        <v/>
      </c>
      <c r="C459" s="29" t="str">
        <f t="shared" ca="1" si="23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2"/>
        <v>0</v>
      </c>
    </row>
    <row r="460" spans="2:12" x14ac:dyDescent="0.3">
      <c r="B460" s="28" t="str">
        <f t="shared" ca="1" si="21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2"/>
        <v>0</v>
      </c>
    </row>
    <row r="461" spans="2:12" x14ac:dyDescent="0.3">
      <c r="B461" s="28" t="str">
        <f t="shared" ca="1" si="21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2"/>
        <v>0</v>
      </c>
    </row>
    <row r="462" spans="2:12" x14ac:dyDescent="0.3">
      <c r="B462" s="28" t="str">
        <f t="shared" ca="1" si="21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2"/>
        <v>0</v>
      </c>
    </row>
    <row r="463" spans="2:12" x14ac:dyDescent="0.3">
      <c r="B463" s="28" t="str">
        <f t="shared" ca="1" si="21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2"/>
        <v>0</v>
      </c>
    </row>
    <row r="464" spans="2:12" x14ac:dyDescent="0.3">
      <c r="B464" s="28" t="str">
        <f t="shared" ca="1" si="21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2"/>
        <v>0</v>
      </c>
    </row>
    <row r="465" spans="2:12" x14ac:dyDescent="0.3">
      <c r="B465" s="28" t="str">
        <f t="shared" ca="1" si="21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2"/>
        <v>0</v>
      </c>
    </row>
    <row r="466" spans="2:12" x14ac:dyDescent="0.3">
      <c r="B466" s="28" t="str">
        <f t="shared" ca="1" si="21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2"/>
        <v>0</v>
      </c>
    </row>
    <row r="467" spans="2:12" x14ac:dyDescent="0.3">
      <c r="B467" s="28" t="str">
        <f t="shared" ca="1" si="21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2"/>
        <v>0</v>
      </c>
    </row>
    <row r="468" spans="2:12" x14ac:dyDescent="0.3">
      <c r="B468" s="28" t="str">
        <f t="shared" ca="1" si="21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2"/>
        <v>0</v>
      </c>
    </row>
    <row r="469" spans="2:12" x14ac:dyDescent="0.3">
      <c r="B469" s="28" t="str">
        <f t="shared" ca="1" si="21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2"/>
        <v>0</v>
      </c>
    </row>
    <row r="470" spans="2:12" x14ac:dyDescent="0.3">
      <c r="B470" s="28" t="str">
        <f t="shared" ca="1" si="21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2"/>
        <v>0</v>
      </c>
    </row>
    <row r="471" spans="2:12" x14ac:dyDescent="0.3">
      <c r="B471" s="28" t="str">
        <f t="shared" ca="1" si="21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2"/>
        <v>0</v>
      </c>
    </row>
    <row r="472" spans="2:12" x14ac:dyDescent="0.3">
      <c r="B472" s="28" t="str">
        <f t="shared" ca="1" si="21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2"/>
        <v>0</v>
      </c>
    </row>
    <row r="473" spans="2:12" x14ac:dyDescent="0.3">
      <c r="B473" s="28" t="str">
        <f t="shared" ca="1" si="21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2"/>
        <v>0</v>
      </c>
    </row>
    <row r="474" spans="2:12" x14ac:dyDescent="0.3">
      <c r="B474" s="28" t="str">
        <f t="shared" ca="1" si="21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2"/>
        <v>0</v>
      </c>
    </row>
    <row r="475" spans="2:12" x14ac:dyDescent="0.3">
      <c r="B475" s="28" t="str">
        <f t="shared" ca="1" si="21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2"/>
        <v>0</v>
      </c>
    </row>
    <row r="476" spans="2:12" x14ac:dyDescent="0.3">
      <c r="B476" s="28" t="str">
        <f t="shared" ca="1" si="21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2"/>
        <v>0</v>
      </c>
    </row>
    <row r="477" spans="2:12" x14ac:dyDescent="0.3">
      <c r="B477" s="28" t="str">
        <f t="shared" ca="1" si="21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2"/>
        <v>0</v>
      </c>
    </row>
    <row r="478" spans="2:12" x14ac:dyDescent="0.3">
      <c r="B478" s="28" t="str">
        <f t="shared" ca="1" si="21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2"/>
        <v>0</v>
      </c>
    </row>
    <row r="479" spans="2:12" x14ac:dyDescent="0.3">
      <c r="B479" s="28" t="str">
        <f t="shared" ca="1" si="21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2"/>
        <v>0</v>
      </c>
    </row>
    <row r="480" spans="2:12" x14ac:dyDescent="0.3">
      <c r="B480" s="28" t="str">
        <f t="shared" ca="1" si="21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2"/>
        <v>0</v>
      </c>
    </row>
    <row r="481" spans="2:12" x14ac:dyDescent="0.3">
      <c r="B481" s="28" t="str">
        <f t="shared" ca="1" si="21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2"/>
        <v>0</v>
      </c>
    </row>
    <row r="482" spans="2:12" x14ac:dyDescent="0.3">
      <c r="B482" s="28" t="str">
        <f t="shared" ca="1" si="21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2"/>
        <v>0</v>
      </c>
    </row>
    <row r="483" spans="2:12" x14ac:dyDescent="0.3">
      <c r="B483" s="28" t="str">
        <f t="shared" ca="1" si="21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2"/>
        <v>0</v>
      </c>
    </row>
    <row r="484" spans="2:12" x14ac:dyDescent="0.3">
      <c r="B484" s="28" t="str">
        <f t="shared" ca="1" si="21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2"/>
        <v>0</v>
      </c>
    </row>
    <row r="485" spans="2:12" x14ac:dyDescent="0.3">
      <c r="B485" s="28" t="str">
        <f t="shared" ca="1" si="21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2"/>
        <v>0</v>
      </c>
    </row>
    <row r="486" spans="2:12" x14ac:dyDescent="0.3">
      <c r="B486" s="28" t="str">
        <f t="shared" ca="1" si="21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2"/>
        <v>0</v>
      </c>
    </row>
    <row r="487" spans="2:12" x14ac:dyDescent="0.3">
      <c r="B487" s="28" t="str">
        <f t="shared" ca="1" si="21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2"/>
        <v>0</v>
      </c>
    </row>
    <row r="488" spans="2:12" x14ac:dyDescent="0.3">
      <c r="B488" s="28" t="str">
        <f t="shared" ca="1" si="21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2"/>
        <v>0</v>
      </c>
    </row>
    <row r="489" spans="2:12" x14ac:dyDescent="0.3">
      <c r="B489" s="28" t="str">
        <f t="shared" ca="1" si="21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2"/>
        <v>0</v>
      </c>
    </row>
    <row r="490" spans="2:12" x14ac:dyDescent="0.3">
      <c r="B490" s="28" t="str">
        <f t="shared" ca="1" si="21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2"/>
        <v>0</v>
      </c>
    </row>
    <row r="491" spans="2:12" x14ac:dyDescent="0.3">
      <c r="B491" s="28" t="str">
        <f t="shared" ca="1" si="21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2"/>
        <v>0</v>
      </c>
    </row>
    <row r="492" spans="2:12" x14ac:dyDescent="0.3">
      <c r="B492" s="28" t="str">
        <f t="shared" ca="1" si="21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2"/>
        <v>0</v>
      </c>
    </row>
    <row r="493" spans="2:12" x14ac:dyDescent="0.3">
      <c r="B493" s="28" t="str">
        <f t="shared" ca="1" si="21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2"/>
        <v>0</v>
      </c>
    </row>
    <row r="494" spans="2:12" x14ac:dyDescent="0.3">
      <c r="B494" s="28" t="str">
        <f t="shared" ca="1" si="21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2"/>
        <v>0</v>
      </c>
    </row>
    <row r="495" spans="2:12" x14ac:dyDescent="0.3">
      <c r="B495" s="28" t="str">
        <f t="shared" ca="1" si="21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2"/>
        <v>0</v>
      </c>
    </row>
    <row r="496" spans="2:12" x14ac:dyDescent="0.3">
      <c r="B496" s="28" t="str">
        <f t="shared" ca="1" si="21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2"/>
        <v>0</v>
      </c>
    </row>
    <row r="497" spans="2:12" x14ac:dyDescent="0.3">
      <c r="B497" s="28" t="str">
        <f t="shared" ca="1" si="21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2"/>
        <v>0</v>
      </c>
    </row>
    <row r="498" spans="2:12" x14ac:dyDescent="0.3">
      <c r="B498" s="28" t="str">
        <f t="shared" ca="1" si="21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2"/>
        <v>0</v>
      </c>
    </row>
    <row r="499" spans="2:12" x14ac:dyDescent="0.3">
      <c r="B499" s="28" t="str">
        <f t="shared" ca="1" si="21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2"/>
        <v>0</v>
      </c>
    </row>
    <row r="500" spans="2:12" x14ac:dyDescent="0.3">
      <c r="B500" s="28" t="str">
        <f t="shared" ca="1" si="21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2"/>
        <v>0</v>
      </c>
    </row>
    <row r="501" spans="2:12" x14ac:dyDescent="0.3">
      <c r="B501" s="28" t="str">
        <f t="shared" ca="1" si="21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2"/>
        <v>0</v>
      </c>
    </row>
    <row r="502" spans="2:12" x14ac:dyDescent="0.3">
      <c r="B502" s="28" t="str">
        <f t="shared" ca="1" si="21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2"/>
        <v>0</v>
      </c>
    </row>
    <row r="503" spans="2:12" x14ac:dyDescent="0.3">
      <c r="B503" s="28" t="str">
        <f t="shared" ca="1" si="21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2"/>
        <v>0</v>
      </c>
    </row>
    <row r="504" spans="2:12" x14ac:dyDescent="0.3">
      <c r="B504" s="28" t="str">
        <f t="shared" ca="1" si="21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2"/>
        <v>0</v>
      </c>
    </row>
    <row r="505" spans="2:12" x14ac:dyDescent="0.3">
      <c r="B505" s="28" t="str">
        <f t="shared" ca="1" si="21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2"/>
        <v>0</v>
      </c>
    </row>
    <row r="506" spans="2:12" x14ac:dyDescent="0.3">
      <c r="B506" s="28" t="str">
        <f t="shared" ca="1" si="21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2"/>
        <v>0</v>
      </c>
    </row>
    <row r="507" spans="2:12" x14ac:dyDescent="0.3">
      <c r="B507" s="28" t="str">
        <f t="shared" ca="1" si="21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2"/>
        <v>0</v>
      </c>
    </row>
    <row r="508" spans="2:12" x14ac:dyDescent="0.3">
      <c r="B508" s="28" t="str">
        <f t="shared" ca="1" si="21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2"/>
        <v>0</v>
      </c>
    </row>
    <row r="509" spans="2:12" x14ac:dyDescent="0.3">
      <c r="B509" s="28" t="str">
        <f t="shared" ca="1" si="21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2"/>
        <v>0</v>
      </c>
    </row>
    <row r="510" spans="2:12" x14ac:dyDescent="0.3">
      <c r="B510" s="28" t="str">
        <f t="shared" ref="B510:B573" ca="1" si="24">IF(D510&lt;&gt;"",DATE(Jahr,_xlfn.SHEET()-2,D510),"")</f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ref="L510:L573" si="25">J510-I510-K510</f>
        <v>0</v>
      </c>
    </row>
    <row r="511" spans="2:12" x14ac:dyDescent="0.3">
      <c r="B511" s="28" t="str">
        <f t="shared" ca="1" si="24"/>
        <v/>
      </c>
      <c r="C511" s="29" t="str">
        <f t="shared" ref="C511:C574" ca="1" si="26">B511</f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5"/>
        <v>0</v>
      </c>
    </row>
    <row r="512" spans="2:12" x14ac:dyDescent="0.3">
      <c r="B512" s="28" t="str">
        <f t="shared" ca="1" si="24"/>
        <v/>
      </c>
      <c r="C512" s="29" t="str">
        <f t="shared" ca="1" si="26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5"/>
        <v>0</v>
      </c>
    </row>
    <row r="513" spans="2:12" x14ac:dyDescent="0.3">
      <c r="B513" s="28" t="str">
        <f t="shared" ca="1" si="24"/>
        <v/>
      </c>
      <c r="C513" s="29" t="str">
        <f t="shared" ca="1" si="26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5"/>
        <v>0</v>
      </c>
    </row>
    <row r="514" spans="2:12" x14ac:dyDescent="0.3">
      <c r="B514" s="28" t="str">
        <f t="shared" ca="1" si="24"/>
        <v/>
      </c>
      <c r="C514" s="29" t="str">
        <f t="shared" ca="1" si="26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5"/>
        <v>0</v>
      </c>
    </row>
    <row r="515" spans="2:12" x14ac:dyDescent="0.3">
      <c r="B515" s="28" t="str">
        <f t="shared" ca="1" si="24"/>
        <v/>
      </c>
      <c r="C515" s="29" t="str">
        <f t="shared" ca="1" si="26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5"/>
        <v>0</v>
      </c>
    </row>
    <row r="516" spans="2:12" x14ac:dyDescent="0.3">
      <c r="B516" s="28" t="str">
        <f t="shared" ca="1" si="24"/>
        <v/>
      </c>
      <c r="C516" s="29" t="str">
        <f t="shared" ca="1" si="26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5"/>
        <v>0</v>
      </c>
    </row>
    <row r="517" spans="2:12" x14ac:dyDescent="0.3">
      <c r="B517" s="28" t="str">
        <f t="shared" ca="1" si="24"/>
        <v/>
      </c>
      <c r="C517" s="29" t="str">
        <f t="shared" ca="1" si="26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5"/>
        <v>0</v>
      </c>
    </row>
    <row r="518" spans="2:12" x14ac:dyDescent="0.3">
      <c r="B518" s="28" t="str">
        <f t="shared" ca="1" si="24"/>
        <v/>
      </c>
      <c r="C518" s="29" t="str">
        <f t="shared" ca="1" si="26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5"/>
        <v>0</v>
      </c>
    </row>
    <row r="519" spans="2:12" x14ac:dyDescent="0.3">
      <c r="B519" s="28" t="str">
        <f t="shared" ca="1" si="24"/>
        <v/>
      </c>
      <c r="C519" s="29" t="str">
        <f t="shared" ca="1" si="26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5"/>
        <v>0</v>
      </c>
    </row>
    <row r="520" spans="2:12" x14ac:dyDescent="0.3">
      <c r="B520" s="28" t="str">
        <f t="shared" ca="1" si="24"/>
        <v/>
      </c>
      <c r="C520" s="29" t="str">
        <f t="shared" ca="1" si="26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5"/>
        <v>0</v>
      </c>
    </row>
    <row r="521" spans="2:12" x14ac:dyDescent="0.3">
      <c r="B521" s="28" t="str">
        <f t="shared" ca="1" si="24"/>
        <v/>
      </c>
      <c r="C521" s="29" t="str">
        <f t="shared" ca="1" si="26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5"/>
        <v>0</v>
      </c>
    </row>
    <row r="522" spans="2:12" x14ac:dyDescent="0.3">
      <c r="B522" s="28" t="str">
        <f t="shared" ca="1" si="24"/>
        <v/>
      </c>
      <c r="C522" s="29" t="str">
        <f t="shared" ca="1" si="26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5"/>
        <v>0</v>
      </c>
    </row>
    <row r="523" spans="2:12" x14ac:dyDescent="0.3">
      <c r="B523" s="28" t="str">
        <f t="shared" ca="1" si="24"/>
        <v/>
      </c>
      <c r="C523" s="29" t="str">
        <f t="shared" ca="1" si="26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5"/>
        <v>0</v>
      </c>
    </row>
    <row r="524" spans="2:12" x14ac:dyDescent="0.3">
      <c r="B524" s="28" t="str">
        <f t="shared" ca="1" si="24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5"/>
        <v>0</v>
      </c>
    </row>
    <row r="525" spans="2:12" x14ac:dyDescent="0.3">
      <c r="B525" s="28" t="str">
        <f t="shared" ca="1" si="24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5"/>
        <v>0</v>
      </c>
    </row>
    <row r="526" spans="2:12" x14ac:dyDescent="0.3">
      <c r="B526" s="28" t="str">
        <f t="shared" ca="1" si="24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5"/>
        <v>0</v>
      </c>
    </row>
    <row r="527" spans="2:12" x14ac:dyDescent="0.3">
      <c r="B527" s="28" t="str">
        <f t="shared" ca="1" si="24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5"/>
        <v>0</v>
      </c>
    </row>
    <row r="528" spans="2:12" x14ac:dyDescent="0.3">
      <c r="B528" s="28" t="str">
        <f t="shared" ca="1" si="24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5"/>
        <v>0</v>
      </c>
    </row>
    <row r="529" spans="2:12" x14ac:dyDescent="0.3">
      <c r="B529" s="28" t="str">
        <f t="shared" ca="1" si="24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5"/>
        <v>0</v>
      </c>
    </row>
    <row r="530" spans="2:12" x14ac:dyDescent="0.3">
      <c r="B530" s="28" t="str">
        <f t="shared" ca="1" si="24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5"/>
        <v>0</v>
      </c>
    </row>
    <row r="531" spans="2:12" x14ac:dyDescent="0.3">
      <c r="B531" s="28" t="str">
        <f t="shared" ca="1" si="24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5"/>
        <v>0</v>
      </c>
    </row>
    <row r="532" spans="2:12" x14ac:dyDescent="0.3">
      <c r="B532" s="28" t="str">
        <f t="shared" ca="1" si="24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5"/>
        <v>0</v>
      </c>
    </row>
    <row r="533" spans="2:12" x14ac:dyDescent="0.3">
      <c r="B533" s="28" t="str">
        <f t="shared" ca="1" si="24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5"/>
        <v>0</v>
      </c>
    </row>
    <row r="534" spans="2:12" x14ac:dyDescent="0.3">
      <c r="B534" s="28" t="str">
        <f t="shared" ca="1" si="24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5"/>
        <v>0</v>
      </c>
    </row>
    <row r="535" spans="2:12" x14ac:dyDescent="0.3">
      <c r="B535" s="28" t="str">
        <f t="shared" ca="1" si="24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5"/>
        <v>0</v>
      </c>
    </row>
    <row r="536" spans="2:12" x14ac:dyDescent="0.3">
      <c r="B536" s="28" t="str">
        <f t="shared" ca="1" si="24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5"/>
        <v>0</v>
      </c>
    </row>
    <row r="537" spans="2:12" x14ac:dyDescent="0.3">
      <c r="B537" s="28" t="str">
        <f t="shared" ca="1" si="24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5"/>
        <v>0</v>
      </c>
    </row>
    <row r="538" spans="2:12" x14ac:dyDescent="0.3">
      <c r="B538" s="28" t="str">
        <f t="shared" ca="1" si="24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5"/>
        <v>0</v>
      </c>
    </row>
    <row r="539" spans="2:12" x14ac:dyDescent="0.3">
      <c r="B539" s="28" t="str">
        <f t="shared" ca="1" si="24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5"/>
        <v>0</v>
      </c>
    </row>
    <row r="540" spans="2:12" x14ac:dyDescent="0.3">
      <c r="B540" s="28" t="str">
        <f t="shared" ca="1" si="24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5"/>
        <v>0</v>
      </c>
    </row>
    <row r="541" spans="2:12" x14ac:dyDescent="0.3">
      <c r="B541" s="28" t="str">
        <f t="shared" ca="1" si="24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5"/>
        <v>0</v>
      </c>
    </row>
    <row r="542" spans="2:12" x14ac:dyDescent="0.3">
      <c r="B542" s="28" t="str">
        <f t="shared" ca="1" si="24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5"/>
        <v>0</v>
      </c>
    </row>
    <row r="543" spans="2:12" x14ac:dyDescent="0.3">
      <c r="B543" s="28" t="str">
        <f t="shared" ca="1" si="24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5"/>
        <v>0</v>
      </c>
    </row>
    <row r="544" spans="2:12" x14ac:dyDescent="0.3">
      <c r="B544" s="28" t="str">
        <f t="shared" ca="1" si="24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5"/>
        <v>0</v>
      </c>
    </row>
    <row r="545" spans="2:12" x14ac:dyDescent="0.3">
      <c r="B545" s="28" t="str">
        <f t="shared" ca="1" si="24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5"/>
        <v>0</v>
      </c>
    </row>
    <row r="546" spans="2:12" x14ac:dyDescent="0.3">
      <c r="B546" s="28" t="str">
        <f t="shared" ca="1" si="24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5"/>
        <v>0</v>
      </c>
    </row>
    <row r="547" spans="2:12" x14ac:dyDescent="0.3">
      <c r="B547" s="28" t="str">
        <f t="shared" ca="1" si="24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5"/>
        <v>0</v>
      </c>
    </row>
    <row r="548" spans="2:12" x14ac:dyDescent="0.3">
      <c r="B548" s="28" t="str">
        <f t="shared" ca="1" si="24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5"/>
        <v>0</v>
      </c>
    </row>
    <row r="549" spans="2:12" x14ac:dyDescent="0.3">
      <c r="B549" s="28" t="str">
        <f t="shared" ca="1" si="24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5"/>
        <v>0</v>
      </c>
    </row>
    <row r="550" spans="2:12" x14ac:dyDescent="0.3">
      <c r="B550" s="28" t="str">
        <f t="shared" ca="1" si="24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5"/>
        <v>0</v>
      </c>
    </row>
    <row r="551" spans="2:12" x14ac:dyDescent="0.3">
      <c r="B551" s="28" t="str">
        <f t="shared" ca="1" si="24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5"/>
        <v>0</v>
      </c>
    </row>
    <row r="552" spans="2:12" x14ac:dyDescent="0.3">
      <c r="B552" s="28" t="str">
        <f t="shared" ca="1" si="24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5"/>
        <v>0</v>
      </c>
    </row>
    <row r="553" spans="2:12" x14ac:dyDescent="0.3">
      <c r="B553" s="28" t="str">
        <f t="shared" ca="1" si="24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5"/>
        <v>0</v>
      </c>
    </row>
    <row r="554" spans="2:12" x14ac:dyDescent="0.3">
      <c r="B554" s="28" t="str">
        <f t="shared" ca="1" si="24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5"/>
        <v>0</v>
      </c>
    </row>
    <row r="555" spans="2:12" x14ac:dyDescent="0.3">
      <c r="B555" s="28" t="str">
        <f t="shared" ca="1" si="24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5"/>
        <v>0</v>
      </c>
    </row>
    <row r="556" spans="2:12" x14ac:dyDescent="0.3">
      <c r="B556" s="28" t="str">
        <f t="shared" ca="1" si="24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5"/>
        <v>0</v>
      </c>
    </row>
    <row r="557" spans="2:12" x14ac:dyDescent="0.3">
      <c r="B557" s="28" t="str">
        <f t="shared" ca="1" si="24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5"/>
        <v>0</v>
      </c>
    </row>
    <row r="558" spans="2:12" x14ac:dyDescent="0.3">
      <c r="B558" s="28" t="str">
        <f t="shared" ca="1" si="24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5"/>
        <v>0</v>
      </c>
    </row>
    <row r="559" spans="2:12" x14ac:dyDescent="0.3">
      <c r="B559" s="28" t="str">
        <f t="shared" ca="1" si="24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5"/>
        <v>0</v>
      </c>
    </row>
    <row r="560" spans="2:12" x14ac:dyDescent="0.3">
      <c r="B560" s="28" t="str">
        <f t="shared" ca="1" si="24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5"/>
        <v>0</v>
      </c>
    </row>
    <row r="561" spans="2:12" x14ac:dyDescent="0.3">
      <c r="B561" s="28" t="str">
        <f t="shared" ca="1" si="24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5"/>
        <v>0</v>
      </c>
    </row>
    <row r="562" spans="2:12" x14ac:dyDescent="0.3">
      <c r="B562" s="28" t="str">
        <f t="shared" ca="1" si="24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5"/>
        <v>0</v>
      </c>
    </row>
    <row r="563" spans="2:12" x14ac:dyDescent="0.3">
      <c r="B563" s="28" t="str">
        <f t="shared" ca="1" si="24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5"/>
        <v>0</v>
      </c>
    </row>
    <row r="564" spans="2:12" x14ac:dyDescent="0.3">
      <c r="B564" s="28" t="str">
        <f t="shared" ca="1" si="24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5"/>
        <v>0</v>
      </c>
    </row>
    <row r="565" spans="2:12" x14ac:dyDescent="0.3">
      <c r="B565" s="28" t="str">
        <f t="shared" ca="1" si="24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5"/>
        <v>0</v>
      </c>
    </row>
    <row r="566" spans="2:12" x14ac:dyDescent="0.3">
      <c r="B566" s="28" t="str">
        <f t="shared" ca="1" si="24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5"/>
        <v>0</v>
      </c>
    </row>
    <row r="567" spans="2:12" x14ac:dyDescent="0.3">
      <c r="B567" s="28" t="str">
        <f t="shared" ca="1" si="24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5"/>
        <v>0</v>
      </c>
    </row>
    <row r="568" spans="2:12" x14ac:dyDescent="0.3">
      <c r="B568" s="28" t="str">
        <f t="shared" ca="1" si="24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5"/>
        <v>0</v>
      </c>
    </row>
    <row r="569" spans="2:12" x14ac:dyDescent="0.3">
      <c r="B569" s="28" t="str">
        <f t="shared" ca="1" si="24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5"/>
        <v>0</v>
      </c>
    </row>
    <row r="570" spans="2:12" x14ac:dyDescent="0.3">
      <c r="B570" s="28" t="str">
        <f t="shared" ca="1" si="24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5"/>
        <v>0</v>
      </c>
    </row>
    <row r="571" spans="2:12" x14ac:dyDescent="0.3">
      <c r="B571" s="28" t="str">
        <f t="shared" ca="1" si="24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5"/>
        <v>0</v>
      </c>
    </row>
    <row r="572" spans="2:12" x14ac:dyDescent="0.3">
      <c r="B572" s="28" t="str">
        <f t="shared" ca="1" si="24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5"/>
        <v>0</v>
      </c>
    </row>
    <row r="573" spans="2:12" x14ac:dyDescent="0.3">
      <c r="B573" s="28" t="str">
        <f t="shared" ca="1" si="24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5"/>
        <v>0</v>
      </c>
    </row>
    <row r="574" spans="2:12" x14ac:dyDescent="0.3">
      <c r="B574" s="28" t="str">
        <f t="shared" ref="B574:B637" ca="1" si="27">IF(D574&lt;&gt;"",DATE(Jahr,_xlfn.SHEET()-2,D574),"")</f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ref="L574:L637" si="28">J574-I574-K574</f>
        <v>0</v>
      </c>
    </row>
    <row r="575" spans="2:12" x14ac:dyDescent="0.3">
      <c r="B575" s="28" t="str">
        <f t="shared" ca="1" si="27"/>
        <v/>
      </c>
      <c r="C575" s="29" t="str">
        <f t="shared" ref="C575:C638" ca="1" si="29">B575</f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8"/>
        <v>0</v>
      </c>
    </row>
    <row r="576" spans="2:12" x14ac:dyDescent="0.3">
      <c r="B576" s="28" t="str">
        <f t="shared" ca="1" si="27"/>
        <v/>
      </c>
      <c r="C576" s="29" t="str">
        <f t="shared" ca="1" si="29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8"/>
        <v>0</v>
      </c>
    </row>
    <row r="577" spans="2:12" x14ac:dyDescent="0.3">
      <c r="B577" s="28" t="str">
        <f t="shared" ca="1" si="27"/>
        <v/>
      </c>
      <c r="C577" s="29" t="str">
        <f t="shared" ca="1" si="29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8"/>
        <v>0</v>
      </c>
    </row>
    <row r="578" spans="2:12" x14ac:dyDescent="0.3">
      <c r="B578" s="28" t="str">
        <f t="shared" ca="1" si="27"/>
        <v/>
      </c>
      <c r="C578" s="29" t="str">
        <f t="shared" ca="1" si="29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8"/>
        <v>0</v>
      </c>
    </row>
    <row r="579" spans="2:12" x14ac:dyDescent="0.3">
      <c r="B579" s="28" t="str">
        <f t="shared" ca="1" si="27"/>
        <v/>
      </c>
      <c r="C579" s="29" t="str">
        <f t="shared" ca="1" si="29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8"/>
        <v>0</v>
      </c>
    </row>
    <row r="580" spans="2:12" x14ac:dyDescent="0.3">
      <c r="B580" s="28" t="str">
        <f t="shared" ca="1" si="27"/>
        <v/>
      </c>
      <c r="C580" s="29" t="str">
        <f t="shared" ca="1" si="29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8"/>
        <v>0</v>
      </c>
    </row>
    <row r="581" spans="2:12" x14ac:dyDescent="0.3">
      <c r="B581" s="28" t="str">
        <f t="shared" ca="1" si="27"/>
        <v/>
      </c>
      <c r="C581" s="29" t="str">
        <f t="shared" ca="1" si="29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8"/>
        <v>0</v>
      </c>
    </row>
    <row r="582" spans="2:12" x14ac:dyDescent="0.3">
      <c r="B582" s="28" t="str">
        <f t="shared" ca="1" si="27"/>
        <v/>
      </c>
      <c r="C582" s="29" t="str">
        <f t="shared" ca="1" si="29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8"/>
        <v>0</v>
      </c>
    </row>
    <row r="583" spans="2:12" x14ac:dyDescent="0.3">
      <c r="B583" s="28" t="str">
        <f t="shared" ca="1" si="27"/>
        <v/>
      </c>
      <c r="C583" s="29" t="str">
        <f t="shared" ca="1" si="29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8"/>
        <v>0</v>
      </c>
    </row>
    <row r="584" spans="2:12" x14ac:dyDescent="0.3">
      <c r="B584" s="28" t="str">
        <f t="shared" ca="1" si="27"/>
        <v/>
      </c>
      <c r="C584" s="29" t="str">
        <f t="shared" ca="1" si="29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8"/>
        <v>0</v>
      </c>
    </row>
    <row r="585" spans="2:12" x14ac:dyDescent="0.3">
      <c r="B585" s="28" t="str">
        <f t="shared" ca="1" si="27"/>
        <v/>
      </c>
      <c r="C585" s="29" t="str">
        <f t="shared" ca="1" si="29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8"/>
        <v>0</v>
      </c>
    </row>
    <row r="586" spans="2:12" x14ac:dyDescent="0.3">
      <c r="B586" s="28" t="str">
        <f t="shared" ca="1" si="27"/>
        <v/>
      </c>
      <c r="C586" s="29" t="str">
        <f t="shared" ca="1" si="29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8"/>
        <v>0</v>
      </c>
    </row>
    <row r="587" spans="2:12" x14ac:dyDescent="0.3">
      <c r="B587" s="28" t="str">
        <f t="shared" ca="1" si="27"/>
        <v/>
      </c>
      <c r="C587" s="29" t="str">
        <f t="shared" ca="1" si="29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8"/>
        <v>0</v>
      </c>
    </row>
    <row r="588" spans="2:12" x14ac:dyDescent="0.3">
      <c r="B588" s="28" t="str">
        <f t="shared" ca="1" si="27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8"/>
        <v>0</v>
      </c>
    </row>
    <row r="589" spans="2:12" x14ac:dyDescent="0.3">
      <c r="B589" s="28" t="str">
        <f t="shared" ca="1" si="27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8"/>
        <v>0</v>
      </c>
    </row>
    <row r="590" spans="2:12" x14ac:dyDescent="0.3">
      <c r="B590" s="28" t="str">
        <f t="shared" ca="1" si="27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8"/>
        <v>0</v>
      </c>
    </row>
    <row r="591" spans="2:12" x14ac:dyDescent="0.3">
      <c r="B591" s="28" t="str">
        <f t="shared" ca="1" si="27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8"/>
        <v>0</v>
      </c>
    </row>
    <row r="592" spans="2:12" x14ac:dyDescent="0.3">
      <c r="B592" s="28" t="str">
        <f t="shared" ca="1" si="27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8"/>
        <v>0</v>
      </c>
    </row>
    <row r="593" spans="2:12" x14ac:dyDescent="0.3">
      <c r="B593" s="28" t="str">
        <f t="shared" ca="1" si="27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8"/>
        <v>0</v>
      </c>
    </row>
    <row r="594" spans="2:12" x14ac:dyDescent="0.3">
      <c r="B594" s="28" t="str">
        <f t="shared" ca="1" si="27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8"/>
        <v>0</v>
      </c>
    </row>
    <row r="595" spans="2:12" x14ac:dyDescent="0.3">
      <c r="B595" s="28" t="str">
        <f t="shared" ca="1" si="27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8"/>
        <v>0</v>
      </c>
    </row>
    <row r="596" spans="2:12" x14ac:dyDescent="0.3">
      <c r="B596" s="28" t="str">
        <f t="shared" ca="1" si="27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8"/>
        <v>0</v>
      </c>
    </row>
    <row r="597" spans="2:12" x14ac:dyDescent="0.3">
      <c r="B597" s="28" t="str">
        <f t="shared" ca="1" si="27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8"/>
        <v>0</v>
      </c>
    </row>
    <row r="598" spans="2:12" x14ac:dyDescent="0.3">
      <c r="B598" s="28" t="str">
        <f t="shared" ca="1" si="27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8"/>
        <v>0</v>
      </c>
    </row>
    <row r="599" spans="2:12" x14ac:dyDescent="0.3">
      <c r="B599" s="28" t="str">
        <f t="shared" ca="1" si="27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8"/>
        <v>0</v>
      </c>
    </row>
    <row r="600" spans="2:12" x14ac:dyDescent="0.3">
      <c r="B600" s="28" t="str">
        <f t="shared" ca="1" si="27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8"/>
        <v>0</v>
      </c>
    </row>
    <row r="601" spans="2:12" x14ac:dyDescent="0.3">
      <c r="B601" s="28" t="str">
        <f t="shared" ca="1" si="27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8"/>
        <v>0</v>
      </c>
    </row>
    <row r="602" spans="2:12" x14ac:dyDescent="0.3">
      <c r="B602" s="28" t="str">
        <f t="shared" ca="1" si="27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8"/>
        <v>0</v>
      </c>
    </row>
    <row r="603" spans="2:12" x14ac:dyDescent="0.3">
      <c r="B603" s="28" t="str">
        <f t="shared" ca="1" si="27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8"/>
        <v>0</v>
      </c>
    </row>
    <row r="604" spans="2:12" x14ac:dyDescent="0.3">
      <c r="B604" s="28" t="str">
        <f t="shared" ca="1" si="27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8"/>
        <v>0</v>
      </c>
    </row>
    <row r="605" spans="2:12" x14ac:dyDescent="0.3">
      <c r="B605" s="28" t="str">
        <f t="shared" ca="1" si="27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8"/>
        <v>0</v>
      </c>
    </row>
    <row r="606" spans="2:12" x14ac:dyDescent="0.3">
      <c r="B606" s="28" t="str">
        <f t="shared" ca="1" si="27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8"/>
        <v>0</v>
      </c>
    </row>
    <row r="607" spans="2:12" x14ac:dyDescent="0.3">
      <c r="B607" s="28" t="str">
        <f t="shared" ca="1" si="27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8"/>
        <v>0</v>
      </c>
    </row>
    <row r="608" spans="2:12" x14ac:dyDescent="0.3">
      <c r="B608" s="28" t="str">
        <f t="shared" ca="1" si="27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8"/>
        <v>0</v>
      </c>
    </row>
    <row r="609" spans="2:12" x14ac:dyDescent="0.3">
      <c r="B609" s="28" t="str">
        <f t="shared" ca="1" si="27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8"/>
        <v>0</v>
      </c>
    </row>
    <row r="610" spans="2:12" x14ac:dyDescent="0.3">
      <c r="B610" s="28" t="str">
        <f t="shared" ca="1" si="27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8"/>
        <v>0</v>
      </c>
    </row>
    <row r="611" spans="2:12" x14ac:dyDescent="0.3">
      <c r="B611" s="28" t="str">
        <f t="shared" ca="1" si="27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8"/>
        <v>0</v>
      </c>
    </row>
    <row r="612" spans="2:12" x14ac:dyDescent="0.3">
      <c r="B612" s="28" t="str">
        <f t="shared" ca="1" si="27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8"/>
        <v>0</v>
      </c>
    </row>
    <row r="613" spans="2:12" x14ac:dyDescent="0.3">
      <c r="B613" s="28" t="str">
        <f t="shared" ca="1" si="27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8"/>
        <v>0</v>
      </c>
    </row>
    <row r="614" spans="2:12" x14ac:dyDescent="0.3">
      <c r="B614" s="28" t="str">
        <f t="shared" ca="1" si="27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8"/>
        <v>0</v>
      </c>
    </row>
    <row r="615" spans="2:12" x14ac:dyDescent="0.3">
      <c r="B615" s="28" t="str">
        <f t="shared" ca="1" si="27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8"/>
        <v>0</v>
      </c>
    </row>
    <row r="616" spans="2:12" x14ac:dyDescent="0.3">
      <c r="B616" s="28" t="str">
        <f t="shared" ca="1" si="27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8"/>
        <v>0</v>
      </c>
    </row>
    <row r="617" spans="2:12" x14ac:dyDescent="0.3">
      <c r="B617" s="28" t="str">
        <f t="shared" ca="1" si="27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8"/>
        <v>0</v>
      </c>
    </row>
    <row r="618" spans="2:12" x14ac:dyDescent="0.3">
      <c r="B618" s="28" t="str">
        <f t="shared" ca="1" si="27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8"/>
        <v>0</v>
      </c>
    </row>
    <row r="619" spans="2:12" x14ac:dyDescent="0.3">
      <c r="B619" s="28" t="str">
        <f t="shared" ca="1" si="27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8"/>
        <v>0</v>
      </c>
    </row>
    <row r="620" spans="2:12" x14ac:dyDescent="0.3">
      <c r="B620" s="28" t="str">
        <f t="shared" ca="1" si="27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8"/>
        <v>0</v>
      </c>
    </row>
    <row r="621" spans="2:12" x14ac:dyDescent="0.3">
      <c r="B621" s="28" t="str">
        <f t="shared" ca="1" si="27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8"/>
        <v>0</v>
      </c>
    </row>
    <row r="622" spans="2:12" x14ac:dyDescent="0.3">
      <c r="B622" s="28" t="str">
        <f t="shared" ca="1" si="27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8"/>
        <v>0</v>
      </c>
    </row>
    <row r="623" spans="2:12" x14ac:dyDescent="0.3">
      <c r="B623" s="28" t="str">
        <f t="shared" ca="1" si="27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8"/>
        <v>0</v>
      </c>
    </row>
    <row r="624" spans="2:12" x14ac:dyDescent="0.3">
      <c r="B624" s="28" t="str">
        <f t="shared" ca="1" si="27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8"/>
        <v>0</v>
      </c>
    </row>
    <row r="625" spans="2:12" x14ac:dyDescent="0.3">
      <c r="B625" s="28" t="str">
        <f t="shared" ca="1" si="27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8"/>
        <v>0</v>
      </c>
    </row>
    <row r="626" spans="2:12" x14ac:dyDescent="0.3">
      <c r="B626" s="28" t="str">
        <f t="shared" ca="1" si="27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8"/>
        <v>0</v>
      </c>
    </row>
    <row r="627" spans="2:12" x14ac:dyDescent="0.3">
      <c r="B627" s="28" t="str">
        <f t="shared" ca="1" si="27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8"/>
        <v>0</v>
      </c>
    </row>
    <row r="628" spans="2:12" x14ac:dyDescent="0.3">
      <c r="B628" s="28" t="str">
        <f t="shared" ca="1" si="27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8"/>
        <v>0</v>
      </c>
    </row>
    <row r="629" spans="2:12" x14ac:dyDescent="0.3">
      <c r="B629" s="28" t="str">
        <f t="shared" ca="1" si="27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8"/>
        <v>0</v>
      </c>
    </row>
    <row r="630" spans="2:12" x14ac:dyDescent="0.3">
      <c r="B630" s="28" t="str">
        <f t="shared" ca="1" si="27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8"/>
        <v>0</v>
      </c>
    </row>
    <row r="631" spans="2:12" x14ac:dyDescent="0.3">
      <c r="B631" s="28" t="str">
        <f t="shared" ca="1" si="27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8"/>
        <v>0</v>
      </c>
    </row>
    <row r="632" spans="2:12" x14ac:dyDescent="0.3">
      <c r="B632" s="28" t="str">
        <f t="shared" ca="1" si="27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8"/>
        <v>0</v>
      </c>
    </row>
    <row r="633" spans="2:12" x14ac:dyDescent="0.3">
      <c r="B633" s="28" t="str">
        <f t="shared" ca="1" si="27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8"/>
        <v>0</v>
      </c>
    </row>
    <row r="634" spans="2:12" x14ac:dyDescent="0.3">
      <c r="B634" s="28" t="str">
        <f t="shared" ca="1" si="27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8"/>
        <v>0</v>
      </c>
    </row>
    <row r="635" spans="2:12" x14ac:dyDescent="0.3">
      <c r="B635" s="28" t="str">
        <f t="shared" ca="1" si="27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8"/>
        <v>0</v>
      </c>
    </row>
    <row r="636" spans="2:12" x14ac:dyDescent="0.3">
      <c r="B636" s="28" t="str">
        <f t="shared" ca="1" si="27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8"/>
        <v>0</v>
      </c>
    </row>
    <row r="637" spans="2:12" x14ac:dyDescent="0.3">
      <c r="B637" s="28" t="str">
        <f t="shared" ca="1" si="27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8"/>
        <v>0</v>
      </c>
    </row>
    <row r="638" spans="2:12" x14ac:dyDescent="0.3">
      <c r="B638" s="28" t="str">
        <f t="shared" ref="B638:B701" ca="1" si="30">IF(D638&lt;&gt;"",DATE(Jahr,_xlfn.SHEET()-2,D638),"")</f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ref="L638:L701" si="31">J638-I638-K638</f>
        <v>0</v>
      </c>
    </row>
    <row r="639" spans="2:12" x14ac:dyDescent="0.3">
      <c r="B639" s="28" t="str">
        <f t="shared" ca="1" si="30"/>
        <v/>
      </c>
      <c r="C639" s="29" t="str">
        <f t="shared" ref="C639:C702" ca="1" si="32">B639</f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31"/>
        <v>0</v>
      </c>
    </row>
    <row r="640" spans="2:12" x14ac:dyDescent="0.3">
      <c r="B640" s="28" t="str">
        <f t="shared" ca="1" si="30"/>
        <v/>
      </c>
      <c r="C640" s="29" t="str">
        <f t="shared" ca="1" si="32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31"/>
        <v>0</v>
      </c>
    </row>
    <row r="641" spans="2:12" x14ac:dyDescent="0.3">
      <c r="B641" s="28" t="str">
        <f t="shared" ca="1" si="30"/>
        <v/>
      </c>
      <c r="C641" s="29" t="str">
        <f t="shared" ca="1" si="32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31"/>
        <v>0</v>
      </c>
    </row>
    <row r="642" spans="2:12" x14ac:dyDescent="0.3">
      <c r="B642" s="28" t="str">
        <f t="shared" ca="1" si="30"/>
        <v/>
      </c>
      <c r="C642" s="29" t="str">
        <f t="shared" ca="1" si="32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31"/>
        <v>0</v>
      </c>
    </row>
    <row r="643" spans="2:12" x14ac:dyDescent="0.3">
      <c r="B643" s="28" t="str">
        <f t="shared" ca="1" si="30"/>
        <v/>
      </c>
      <c r="C643" s="29" t="str">
        <f t="shared" ca="1" si="32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31"/>
        <v>0</v>
      </c>
    </row>
    <row r="644" spans="2:12" x14ac:dyDescent="0.3">
      <c r="B644" s="28" t="str">
        <f t="shared" ca="1" si="30"/>
        <v/>
      </c>
      <c r="C644" s="29" t="str">
        <f t="shared" ca="1" si="32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31"/>
        <v>0</v>
      </c>
    </row>
    <row r="645" spans="2:12" x14ac:dyDescent="0.3">
      <c r="B645" s="28" t="str">
        <f t="shared" ca="1" si="30"/>
        <v/>
      </c>
      <c r="C645" s="29" t="str">
        <f t="shared" ca="1" si="32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31"/>
        <v>0</v>
      </c>
    </row>
    <row r="646" spans="2:12" x14ac:dyDescent="0.3">
      <c r="B646" s="28" t="str">
        <f t="shared" ca="1" si="30"/>
        <v/>
      </c>
      <c r="C646" s="29" t="str">
        <f t="shared" ca="1" si="32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31"/>
        <v>0</v>
      </c>
    </row>
    <row r="647" spans="2:12" x14ac:dyDescent="0.3">
      <c r="B647" s="28" t="str">
        <f t="shared" ca="1" si="30"/>
        <v/>
      </c>
      <c r="C647" s="29" t="str">
        <f t="shared" ca="1" si="32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31"/>
        <v>0</v>
      </c>
    </row>
    <row r="648" spans="2:12" x14ac:dyDescent="0.3">
      <c r="B648" s="28" t="str">
        <f t="shared" ca="1" si="30"/>
        <v/>
      </c>
      <c r="C648" s="29" t="str">
        <f t="shared" ca="1" si="32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31"/>
        <v>0</v>
      </c>
    </row>
    <row r="649" spans="2:12" x14ac:dyDescent="0.3">
      <c r="B649" s="28" t="str">
        <f t="shared" ca="1" si="30"/>
        <v/>
      </c>
      <c r="C649" s="29" t="str">
        <f t="shared" ca="1" si="32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31"/>
        <v>0</v>
      </c>
    </row>
    <row r="650" spans="2:12" x14ac:dyDescent="0.3">
      <c r="B650" s="28" t="str">
        <f t="shared" ca="1" si="30"/>
        <v/>
      </c>
      <c r="C650" s="29" t="str">
        <f t="shared" ca="1" si="32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31"/>
        <v>0</v>
      </c>
    </row>
    <row r="651" spans="2:12" x14ac:dyDescent="0.3">
      <c r="B651" s="28" t="str">
        <f t="shared" ca="1" si="30"/>
        <v/>
      </c>
      <c r="C651" s="29" t="str">
        <f t="shared" ca="1" si="32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1"/>
        <v>0</v>
      </c>
    </row>
    <row r="652" spans="2:12" x14ac:dyDescent="0.3">
      <c r="B652" s="28" t="str">
        <f t="shared" ca="1" si="30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1"/>
        <v>0</v>
      </c>
    </row>
    <row r="653" spans="2:12" x14ac:dyDescent="0.3">
      <c r="B653" s="28" t="str">
        <f t="shared" ca="1" si="30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1"/>
        <v>0</v>
      </c>
    </row>
    <row r="654" spans="2:12" x14ac:dyDescent="0.3">
      <c r="B654" s="28" t="str">
        <f t="shared" ca="1" si="30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1"/>
        <v>0</v>
      </c>
    </row>
    <row r="655" spans="2:12" x14ac:dyDescent="0.3">
      <c r="B655" s="28" t="str">
        <f t="shared" ca="1" si="30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1"/>
        <v>0</v>
      </c>
    </row>
    <row r="656" spans="2:12" x14ac:dyDescent="0.3">
      <c r="B656" s="28" t="str">
        <f t="shared" ca="1" si="30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1"/>
        <v>0</v>
      </c>
    </row>
    <row r="657" spans="2:12" x14ac:dyDescent="0.3">
      <c r="B657" s="28" t="str">
        <f t="shared" ca="1" si="30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1"/>
        <v>0</v>
      </c>
    </row>
    <row r="658" spans="2:12" x14ac:dyDescent="0.3">
      <c r="B658" s="28" t="str">
        <f t="shared" ca="1" si="30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1"/>
        <v>0</v>
      </c>
    </row>
    <row r="659" spans="2:12" x14ac:dyDescent="0.3">
      <c r="B659" s="28" t="str">
        <f t="shared" ca="1" si="30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1"/>
        <v>0</v>
      </c>
    </row>
    <row r="660" spans="2:12" x14ac:dyDescent="0.3">
      <c r="B660" s="28" t="str">
        <f t="shared" ca="1" si="30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1"/>
        <v>0</v>
      </c>
    </row>
    <row r="661" spans="2:12" x14ac:dyDescent="0.3">
      <c r="B661" s="28" t="str">
        <f t="shared" ca="1" si="30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1"/>
        <v>0</v>
      </c>
    </row>
    <row r="662" spans="2:12" x14ac:dyDescent="0.3">
      <c r="B662" s="28" t="str">
        <f t="shared" ca="1" si="30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1"/>
        <v>0</v>
      </c>
    </row>
    <row r="663" spans="2:12" x14ac:dyDescent="0.3">
      <c r="B663" s="28" t="str">
        <f t="shared" ca="1" si="30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1"/>
        <v>0</v>
      </c>
    </row>
    <row r="664" spans="2:12" x14ac:dyDescent="0.3">
      <c r="B664" s="28" t="str">
        <f t="shared" ca="1" si="30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1"/>
        <v>0</v>
      </c>
    </row>
    <row r="665" spans="2:12" x14ac:dyDescent="0.3">
      <c r="B665" s="28" t="str">
        <f t="shared" ca="1" si="30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1"/>
        <v>0</v>
      </c>
    </row>
    <row r="666" spans="2:12" x14ac:dyDescent="0.3">
      <c r="B666" s="28" t="str">
        <f t="shared" ca="1" si="30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1"/>
        <v>0</v>
      </c>
    </row>
    <row r="667" spans="2:12" x14ac:dyDescent="0.3">
      <c r="B667" s="28" t="str">
        <f t="shared" ca="1" si="30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1"/>
        <v>0</v>
      </c>
    </row>
    <row r="668" spans="2:12" x14ac:dyDescent="0.3">
      <c r="B668" s="28" t="str">
        <f t="shared" ca="1" si="30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1"/>
        <v>0</v>
      </c>
    </row>
    <row r="669" spans="2:12" x14ac:dyDescent="0.3">
      <c r="B669" s="28" t="str">
        <f t="shared" ca="1" si="30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1"/>
        <v>0</v>
      </c>
    </row>
    <row r="670" spans="2:12" x14ac:dyDescent="0.3">
      <c r="B670" s="28" t="str">
        <f t="shared" ca="1" si="30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1"/>
        <v>0</v>
      </c>
    </row>
    <row r="671" spans="2:12" x14ac:dyDescent="0.3">
      <c r="B671" s="28" t="str">
        <f t="shared" ca="1" si="30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1"/>
        <v>0</v>
      </c>
    </row>
    <row r="672" spans="2:12" x14ac:dyDescent="0.3">
      <c r="B672" s="28" t="str">
        <f t="shared" ca="1" si="30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1"/>
        <v>0</v>
      </c>
    </row>
    <row r="673" spans="2:12" x14ac:dyDescent="0.3">
      <c r="B673" s="28" t="str">
        <f t="shared" ca="1" si="30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1"/>
        <v>0</v>
      </c>
    </row>
    <row r="674" spans="2:12" x14ac:dyDescent="0.3">
      <c r="B674" s="28" t="str">
        <f t="shared" ca="1" si="30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1"/>
        <v>0</v>
      </c>
    </row>
    <row r="675" spans="2:12" x14ac:dyDescent="0.3">
      <c r="B675" s="28" t="str">
        <f t="shared" ca="1" si="30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1"/>
        <v>0</v>
      </c>
    </row>
    <row r="676" spans="2:12" x14ac:dyDescent="0.3">
      <c r="B676" s="28" t="str">
        <f t="shared" ca="1" si="30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1"/>
        <v>0</v>
      </c>
    </row>
    <row r="677" spans="2:12" x14ac:dyDescent="0.3">
      <c r="B677" s="28" t="str">
        <f t="shared" ca="1" si="30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1"/>
        <v>0</v>
      </c>
    </row>
    <row r="678" spans="2:12" x14ac:dyDescent="0.3">
      <c r="B678" s="28" t="str">
        <f t="shared" ca="1" si="30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1"/>
        <v>0</v>
      </c>
    </row>
    <row r="679" spans="2:12" x14ac:dyDescent="0.3">
      <c r="B679" s="28" t="str">
        <f t="shared" ca="1" si="30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1"/>
        <v>0</v>
      </c>
    </row>
    <row r="680" spans="2:12" x14ac:dyDescent="0.3">
      <c r="B680" s="28" t="str">
        <f t="shared" ca="1" si="30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1"/>
        <v>0</v>
      </c>
    </row>
    <row r="681" spans="2:12" x14ac:dyDescent="0.3">
      <c r="B681" s="28" t="str">
        <f t="shared" ca="1" si="30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1"/>
        <v>0</v>
      </c>
    </row>
    <row r="682" spans="2:12" x14ac:dyDescent="0.3">
      <c r="B682" s="28" t="str">
        <f t="shared" ca="1" si="30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1"/>
        <v>0</v>
      </c>
    </row>
    <row r="683" spans="2:12" x14ac:dyDescent="0.3">
      <c r="B683" s="28" t="str">
        <f t="shared" ca="1" si="30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1"/>
        <v>0</v>
      </c>
    </row>
    <row r="684" spans="2:12" x14ac:dyDescent="0.3">
      <c r="B684" s="28" t="str">
        <f t="shared" ca="1" si="30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1"/>
        <v>0</v>
      </c>
    </row>
    <row r="685" spans="2:12" x14ac:dyDescent="0.3">
      <c r="B685" s="28" t="str">
        <f t="shared" ca="1" si="30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1"/>
        <v>0</v>
      </c>
    </row>
    <row r="686" spans="2:12" x14ac:dyDescent="0.3">
      <c r="B686" s="28" t="str">
        <f t="shared" ca="1" si="30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1"/>
        <v>0</v>
      </c>
    </row>
    <row r="687" spans="2:12" x14ac:dyDescent="0.3">
      <c r="B687" s="28" t="str">
        <f t="shared" ca="1" si="30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1"/>
        <v>0</v>
      </c>
    </row>
    <row r="688" spans="2:12" x14ac:dyDescent="0.3">
      <c r="B688" s="28" t="str">
        <f t="shared" ca="1" si="30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1"/>
        <v>0</v>
      </c>
    </row>
    <row r="689" spans="2:12" x14ac:dyDescent="0.3">
      <c r="B689" s="28" t="str">
        <f t="shared" ca="1" si="30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1"/>
        <v>0</v>
      </c>
    </row>
    <row r="690" spans="2:12" x14ac:dyDescent="0.3">
      <c r="B690" s="28" t="str">
        <f t="shared" ca="1" si="30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1"/>
        <v>0</v>
      </c>
    </row>
    <row r="691" spans="2:12" x14ac:dyDescent="0.3">
      <c r="B691" s="28" t="str">
        <f t="shared" ca="1" si="30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1"/>
        <v>0</v>
      </c>
    </row>
    <row r="692" spans="2:12" x14ac:dyDescent="0.3">
      <c r="B692" s="28" t="str">
        <f t="shared" ca="1" si="30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1"/>
        <v>0</v>
      </c>
    </row>
    <row r="693" spans="2:12" x14ac:dyDescent="0.3">
      <c r="B693" s="28" t="str">
        <f t="shared" ca="1" si="30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1"/>
        <v>0</v>
      </c>
    </row>
    <row r="694" spans="2:12" x14ac:dyDescent="0.3">
      <c r="B694" s="28" t="str">
        <f t="shared" ca="1" si="30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1"/>
        <v>0</v>
      </c>
    </row>
    <row r="695" spans="2:12" x14ac:dyDescent="0.3">
      <c r="B695" s="28" t="str">
        <f t="shared" ca="1" si="30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1"/>
        <v>0</v>
      </c>
    </row>
    <row r="696" spans="2:12" x14ac:dyDescent="0.3">
      <c r="B696" s="28" t="str">
        <f t="shared" ca="1" si="30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1"/>
        <v>0</v>
      </c>
    </row>
    <row r="697" spans="2:12" x14ac:dyDescent="0.3">
      <c r="B697" s="28" t="str">
        <f t="shared" ca="1" si="30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1"/>
        <v>0</v>
      </c>
    </row>
    <row r="698" spans="2:12" x14ac:dyDescent="0.3">
      <c r="B698" s="28" t="str">
        <f t="shared" ca="1" si="30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1"/>
        <v>0</v>
      </c>
    </row>
    <row r="699" spans="2:12" x14ac:dyDescent="0.3">
      <c r="B699" s="28" t="str">
        <f t="shared" ca="1" si="30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1"/>
        <v>0</v>
      </c>
    </row>
    <row r="700" spans="2:12" x14ac:dyDescent="0.3">
      <c r="B700" s="28" t="str">
        <f t="shared" ca="1" si="30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1"/>
        <v>0</v>
      </c>
    </row>
    <row r="701" spans="2:12" x14ac:dyDescent="0.3">
      <c r="B701" s="28" t="str">
        <f t="shared" ca="1" si="30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1"/>
        <v>0</v>
      </c>
    </row>
    <row r="702" spans="2:12" x14ac:dyDescent="0.3">
      <c r="B702" s="28" t="str">
        <f t="shared" ref="B702:B765" ca="1" si="33">IF(D702&lt;&gt;"",DATE(Jahr,_xlfn.SHEET()-2,D702),"")</f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ref="L702:L765" si="34">J702-I702-K702</f>
        <v>0</v>
      </c>
    </row>
    <row r="703" spans="2:12" x14ac:dyDescent="0.3">
      <c r="B703" s="28" t="str">
        <f t="shared" ca="1" si="33"/>
        <v/>
      </c>
      <c r="C703" s="29" t="str">
        <f t="shared" ref="C703:C766" ca="1" si="35">B703</f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4"/>
        <v>0</v>
      </c>
    </row>
    <row r="704" spans="2:12" x14ac:dyDescent="0.3">
      <c r="B704" s="28" t="str">
        <f t="shared" ca="1" si="33"/>
        <v/>
      </c>
      <c r="C704" s="29" t="str">
        <f t="shared" ca="1" si="35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4"/>
        <v>0</v>
      </c>
    </row>
    <row r="705" spans="2:12" x14ac:dyDescent="0.3">
      <c r="B705" s="28" t="str">
        <f t="shared" ca="1" si="33"/>
        <v/>
      </c>
      <c r="C705" s="29" t="str">
        <f t="shared" ca="1" si="35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4"/>
        <v>0</v>
      </c>
    </row>
    <row r="706" spans="2:12" x14ac:dyDescent="0.3">
      <c r="B706" s="28" t="str">
        <f t="shared" ca="1" si="33"/>
        <v/>
      </c>
      <c r="C706" s="29" t="str">
        <f t="shared" ca="1" si="35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4"/>
        <v>0</v>
      </c>
    </row>
    <row r="707" spans="2:12" x14ac:dyDescent="0.3">
      <c r="B707" s="28" t="str">
        <f t="shared" ca="1" si="33"/>
        <v/>
      </c>
      <c r="C707" s="29" t="str">
        <f t="shared" ca="1" si="35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4"/>
        <v>0</v>
      </c>
    </row>
    <row r="708" spans="2:12" x14ac:dyDescent="0.3">
      <c r="B708" s="28" t="str">
        <f t="shared" ca="1" si="33"/>
        <v/>
      </c>
      <c r="C708" s="29" t="str">
        <f t="shared" ca="1" si="35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4"/>
        <v>0</v>
      </c>
    </row>
    <row r="709" spans="2:12" x14ac:dyDescent="0.3">
      <c r="B709" s="28" t="str">
        <f t="shared" ca="1" si="33"/>
        <v/>
      </c>
      <c r="C709" s="29" t="str">
        <f t="shared" ca="1" si="35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4"/>
        <v>0</v>
      </c>
    </row>
    <row r="710" spans="2:12" x14ac:dyDescent="0.3">
      <c r="B710" s="28" t="str">
        <f t="shared" ca="1" si="33"/>
        <v/>
      </c>
      <c r="C710" s="29" t="str">
        <f t="shared" ca="1" si="35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4"/>
        <v>0</v>
      </c>
    </row>
    <row r="711" spans="2:12" x14ac:dyDescent="0.3">
      <c r="B711" s="28" t="str">
        <f t="shared" ca="1" si="33"/>
        <v/>
      </c>
      <c r="C711" s="29" t="str">
        <f t="shared" ca="1" si="35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4"/>
        <v>0</v>
      </c>
    </row>
    <row r="712" spans="2:12" x14ac:dyDescent="0.3">
      <c r="B712" s="28" t="str">
        <f t="shared" ca="1" si="33"/>
        <v/>
      </c>
      <c r="C712" s="29" t="str">
        <f t="shared" ca="1" si="35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4"/>
        <v>0</v>
      </c>
    </row>
    <row r="713" spans="2:12" x14ac:dyDescent="0.3">
      <c r="B713" s="28" t="str">
        <f t="shared" ca="1" si="33"/>
        <v/>
      </c>
      <c r="C713" s="29" t="str">
        <f t="shared" ca="1" si="35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4"/>
        <v>0</v>
      </c>
    </row>
    <row r="714" spans="2:12" x14ac:dyDescent="0.3">
      <c r="B714" s="28" t="str">
        <f t="shared" ca="1" si="33"/>
        <v/>
      </c>
      <c r="C714" s="29" t="str">
        <f t="shared" ca="1" si="35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4"/>
        <v>0</v>
      </c>
    </row>
    <row r="715" spans="2:12" x14ac:dyDescent="0.3">
      <c r="B715" s="28" t="str">
        <f t="shared" ca="1" si="33"/>
        <v/>
      </c>
      <c r="C715" s="29" t="str">
        <f t="shared" ca="1" si="35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4"/>
        <v>0</v>
      </c>
    </row>
    <row r="716" spans="2:12" x14ac:dyDescent="0.3">
      <c r="B716" s="28" t="str">
        <f t="shared" ca="1" si="33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4"/>
        <v>0</v>
      </c>
    </row>
    <row r="717" spans="2:12" x14ac:dyDescent="0.3">
      <c r="B717" s="28" t="str">
        <f t="shared" ca="1" si="33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4"/>
        <v>0</v>
      </c>
    </row>
    <row r="718" spans="2:12" x14ac:dyDescent="0.3">
      <c r="B718" s="28" t="str">
        <f t="shared" ca="1" si="33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4"/>
        <v>0</v>
      </c>
    </row>
    <row r="719" spans="2:12" x14ac:dyDescent="0.3">
      <c r="B719" s="28" t="str">
        <f t="shared" ca="1" si="33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4"/>
        <v>0</v>
      </c>
    </row>
    <row r="720" spans="2:12" x14ac:dyDescent="0.3">
      <c r="B720" s="28" t="str">
        <f t="shared" ca="1" si="33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4"/>
        <v>0</v>
      </c>
    </row>
    <row r="721" spans="2:12" x14ac:dyDescent="0.3">
      <c r="B721" s="28" t="str">
        <f t="shared" ca="1" si="33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4"/>
        <v>0</v>
      </c>
    </row>
    <row r="722" spans="2:12" x14ac:dyDescent="0.3">
      <c r="B722" s="28" t="str">
        <f t="shared" ca="1" si="33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4"/>
        <v>0</v>
      </c>
    </row>
    <row r="723" spans="2:12" x14ac:dyDescent="0.3">
      <c r="B723" s="28" t="str">
        <f t="shared" ca="1" si="33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4"/>
        <v>0</v>
      </c>
    </row>
    <row r="724" spans="2:12" x14ac:dyDescent="0.3">
      <c r="B724" s="28" t="str">
        <f t="shared" ca="1" si="33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4"/>
        <v>0</v>
      </c>
    </row>
    <row r="725" spans="2:12" x14ac:dyDescent="0.3">
      <c r="B725" s="28" t="str">
        <f t="shared" ca="1" si="33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4"/>
        <v>0</v>
      </c>
    </row>
    <row r="726" spans="2:12" x14ac:dyDescent="0.3">
      <c r="B726" s="28" t="str">
        <f t="shared" ca="1" si="33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4"/>
        <v>0</v>
      </c>
    </row>
    <row r="727" spans="2:12" x14ac:dyDescent="0.3">
      <c r="B727" s="28" t="str">
        <f t="shared" ca="1" si="33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4"/>
        <v>0</v>
      </c>
    </row>
    <row r="728" spans="2:12" x14ac:dyDescent="0.3">
      <c r="B728" s="28" t="str">
        <f t="shared" ca="1" si="33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4"/>
        <v>0</v>
      </c>
    </row>
    <row r="729" spans="2:12" x14ac:dyDescent="0.3">
      <c r="B729" s="28" t="str">
        <f t="shared" ca="1" si="33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4"/>
        <v>0</v>
      </c>
    </row>
    <row r="730" spans="2:12" x14ac:dyDescent="0.3">
      <c r="B730" s="28" t="str">
        <f t="shared" ca="1" si="33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4"/>
        <v>0</v>
      </c>
    </row>
    <row r="731" spans="2:12" x14ac:dyDescent="0.3">
      <c r="B731" s="28" t="str">
        <f t="shared" ca="1" si="33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4"/>
        <v>0</v>
      </c>
    </row>
    <row r="732" spans="2:12" x14ac:dyDescent="0.3">
      <c r="B732" s="28" t="str">
        <f t="shared" ca="1" si="33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4"/>
        <v>0</v>
      </c>
    </row>
    <row r="733" spans="2:12" x14ac:dyDescent="0.3">
      <c r="B733" s="28" t="str">
        <f t="shared" ca="1" si="33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4"/>
        <v>0</v>
      </c>
    </row>
    <row r="734" spans="2:12" x14ac:dyDescent="0.3">
      <c r="B734" s="28" t="str">
        <f t="shared" ca="1" si="33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4"/>
        <v>0</v>
      </c>
    </row>
    <row r="735" spans="2:12" x14ac:dyDescent="0.3">
      <c r="B735" s="28" t="str">
        <f t="shared" ca="1" si="33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4"/>
        <v>0</v>
      </c>
    </row>
    <row r="736" spans="2:12" x14ac:dyDescent="0.3">
      <c r="B736" s="28" t="str">
        <f t="shared" ca="1" si="33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4"/>
        <v>0</v>
      </c>
    </row>
    <row r="737" spans="2:12" x14ac:dyDescent="0.3">
      <c r="B737" s="28" t="str">
        <f t="shared" ca="1" si="33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4"/>
        <v>0</v>
      </c>
    </row>
    <row r="738" spans="2:12" x14ac:dyDescent="0.3">
      <c r="B738" s="28" t="str">
        <f t="shared" ca="1" si="33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4"/>
        <v>0</v>
      </c>
    </row>
    <row r="739" spans="2:12" x14ac:dyDescent="0.3">
      <c r="B739" s="28" t="str">
        <f t="shared" ca="1" si="33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4"/>
        <v>0</v>
      </c>
    </row>
    <row r="740" spans="2:12" x14ac:dyDescent="0.3">
      <c r="B740" s="28" t="str">
        <f t="shared" ca="1" si="33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4"/>
        <v>0</v>
      </c>
    </row>
    <row r="741" spans="2:12" x14ac:dyDescent="0.3">
      <c r="B741" s="28" t="str">
        <f t="shared" ca="1" si="33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4"/>
        <v>0</v>
      </c>
    </row>
    <row r="742" spans="2:12" x14ac:dyDescent="0.3">
      <c r="B742" s="28" t="str">
        <f t="shared" ca="1" si="33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4"/>
        <v>0</v>
      </c>
    </row>
    <row r="743" spans="2:12" x14ac:dyDescent="0.3">
      <c r="B743" s="28" t="str">
        <f t="shared" ca="1" si="33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4"/>
        <v>0</v>
      </c>
    </row>
    <row r="744" spans="2:12" x14ac:dyDescent="0.3">
      <c r="B744" s="28" t="str">
        <f t="shared" ca="1" si="33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4"/>
        <v>0</v>
      </c>
    </row>
    <row r="745" spans="2:12" x14ac:dyDescent="0.3">
      <c r="B745" s="28" t="str">
        <f t="shared" ca="1" si="33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4"/>
        <v>0</v>
      </c>
    </row>
    <row r="746" spans="2:12" x14ac:dyDescent="0.3">
      <c r="B746" s="28" t="str">
        <f t="shared" ca="1" si="33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4"/>
        <v>0</v>
      </c>
    </row>
    <row r="747" spans="2:12" x14ac:dyDescent="0.3">
      <c r="B747" s="28" t="str">
        <f t="shared" ca="1" si="33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4"/>
        <v>0</v>
      </c>
    </row>
    <row r="748" spans="2:12" x14ac:dyDescent="0.3">
      <c r="B748" s="28" t="str">
        <f t="shared" ca="1" si="33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4"/>
        <v>0</v>
      </c>
    </row>
    <row r="749" spans="2:12" x14ac:dyDescent="0.3">
      <c r="B749" s="28" t="str">
        <f t="shared" ca="1" si="33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4"/>
        <v>0</v>
      </c>
    </row>
    <row r="750" spans="2:12" x14ac:dyDescent="0.3">
      <c r="B750" s="28" t="str">
        <f t="shared" ca="1" si="33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4"/>
        <v>0</v>
      </c>
    </row>
    <row r="751" spans="2:12" x14ac:dyDescent="0.3">
      <c r="B751" s="28" t="str">
        <f t="shared" ca="1" si="33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4"/>
        <v>0</v>
      </c>
    </row>
    <row r="752" spans="2:12" x14ac:dyDescent="0.3">
      <c r="B752" s="28" t="str">
        <f t="shared" ca="1" si="33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4"/>
        <v>0</v>
      </c>
    </row>
    <row r="753" spans="2:12" x14ac:dyDescent="0.3">
      <c r="B753" s="28" t="str">
        <f t="shared" ca="1" si="33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4"/>
        <v>0</v>
      </c>
    </row>
    <row r="754" spans="2:12" x14ac:dyDescent="0.3">
      <c r="B754" s="28" t="str">
        <f t="shared" ca="1" si="33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4"/>
        <v>0</v>
      </c>
    </row>
    <row r="755" spans="2:12" x14ac:dyDescent="0.3">
      <c r="B755" s="28" t="str">
        <f t="shared" ca="1" si="33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4"/>
        <v>0</v>
      </c>
    </row>
    <row r="756" spans="2:12" x14ac:dyDescent="0.3">
      <c r="B756" s="28" t="str">
        <f t="shared" ca="1" si="33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4"/>
        <v>0</v>
      </c>
    </row>
    <row r="757" spans="2:12" x14ac:dyDescent="0.3">
      <c r="B757" s="28" t="str">
        <f t="shared" ca="1" si="33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4"/>
        <v>0</v>
      </c>
    </row>
    <row r="758" spans="2:12" x14ac:dyDescent="0.3">
      <c r="B758" s="28" t="str">
        <f t="shared" ca="1" si="33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4"/>
        <v>0</v>
      </c>
    </row>
    <row r="759" spans="2:12" x14ac:dyDescent="0.3">
      <c r="B759" s="28" t="str">
        <f t="shared" ca="1" si="33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4"/>
        <v>0</v>
      </c>
    </row>
    <row r="760" spans="2:12" x14ac:dyDescent="0.3">
      <c r="B760" s="28" t="str">
        <f t="shared" ca="1" si="33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4"/>
        <v>0</v>
      </c>
    </row>
    <row r="761" spans="2:12" x14ac:dyDescent="0.3">
      <c r="B761" s="28" t="str">
        <f t="shared" ca="1" si="33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4"/>
        <v>0</v>
      </c>
    </row>
    <row r="762" spans="2:12" x14ac:dyDescent="0.3">
      <c r="B762" s="28" t="str">
        <f t="shared" ca="1" si="33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4"/>
        <v>0</v>
      </c>
    </row>
    <row r="763" spans="2:12" x14ac:dyDescent="0.3">
      <c r="B763" s="28" t="str">
        <f t="shared" ca="1" si="33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4"/>
        <v>0</v>
      </c>
    </row>
    <row r="764" spans="2:12" x14ac:dyDescent="0.3">
      <c r="B764" s="28" t="str">
        <f t="shared" ca="1" si="33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4"/>
        <v>0</v>
      </c>
    </row>
    <row r="765" spans="2:12" x14ac:dyDescent="0.3">
      <c r="B765" s="28" t="str">
        <f t="shared" ca="1" si="33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4"/>
        <v>0</v>
      </c>
    </row>
    <row r="766" spans="2:12" x14ac:dyDescent="0.3">
      <c r="B766" s="28" t="str">
        <f t="shared" ref="B766:B829" ca="1" si="36">IF(D766&lt;&gt;"",DATE(Jahr,_xlfn.SHEET()-2,D766),"")</f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ref="L766:L829" si="37">J766-I766-K766</f>
        <v>0</v>
      </c>
    </row>
    <row r="767" spans="2:12" x14ac:dyDescent="0.3">
      <c r="B767" s="28" t="str">
        <f t="shared" ca="1" si="36"/>
        <v/>
      </c>
      <c r="C767" s="29" t="str">
        <f t="shared" ref="C767:C830" ca="1" si="38">B767</f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7"/>
        <v>0</v>
      </c>
    </row>
    <row r="768" spans="2:12" x14ac:dyDescent="0.3">
      <c r="B768" s="28" t="str">
        <f t="shared" ca="1" si="36"/>
        <v/>
      </c>
      <c r="C768" s="29" t="str">
        <f t="shared" ca="1" si="38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7"/>
        <v>0</v>
      </c>
    </row>
    <row r="769" spans="2:12" x14ac:dyDescent="0.3">
      <c r="B769" s="28" t="str">
        <f t="shared" ca="1" si="36"/>
        <v/>
      </c>
      <c r="C769" s="29" t="str">
        <f t="shared" ca="1" si="38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7"/>
        <v>0</v>
      </c>
    </row>
    <row r="770" spans="2:12" x14ac:dyDescent="0.3">
      <c r="B770" s="28" t="str">
        <f t="shared" ca="1" si="36"/>
        <v/>
      </c>
      <c r="C770" s="29" t="str">
        <f t="shared" ca="1" si="38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7"/>
        <v>0</v>
      </c>
    </row>
    <row r="771" spans="2:12" x14ac:dyDescent="0.3">
      <c r="B771" s="28" t="str">
        <f t="shared" ca="1" si="36"/>
        <v/>
      </c>
      <c r="C771" s="29" t="str">
        <f t="shared" ca="1" si="38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7"/>
        <v>0</v>
      </c>
    </row>
    <row r="772" spans="2:12" x14ac:dyDescent="0.3">
      <c r="B772" s="28" t="str">
        <f t="shared" ca="1" si="36"/>
        <v/>
      </c>
      <c r="C772" s="29" t="str">
        <f t="shared" ca="1" si="38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7"/>
        <v>0</v>
      </c>
    </row>
    <row r="773" spans="2:12" x14ac:dyDescent="0.3">
      <c r="B773" s="28" t="str">
        <f t="shared" ca="1" si="36"/>
        <v/>
      </c>
      <c r="C773" s="29" t="str">
        <f t="shared" ca="1" si="38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7"/>
        <v>0</v>
      </c>
    </row>
    <row r="774" spans="2:12" x14ac:dyDescent="0.3">
      <c r="B774" s="28" t="str">
        <f t="shared" ca="1" si="36"/>
        <v/>
      </c>
      <c r="C774" s="29" t="str">
        <f t="shared" ca="1" si="38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7"/>
        <v>0</v>
      </c>
    </row>
    <row r="775" spans="2:12" x14ac:dyDescent="0.3">
      <c r="B775" s="28" t="str">
        <f t="shared" ca="1" si="36"/>
        <v/>
      </c>
      <c r="C775" s="29" t="str">
        <f t="shared" ca="1" si="38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7"/>
        <v>0</v>
      </c>
    </row>
    <row r="776" spans="2:12" x14ac:dyDescent="0.3">
      <c r="B776" s="28" t="str">
        <f t="shared" ca="1" si="36"/>
        <v/>
      </c>
      <c r="C776" s="29" t="str">
        <f t="shared" ca="1" si="38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7"/>
        <v>0</v>
      </c>
    </row>
    <row r="777" spans="2:12" x14ac:dyDescent="0.3">
      <c r="B777" s="28" t="str">
        <f t="shared" ca="1" si="36"/>
        <v/>
      </c>
      <c r="C777" s="29" t="str">
        <f t="shared" ca="1" si="38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7"/>
        <v>0</v>
      </c>
    </row>
    <row r="778" spans="2:12" x14ac:dyDescent="0.3">
      <c r="B778" s="28" t="str">
        <f t="shared" ca="1" si="36"/>
        <v/>
      </c>
      <c r="C778" s="29" t="str">
        <f t="shared" ca="1" si="38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7"/>
        <v>0</v>
      </c>
    </row>
    <row r="779" spans="2:12" x14ac:dyDescent="0.3">
      <c r="B779" s="28" t="str">
        <f t="shared" ca="1" si="36"/>
        <v/>
      </c>
      <c r="C779" s="29" t="str">
        <f t="shared" ca="1" si="38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7"/>
        <v>0</v>
      </c>
    </row>
    <row r="780" spans="2:12" x14ac:dyDescent="0.3">
      <c r="B780" s="28" t="str">
        <f t="shared" ca="1" si="36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7"/>
        <v>0</v>
      </c>
    </row>
    <row r="781" spans="2:12" x14ac:dyDescent="0.3">
      <c r="B781" s="28" t="str">
        <f t="shared" ca="1" si="36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7"/>
        <v>0</v>
      </c>
    </row>
    <row r="782" spans="2:12" x14ac:dyDescent="0.3">
      <c r="B782" s="28" t="str">
        <f t="shared" ca="1" si="36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7"/>
        <v>0</v>
      </c>
    </row>
    <row r="783" spans="2:12" x14ac:dyDescent="0.3">
      <c r="B783" s="28" t="str">
        <f t="shared" ca="1" si="36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7"/>
        <v>0</v>
      </c>
    </row>
    <row r="784" spans="2:12" x14ac:dyDescent="0.3">
      <c r="B784" s="28" t="str">
        <f t="shared" ca="1" si="36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7"/>
        <v>0</v>
      </c>
    </row>
    <row r="785" spans="2:12" x14ac:dyDescent="0.3">
      <c r="B785" s="28" t="str">
        <f t="shared" ca="1" si="36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7"/>
        <v>0</v>
      </c>
    </row>
    <row r="786" spans="2:12" x14ac:dyDescent="0.3">
      <c r="B786" s="28" t="str">
        <f t="shared" ca="1" si="36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7"/>
        <v>0</v>
      </c>
    </row>
    <row r="787" spans="2:12" x14ac:dyDescent="0.3">
      <c r="B787" s="28" t="str">
        <f t="shared" ca="1" si="36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7"/>
        <v>0</v>
      </c>
    </row>
    <row r="788" spans="2:12" x14ac:dyDescent="0.3">
      <c r="B788" s="28" t="str">
        <f t="shared" ca="1" si="36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7"/>
        <v>0</v>
      </c>
    </row>
    <row r="789" spans="2:12" x14ac:dyDescent="0.3">
      <c r="B789" s="28" t="str">
        <f t="shared" ca="1" si="36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7"/>
        <v>0</v>
      </c>
    </row>
    <row r="790" spans="2:12" x14ac:dyDescent="0.3">
      <c r="B790" s="28" t="str">
        <f t="shared" ca="1" si="36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7"/>
        <v>0</v>
      </c>
    </row>
    <row r="791" spans="2:12" x14ac:dyDescent="0.3">
      <c r="B791" s="28" t="str">
        <f t="shared" ca="1" si="36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7"/>
        <v>0</v>
      </c>
    </row>
    <row r="792" spans="2:12" x14ac:dyDescent="0.3">
      <c r="B792" s="28" t="str">
        <f t="shared" ca="1" si="36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7"/>
        <v>0</v>
      </c>
    </row>
    <row r="793" spans="2:12" x14ac:dyDescent="0.3">
      <c r="B793" s="28" t="str">
        <f t="shared" ca="1" si="36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7"/>
        <v>0</v>
      </c>
    </row>
    <row r="794" spans="2:12" x14ac:dyDescent="0.3">
      <c r="B794" s="28" t="str">
        <f t="shared" ca="1" si="36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7"/>
        <v>0</v>
      </c>
    </row>
    <row r="795" spans="2:12" x14ac:dyDescent="0.3">
      <c r="B795" s="28" t="str">
        <f t="shared" ca="1" si="36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7"/>
        <v>0</v>
      </c>
    </row>
    <row r="796" spans="2:12" x14ac:dyDescent="0.3">
      <c r="B796" s="28" t="str">
        <f t="shared" ca="1" si="36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7"/>
        <v>0</v>
      </c>
    </row>
    <row r="797" spans="2:12" x14ac:dyDescent="0.3">
      <c r="B797" s="28" t="str">
        <f t="shared" ca="1" si="36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7"/>
        <v>0</v>
      </c>
    </row>
    <row r="798" spans="2:12" x14ac:dyDescent="0.3">
      <c r="B798" s="28" t="str">
        <f t="shared" ca="1" si="36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7"/>
        <v>0</v>
      </c>
    </row>
    <row r="799" spans="2:12" x14ac:dyDescent="0.3">
      <c r="B799" s="28" t="str">
        <f t="shared" ca="1" si="36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7"/>
        <v>0</v>
      </c>
    </row>
    <row r="800" spans="2:12" x14ac:dyDescent="0.3">
      <c r="B800" s="28" t="str">
        <f t="shared" ca="1" si="36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7"/>
        <v>0</v>
      </c>
    </row>
    <row r="801" spans="2:12" x14ac:dyDescent="0.3">
      <c r="B801" s="28" t="str">
        <f t="shared" ca="1" si="36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7"/>
        <v>0</v>
      </c>
    </row>
    <row r="802" spans="2:12" x14ac:dyDescent="0.3">
      <c r="B802" s="28" t="str">
        <f t="shared" ca="1" si="36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7"/>
        <v>0</v>
      </c>
    </row>
    <row r="803" spans="2:12" x14ac:dyDescent="0.3">
      <c r="B803" s="28" t="str">
        <f t="shared" ca="1" si="36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7"/>
        <v>0</v>
      </c>
    </row>
    <row r="804" spans="2:12" x14ac:dyDescent="0.3">
      <c r="B804" s="28" t="str">
        <f t="shared" ca="1" si="36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7"/>
        <v>0</v>
      </c>
    </row>
    <row r="805" spans="2:12" x14ac:dyDescent="0.3">
      <c r="B805" s="28" t="str">
        <f t="shared" ca="1" si="36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7"/>
        <v>0</v>
      </c>
    </row>
    <row r="806" spans="2:12" x14ac:dyDescent="0.3">
      <c r="B806" s="28" t="str">
        <f t="shared" ca="1" si="36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7"/>
        <v>0</v>
      </c>
    </row>
    <row r="807" spans="2:12" x14ac:dyDescent="0.3">
      <c r="B807" s="28" t="str">
        <f t="shared" ca="1" si="36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7"/>
        <v>0</v>
      </c>
    </row>
    <row r="808" spans="2:12" x14ac:dyDescent="0.3">
      <c r="B808" s="28" t="str">
        <f t="shared" ca="1" si="36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7"/>
        <v>0</v>
      </c>
    </row>
    <row r="809" spans="2:12" x14ac:dyDescent="0.3">
      <c r="B809" s="28" t="str">
        <f t="shared" ca="1" si="36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7"/>
        <v>0</v>
      </c>
    </row>
    <row r="810" spans="2:12" x14ac:dyDescent="0.3">
      <c r="B810" s="28" t="str">
        <f t="shared" ca="1" si="36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7"/>
        <v>0</v>
      </c>
    </row>
    <row r="811" spans="2:12" x14ac:dyDescent="0.3">
      <c r="B811" s="28" t="str">
        <f t="shared" ca="1" si="36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7"/>
        <v>0</v>
      </c>
    </row>
    <row r="812" spans="2:12" x14ac:dyDescent="0.3">
      <c r="B812" s="28" t="str">
        <f t="shared" ca="1" si="36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7"/>
        <v>0</v>
      </c>
    </row>
    <row r="813" spans="2:12" x14ac:dyDescent="0.3">
      <c r="B813" s="28" t="str">
        <f t="shared" ca="1" si="36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7"/>
        <v>0</v>
      </c>
    </row>
    <row r="814" spans="2:12" x14ac:dyDescent="0.3">
      <c r="B814" s="28" t="str">
        <f t="shared" ca="1" si="36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7"/>
        <v>0</v>
      </c>
    </row>
    <row r="815" spans="2:12" x14ac:dyDescent="0.3">
      <c r="B815" s="28" t="str">
        <f t="shared" ca="1" si="36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7"/>
        <v>0</v>
      </c>
    </row>
    <row r="816" spans="2:12" x14ac:dyDescent="0.3">
      <c r="B816" s="28" t="str">
        <f t="shared" ca="1" si="36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7"/>
        <v>0</v>
      </c>
    </row>
    <row r="817" spans="2:12" x14ac:dyDescent="0.3">
      <c r="B817" s="28" t="str">
        <f t="shared" ca="1" si="36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7"/>
        <v>0</v>
      </c>
    </row>
    <row r="818" spans="2:12" x14ac:dyDescent="0.3">
      <c r="B818" s="28" t="str">
        <f t="shared" ca="1" si="36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7"/>
        <v>0</v>
      </c>
    </row>
    <row r="819" spans="2:12" x14ac:dyDescent="0.3">
      <c r="B819" s="28" t="str">
        <f t="shared" ca="1" si="36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7"/>
        <v>0</v>
      </c>
    </row>
    <row r="820" spans="2:12" x14ac:dyDescent="0.3">
      <c r="B820" s="28" t="str">
        <f t="shared" ca="1" si="36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7"/>
        <v>0</v>
      </c>
    </row>
    <row r="821" spans="2:12" x14ac:dyDescent="0.3">
      <c r="B821" s="28" t="str">
        <f t="shared" ca="1" si="36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7"/>
        <v>0</v>
      </c>
    </row>
    <row r="822" spans="2:12" x14ac:dyDescent="0.3">
      <c r="B822" s="28" t="str">
        <f t="shared" ca="1" si="36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7"/>
        <v>0</v>
      </c>
    </row>
    <row r="823" spans="2:12" x14ac:dyDescent="0.3">
      <c r="B823" s="28" t="str">
        <f t="shared" ca="1" si="36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7"/>
        <v>0</v>
      </c>
    </row>
    <row r="824" spans="2:12" x14ac:dyDescent="0.3">
      <c r="B824" s="28" t="str">
        <f t="shared" ca="1" si="36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7"/>
        <v>0</v>
      </c>
    </row>
    <row r="825" spans="2:12" x14ac:dyDescent="0.3">
      <c r="B825" s="28" t="str">
        <f t="shared" ca="1" si="36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7"/>
        <v>0</v>
      </c>
    </row>
    <row r="826" spans="2:12" x14ac:dyDescent="0.3">
      <c r="B826" s="28" t="str">
        <f t="shared" ca="1" si="36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7"/>
        <v>0</v>
      </c>
    </row>
    <row r="827" spans="2:12" x14ac:dyDescent="0.3">
      <c r="B827" s="28" t="str">
        <f t="shared" ca="1" si="36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7"/>
        <v>0</v>
      </c>
    </row>
    <row r="828" spans="2:12" x14ac:dyDescent="0.3">
      <c r="B828" s="28" t="str">
        <f t="shared" ca="1" si="36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7"/>
        <v>0</v>
      </c>
    </row>
    <row r="829" spans="2:12" x14ac:dyDescent="0.3">
      <c r="B829" s="28" t="str">
        <f t="shared" ca="1" si="36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7"/>
        <v>0</v>
      </c>
    </row>
    <row r="830" spans="2:12" x14ac:dyDescent="0.3">
      <c r="B830" s="28" t="str">
        <f t="shared" ref="B830:B893" ca="1" si="39">IF(D830&lt;&gt;"",DATE(Jahr,_xlfn.SHEET()-2,D830),"")</f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ref="L830:L893" si="40">J830-I830-K830</f>
        <v>0</v>
      </c>
    </row>
    <row r="831" spans="2:12" x14ac:dyDescent="0.3">
      <c r="B831" s="28" t="str">
        <f t="shared" ca="1" si="39"/>
        <v/>
      </c>
      <c r="C831" s="29" t="str">
        <f t="shared" ref="C831:C894" ca="1" si="41">B831</f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40"/>
        <v>0</v>
      </c>
    </row>
    <row r="832" spans="2:12" x14ac:dyDescent="0.3">
      <c r="B832" s="28" t="str">
        <f t="shared" ca="1" si="39"/>
        <v/>
      </c>
      <c r="C832" s="29" t="str">
        <f t="shared" ca="1" si="41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40"/>
        <v>0</v>
      </c>
    </row>
    <row r="833" spans="2:12" x14ac:dyDescent="0.3">
      <c r="B833" s="28" t="str">
        <f t="shared" ca="1" si="39"/>
        <v/>
      </c>
      <c r="C833" s="29" t="str">
        <f t="shared" ca="1" si="41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40"/>
        <v>0</v>
      </c>
    </row>
    <row r="834" spans="2:12" x14ac:dyDescent="0.3">
      <c r="B834" s="28" t="str">
        <f t="shared" ca="1" si="39"/>
        <v/>
      </c>
      <c r="C834" s="29" t="str">
        <f t="shared" ca="1" si="41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40"/>
        <v>0</v>
      </c>
    </row>
    <row r="835" spans="2:12" x14ac:dyDescent="0.3">
      <c r="B835" s="28" t="str">
        <f t="shared" ca="1" si="39"/>
        <v/>
      </c>
      <c r="C835" s="29" t="str">
        <f t="shared" ca="1" si="41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40"/>
        <v>0</v>
      </c>
    </row>
    <row r="836" spans="2:12" x14ac:dyDescent="0.3">
      <c r="B836" s="28" t="str">
        <f t="shared" ca="1" si="39"/>
        <v/>
      </c>
      <c r="C836" s="29" t="str">
        <f t="shared" ca="1" si="41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40"/>
        <v>0</v>
      </c>
    </row>
    <row r="837" spans="2:12" x14ac:dyDescent="0.3">
      <c r="B837" s="28" t="str">
        <f t="shared" ca="1" si="39"/>
        <v/>
      </c>
      <c r="C837" s="29" t="str">
        <f t="shared" ca="1" si="41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40"/>
        <v>0</v>
      </c>
    </row>
    <row r="838" spans="2:12" x14ac:dyDescent="0.3">
      <c r="B838" s="28" t="str">
        <f t="shared" ca="1" si="39"/>
        <v/>
      </c>
      <c r="C838" s="29" t="str">
        <f t="shared" ca="1" si="41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40"/>
        <v>0</v>
      </c>
    </row>
    <row r="839" spans="2:12" x14ac:dyDescent="0.3">
      <c r="B839" s="28" t="str">
        <f t="shared" ca="1" si="39"/>
        <v/>
      </c>
      <c r="C839" s="29" t="str">
        <f t="shared" ca="1" si="41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40"/>
        <v>0</v>
      </c>
    </row>
    <row r="840" spans="2:12" x14ac:dyDescent="0.3">
      <c r="B840" s="28" t="str">
        <f t="shared" ca="1" si="39"/>
        <v/>
      </c>
      <c r="C840" s="29" t="str">
        <f t="shared" ca="1" si="41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40"/>
        <v>0</v>
      </c>
    </row>
    <row r="841" spans="2:12" x14ac:dyDescent="0.3">
      <c r="B841" s="28" t="str">
        <f t="shared" ca="1" si="39"/>
        <v/>
      </c>
      <c r="C841" s="29" t="str">
        <f t="shared" ca="1" si="41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40"/>
        <v>0</v>
      </c>
    </row>
    <row r="842" spans="2:12" x14ac:dyDescent="0.3">
      <c r="B842" s="28" t="str">
        <f t="shared" ca="1" si="39"/>
        <v/>
      </c>
      <c r="C842" s="29" t="str">
        <f t="shared" ca="1" si="41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40"/>
        <v>0</v>
      </c>
    </row>
    <row r="843" spans="2:12" x14ac:dyDescent="0.3">
      <c r="B843" s="28" t="str">
        <f t="shared" ca="1" si="39"/>
        <v/>
      </c>
      <c r="C843" s="29" t="str">
        <f t="shared" ca="1" si="41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40"/>
        <v>0</v>
      </c>
    </row>
    <row r="844" spans="2:12" x14ac:dyDescent="0.3">
      <c r="B844" s="28" t="str">
        <f t="shared" ca="1" si="39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40"/>
        <v>0</v>
      </c>
    </row>
    <row r="845" spans="2:12" x14ac:dyDescent="0.3">
      <c r="B845" s="28" t="str">
        <f t="shared" ca="1" si="39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40"/>
        <v>0</v>
      </c>
    </row>
    <row r="846" spans="2:12" x14ac:dyDescent="0.3">
      <c r="B846" s="28" t="str">
        <f t="shared" ca="1" si="39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40"/>
        <v>0</v>
      </c>
    </row>
    <row r="847" spans="2:12" x14ac:dyDescent="0.3">
      <c r="B847" s="28" t="str">
        <f t="shared" ca="1" si="39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40"/>
        <v>0</v>
      </c>
    </row>
    <row r="848" spans="2:12" x14ac:dyDescent="0.3">
      <c r="B848" s="28" t="str">
        <f t="shared" ca="1" si="39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40"/>
        <v>0</v>
      </c>
    </row>
    <row r="849" spans="2:12" x14ac:dyDescent="0.3">
      <c r="B849" s="28" t="str">
        <f t="shared" ca="1" si="39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40"/>
        <v>0</v>
      </c>
    </row>
    <row r="850" spans="2:12" x14ac:dyDescent="0.3">
      <c r="B850" s="28" t="str">
        <f t="shared" ca="1" si="39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40"/>
        <v>0</v>
      </c>
    </row>
    <row r="851" spans="2:12" x14ac:dyDescent="0.3">
      <c r="B851" s="28" t="str">
        <f t="shared" ca="1" si="39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40"/>
        <v>0</v>
      </c>
    </row>
    <row r="852" spans="2:12" x14ac:dyDescent="0.3">
      <c r="B852" s="28" t="str">
        <f t="shared" ca="1" si="39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40"/>
        <v>0</v>
      </c>
    </row>
    <row r="853" spans="2:12" x14ac:dyDescent="0.3">
      <c r="B853" s="28" t="str">
        <f t="shared" ca="1" si="39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40"/>
        <v>0</v>
      </c>
    </row>
    <row r="854" spans="2:12" x14ac:dyDescent="0.3">
      <c r="B854" s="28" t="str">
        <f t="shared" ca="1" si="39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40"/>
        <v>0</v>
      </c>
    </row>
    <row r="855" spans="2:12" x14ac:dyDescent="0.3">
      <c r="B855" s="28" t="str">
        <f t="shared" ca="1" si="39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40"/>
        <v>0</v>
      </c>
    </row>
    <row r="856" spans="2:12" x14ac:dyDescent="0.3">
      <c r="B856" s="28" t="str">
        <f t="shared" ca="1" si="39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40"/>
        <v>0</v>
      </c>
    </row>
    <row r="857" spans="2:12" x14ac:dyDescent="0.3">
      <c r="B857" s="28" t="str">
        <f t="shared" ca="1" si="39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40"/>
        <v>0</v>
      </c>
    </row>
    <row r="858" spans="2:12" x14ac:dyDescent="0.3">
      <c r="B858" s="28" t="str">
        <f t="shared" ca="1" si="39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40"/>
        <v>0</v>
      </c>
    </row>
    <row r="859" spans="2:12" x14ac:dyDescent="0.3">
      <c r="B859" s="28" t="str">
        <f t="shared" ca="1" si="39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40"/>
        <v>0</v>
      </c>
    </row>
    <row r="860" spans="2:12" x14ac:dyDescent="0.3">
      <c r="B860" s="28" t="str">
        <f t="shared" ca="1" si="39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40"/>
        <v>0</v>
      </c>
    </row>
    <row r="861" spans="2:12" x14ac:dyDescent="0.3">
      <c r="B861" s="28" t="str">
        <f t="shared" ca="1" si="39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40"/>
        <v>0</v>
      </c>
    </row>
    <row r="862" spans="2:12" x14ac:dyDescent="0.3">
      <c r="B862" s="28" t="str">
        <f t="shared" ca="1" si="39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40"/>
        <v>0</v>
      </c>
    </row>
    <row r="863" spans="2:12" x14ac:dyDescent="0.3">
      <c r="B863" s="28" t="str">
        <f t="shared" ca="1" si="39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40"/>
        <v>0</v>
      </c>
    </row>
    <row r="864" spans="2:12" x14ac:dyDescent="0.3">
      <c r="B864" s="28" t="str">
        <f t="shared" ca="1" si="39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40"/>
        <v>0</v>
      </c>
    </row>
    <row r="865" spans="2:12" x14ac:dyDescent="0.3">
      <c r="B865" s="28" t="str">
        <f t="shared" ca="1" si="39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40"/>
        <v>0</v>
      </c>
    </row>
    <row r="866" spans="2:12" x14ac:dyDescent="0.3">
      <c r="B866" s="28" t="str">
        <f t="shared" ca="1" si="39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40"/>
        <v>0</v>
      </c>
    </row>
    <row r="867" spans="2:12" x14ac:dyDescent="0.3">
      <c r="B867" s="28" t="str">
        <f t="shared" ca="1" si="39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40"/>
        <v>0</v>
      </c>
    </row>
    <row r="868" spans="2:12" x14ac:dyDescent="0.3">
      <c r="B868" s="28" t="str">
        <f t="shared" ca="1" si="39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40"/>
        <v>0</v>
      </c>
    </row>
    <row r="869" spans="2:12" x14ac:dyDescent="0.3">
      <c r="B869" s="28" t="str">
        <f t="shared" ca="1" si="39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40"/>
        <v>0</v>
      </c>
    </row>
    <row r="870" spans="2:12" x14ac:dyDescent="0.3">
      <c r="B870" s="28" t="str">
        <f t="shared" ca="1" si="39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40"/>
        <v>0</v>
      </c>
    </row>
    <row r="871" spans="2:12" x14ac:dyDescent="0.3">
      <c r="B871" s="28" t="str">
        <f t="shared" ca="1" si="39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40"/>
        <v>0</v>
      </c>
    </row>
    <row r="872" spans="2:12" x14ac:dyDescent="0.3">
      <c r="B872" s="28" t="str">
        <f t="shared" ca="1" si="39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40"/>
        <v>0</v>
      </c>
    </row>
    <row r="873" spans="2:12" x14ac:dyDescent="0.3">
      <c r="B873" s="28" t="str">
        <f t="shared" ca="1" si="39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40"/>
        <v>0</v>
      </c>
    </row>
    <row r="874" spans="2:12" x14ac:dyDescent="0.3">
      <c r="B874" s="28" t="str">
        <f t="shared" ca="1" si="39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40"/>
        <v>0</v>
      </c>
    </row>
    <row r="875" spans="2:12" x14ac:dyDescent="0.3">
      <c r="B875" s="28" t="str">
        <f t="shared" ca="1" si="39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40"/>
        <v>0</v>
      </c>
    </row>
    <row r="876" spans="2:12" x14ac:dyDescent="0.3">
      <c r="B876" s="28" t="str">
        <f t="shared" ca="1" si="39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40"/>
        <v>0</v>
      </c>
    </row>
    <row r="877" spans="2:12" x14ac:dyDescent="0.3">
      <c r="B877" s="28" t="str">
        <f t="shared" ca="1" si="39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40"/>
        <v>0</v>
      </c>
    </row>
    <row r="878" spans="2:12" x14ac:dyDescent="0.3">
      <c r="B878" s="28" t="str">
        <f t="shared" ca="1" si="39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40"/>
        <v>0</v>
      </c>
    </row>
    <row r="879" spans="2:12" x14ac:dyDescent="0.3">
      <c r="B879" s="28" t="str">
        <f t="shared" ca="1" si="39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40"/>
        <v>0</v>
      </c>
    </row>
    <row r="880" spans="2:12" x14ac:dyDescent="0.3">
      <c r="B880" s="28" t="str">
        <f t="shared" ca="1" si="39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40"/>
        <v>0</v>
      </c>
    </row>
    <row r="881" spans="2:12" x14ac:dyDescent="0.3">
      <c r="B881" s="28" t="str">
        <f t="shared" ca="1" si="39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40"/>
        <v>0</v>
      </c>
    </row>
    <row r="882" spans="2:12" x14ac:dyDescent="0.3">
      <c r="B882" s="28" t="str">
        <f t="shared" ca="1" si="39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40"/>
        <v>0</v>
      </c>
    </row>
    <row r="883" spans="2:12" x14ac:dyDescent="0.3">
      <c r="B883" s="28" t="str">
        <f t="shared" ca="1" si="39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40"/>
        <v>0</v>
      </c>
    </row>
    <row r="884" spans="2:12" x14ac:dyDescent="0.3">
      <c r="B884" s="28" t="str">
        <f t="shared" ca="1" si="39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40"/>
        <v>0</v>
      </c>
    </row>
    <row r="885" spans="2:12" x14ac:dyDescent="0.3">
      <c r="B885" s="28" t="str">
        <f t="shared" ca="1" si="39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40"/>
        <v>0</v>
      </c>
    </row>
    <row r="886" spans="2:12" x14ac:dyDescent="0.3">
      <c r="B886" s="28" t="str">
        <f t="shared" ca="1" si="39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40"/>
        <v>0</v>
      </c>
    </row>
    <row r="887" spans="2:12" x14ac:dyDescent="0.3">
      <c r="B887" s="28" t="str">
        <f t="shared" ca="1" si="39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40"/>
        <v>0</v>
      </c>
    </row>
    <row r="888" spans="2:12" x14ac:dyDescent="0.3">
      <c r="B888" s="28" t="str">
        <f t="shared" ca="1" si="39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40"/>
        <v>0</v>
      </c>
    </row>
    <row r="889" spans="2:12" x14ac:dyDescent="0.3">
      <c r="B889" s="28" t="str">
        <f t="shared" ca="1" si="39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40"/>
        <v>0</v>
      </c>
    </row>
    <row r="890" spans="2:12" x14ac:dyDescent="0.3">
      <c r="B890" s="28" t="str">
        <f t="shared" ca="1" si="39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40"/>
        <v>0</v>
      </c>
    </row>
    <row r="891" spans="2:12" x14ac:dyDescent="0.3">
      <c r="B891" s="28" t="str">
        <f t="shared" ca="1" si="39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40"/>
        <v>0</v>
      </c>
    </row>
    <row r="892" spans="2:12" x14ac:dyDescent="0.3">
      <c r="B892" s="28" t="str">
        <f t="shared" ca="1" si="39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40"/>
        <v>0</v>
      </c>
    </row>
    <row r="893" spans="2:12" x14ac:dyDescent="0.3">
      <c r="B893" s="28" t="str">
        <f t="shared" ca="1" si="39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40"/>
        <v>0</v>
      </c>
    </row>
    <row r="894" spans="2:12" x14ac:dyDescent="0.3">
      <c r="B894" s="28" t="str">
        <f t="shared" ref="B894:B957" ca="1" si="42">IF(D894&lt;&gt;"",DATE(Jahr,_xlfn.SHEET()-2,D894),"")</f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ref="L894:L957" si="43">J894-I894-K894</f>
        <v>0</v>
      </c>
    </row>
    <row r="895" spans="2:12" x14ac:dyDescent="0.3">
      <c r="B895" s="28" t="str">
        <f t="shared" ca="1" si="42"/>
        <v/>
      </c>
      <c r="C895" s="29" t="str">
        <f t="shared" ref="C895:C958" ca="1" si="44">B895</f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43"/>
        <v>0</v>
      </c>
    </row>
    <row r="896" spans="2:12" x14ac:dyDescent="0.3">
      <c r="B896" s="28" t="str">
        <f t="shared" ca="1" si="42"/>
        <v/>
      </c>
      <c r="C896" s="29" t="str">
        <f t="shared" ca="1" si="44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43"/>
        <v>0</v>
      </c>
    </row>
    <row r="897" spans="2:12" x14ac:dyDescent="0.3">
      <c r="B897" s="28" t="str">
        <f t="shared" ca="1" si="42"/>
        <v/>
      </c>
      <c r="C897" s="29" t="str">
        <f t="shared" ca="1" si="44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43"/>
        <v>0</v>
      </c>
    </row>
    <row r="898" spans="2:12" x14ac:dyDescent="0.3">
      <c r="B898" s="28" t="str">
        <f t="shared" ca="1" si="42"/>
        <v/>
      </c>
      <c r="C898" s="29" t="str">
        <f t="shared" ca="1" si="44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43"/>
        <v>0</v>
      </c>
    </row>
    <row r="899" spans="2:12" x14ac:dyDescent="0.3">
      <c r="B899" s="28" t="str">
        <f t="shared" ca="1" si="42"/>
        <v/>
      </c>
      <c r="C899" s="29" t="str">
        <f t="shared" ca="1" si="44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43"/>
        <v>0</v>
      </c>
    </row>
    <row r="900" spans="2:12" x14ac:dyDescent="0.3">
      <c r="B900" s="28" t="str">
        <f t="shared" ca="1" si="42"/>
        <v/>
      </c>
      <c r="C900" s="29" t="str">
        <f t="shared" ca="1" si="44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43"/>
        <v>0</v>
      </c>
    </row>
    <row r="901" spans="2:12" x14ac:dyDescent="0.3">
      <c r="B901" s="28" t="str">
        <f t="shared" ca="1" si="42"/>
        <v/>
      </c>
      <c r="C901" s="29" t="str">
        <f t="shared" ca="1" si="44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43"/>
        <v>0</v>
      </c>
    </row>
    <row r="902" spans="2:12" x14ac:dyDescent="0.3">
      <c r="B902" s="28" t="str">
        <f t="shared" ca="1" si="42"/>
        <v/>
      </c>
      <c r="C902" s="29" t="str">
        <f t="shared" ca="1" si="44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43"/>
        <v>0</v>
      </c>
    </row>
    <row r="903" spans="2:12" x14ac:dyDescent="0.3">
      <c r="B903" s="28" t="str">
        <f t="shared" ca="1" si="42"/>
        <v/>
      </c>
      <c r="C903" s="29" t="str">
        <f t="shared" ca="1" si="44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43"/>
        <v>0</v>
      </c>
    </row>
    <row r="904" spans="2:12" x14ac:dyDescent="0.3">
      <c r="B904" s="28" t="str">
        <f t="shared" ca="1" si="42"/>
        <v/>
      </c>
      <c r="C904" s="29" t="str">
        <f t="shared" ca="1" si="44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43"/>
        <v>0</v>
      </c>
    </row>
    <row r="905" spans="2:12" x14ac:dyDescent="0.3">
      <c r="B905" s="28" t="str">
        <f t="shared" ca="1" si="42"/>
        <v/>
      </c>
      <c r="C905" s="29" t="str">
        <f t="shared" ca="1" si="44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43"/>
        <v>0</v>
      </c>
    </row>
    <row r="906" spans="2:12" x14ac:dyDescent="0.3">
      <c r="B906" s="28" t="str">
        <f t="shared" ca="1" si="42"/>
        <v/>
      </c>
      <c r="C906" s="29" t="str">
        <f t="shared" ca="1" si="44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43"/>
        <v>0</v>
      </c>
    </row>
    <row r="907" spans="2:12" x14ac:dyDescent="0.3">
      <c r="B907" s="28" t="str">
        <f t="shared" ca="1" si="42"/>
        <v/>
      </c>
      <c r="C907" s="29" t="str">
        <f t="shared" ca="1" si="44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3"/>
        <v>0</v>
      </c>
    </row>
    <row r="908" spans="2:12" x14ac:dyDescent="0.3">
      <c r="B908" s="28" t="str">
        <f t="shared" ca="1" si="42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3"/>
        <v>0</v>
      </c>
    </row>
    <row r="909" spans="2:12" x14ac:dyDescent="0.3">
      <c r="B909" s="28" t="str">
        <f t="shared" ca="1" si="42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3"/>
        <v>0</v>
      </c>
    </row>
    <row r="910" spans="2:12" x14ac:dyDescent="0.3">
      <c r="B910" s="28" t="str">
        <f t="shared" ca="1" si="42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3"/>
        <v>0</v>
      </c>
    </row>
    <row r="911" spans="2:12" x14ac:dyDescent="0.3">
      <c r="B911" s="28" t="str">
        <f t="shared" ca="1" si="42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3"/>
        <v>0</v>
      </c>
    </row>
    <row r="912" spans="2:12" x14ac:dyDescent="0.3">
      <c r="B912" s="28" t="str">
        <f t="shared" ca="1" si="42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3"/>
        <v>0</v>
      </c>
    </row>
    <row r="913" spans="2:12" x14ac:dyDescent="0.3">
      <c r="B913" s="28" t="str">
        <f t="shared" ca="1" si="42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3"/>
        <v>0</v>
      </c>
    </row>
    <row r="914" spans="2:12" x14ac:dyDescent="0.3">
      <c r="B914" s="28" t="str">
        <f t="shared" ca="1" si="42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3"/>
        <v>0</v>
      </c>
    </row>
    <row r="915" spans="2:12" x14ac:dyDescent="0.3">
      <c r="B915" s="28" t="str">
        <f t="shared" ca="1" si="42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3"/>
        <v>0</v>
      </c>
    </row>
    <row r="916" spans="2:12" x14ac:dyDescent="0.3">
      <c r="B916" s="28" t="str">
        <f t="shared" ca="1" si="42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3"/>
        <v>0</v>
      </c>
    </row>
    <row r="917" spans="2:12" x14ac:dyDescent="0.3">
      <c r="B917" s="28" t="str">
        <f t="shared" ca="1" si="42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3"/>
        <v>0</v>
      </c>
    </row>
    <row r="918" spans="2:12" x14ac:dyDescent="0.3">
      <c r="B918" s="28" t="str">
        <f t="shared" ca="1" si="42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3"/>
        <v>0</v>
      </c>
    </row>
    <row r="919" spans="2:12" x14ac:dyDescent="0.3">
      <c r="B919" s="28" t="str">
        <f t="shared" ca="1" si="42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3"/>
        <v>0</v>
      </c>
    </row>
    <row r="920" spans="2:12" x14ac:dyDescent="0.3">
      <c r="B920" s="28" t="str">
        <f t="shared" ca="1" si="42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3"/>
        <v>0</v>
      </c>
    </row>
    <row r="921" spans="2:12" x14ac:dyDescent="0.3">
      <c r="B921" s="28" t="str">
        <f t="shared" ca="1" si="42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3"/>
        <v>0</v>
      </c>
    </row>
    <row r="922" spans="2:12" x14ac:dyDescent="0.3">
      <c r="B922" s="28" t="str">
        <f t="shared" ca="1" si="42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3"/>
        <v>0</v>
      </c>
    </row>
    <row r="923" spans="2:12" x14ac:dyDescent="0.3">
      <c r="B923" s="28" t="str">
        <f t="shared" ca="1" si="42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3"/>
        <v>0</v>
      </c>
    </row>
    <row r="924" spans="2:12" x14ac:dyDescent="0.3">
      <c r="B924" s="28" t="str">
        <f t="shared" ca="1" si="42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3"/>
        <v>0</v>
      </c>
    </row>
    <row r="925" spans="2:12" x14ac:dyDescent="0.3">
      <c r="B925" s="28" t="str">
        <f t="shared" ca="1" si="42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3"/>
        <v>0</v>
      </c>
    </row>
    <row r="926" spans="2:12" x14ac:dyDescent="0.3">
      <c r="B926" s="28" t="str">
        <f t="shared" ca="1" si="42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3"/>
        <v>0</v>
      </c>
    </row>
    <row r="927" spans="2:12" x14ac:dyDescent="0.3">
      <c r="B927" s="28" t="str">
        <f t="shared" ca="1" si="42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3"/>
        <v>0</v>
      </c>
    </row>
    <row r="928" spans="2:12" x14ac:dyDescent="0.3">
      <c r="B928" s="28" t="str">
        <f t="shared" ca="1" si="42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3"/>
        <v>0</v>
      </c>
    </row>
    <row r="929" spans="2:12" x14ac:dyDescent="0.3">
      <c r="B929" s="28" t="str">
        <f t="shared" ca="1" si="42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3"/>
        <v>0</v>
      </c>
    </row>
    <row r="930" spans="2:12" x14ac:dyDescent="0.3">
      <c r="B930" s="28" t="str">
        <f t="shared" ca="1" si="42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3"/>
        <v>0</v>
      </c>
    </row>
    <row r="931" spans="2:12" x14ac:dyDescent="0.3">
      <c r="B931" s="28" t="str">
        <f t="shared" ca="1" si="42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3"/>
        <v>0</v>
      </c>
    </row>
    <row r="932" spans="2:12" x14ac:dyDescent="0.3">
      <c r="B932" s="28" t="str">
        <f t="shared" ca="1" si="42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3"/>
        <v>0</v>
      </c>
    </row>
    <row r="933" spans="2:12" x14ac:dyDescent="0.3">
      <c r="B933" s="28" t="str">
        <f t="shared" ca="1" si="42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3"/>
        <v>0</v>
      </c>
    </row>
    <row r="934" spans="2:12" x14ac:dyDescent="0.3">
      <c r="B934" s="28" t="str">
        <f t="shared" ca="1" si="42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3"/>
        <v>0</v>
      </c>
    </row>
    <row r="935" spans="2:12" x14ac:dyDescent="0.3">
      <c r="B935" s="28" t="str">
        <f t="shared" ca="1" si="42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3"/>
        <v>0</v>
      </c>
    </row>
    <row r="936" spans="2:12" x14ac:dyDescent="0.3">
      <c r="B936" s="28" t="str">
        <f t="shared" ca="1" si="42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3"/>
        <v>0</v>
      </c>
    </row>
    <row r="937" spans="2:12" x14ac:dyDescent="0.3">
      <c r="B937" s="28" t="str">
        <f t="shared" ca="1" si="42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3"/>
        <v>0</v>
      </c>
    </row>
    <row r="938" spans="2:12" x14ac:dyDescent="0.3">
      <c r="B938" s="28" t="str">
        <f t="shared" ca="1" si="42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3"/>
        <v>0</v>
      </c>
    </row>
    <row r="939" spans="2:12" x14ac:dyDescent="0.3">
      <c r="B939" s="28" t="str">
        <f t="shared" ca="1" si="42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3"/>
        <v>0</v>
      </c>
    </row>
    <row r="940" spans="2:12" x14ac:dyDescent="0.3">
      <c r="B940" s="28" t="str">
        <f t="shared" ca="1" si="42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3"/>
        <v>0</v>
      </c>
    </row>
    <row r="941" spans="2:12" x14ac:dyDescent="0.3">
      <c r="B941" s="28" t="str">
        <f t="shared" ca="1" si="42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3"/>
        <v>0</v>
      </c>
    </row>
    <row r="942" spans="2:12" x14ac:dyDescent="0.3">
      <c r="B942" s="28" t="str">
        <f t="shared" ca="1" si="42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3"/>
        <v>0</v>
      </c>
    </row>
    <row r="943" spans="2:12" x14ac:dyDescent="0.3">
      <c r="B943" s="28" t="str">
        <f t="shared" ca="1" si="42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3"/>
        <v>0</v>
      </c>
    </row>
    <row r="944" spans="2:12" x14ac:dyDescent="0.3">
      <c r="B944" s="28" t="str">
        <f t="shared" ca="1" si="42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3"/>
        <v>0</v>
      </c>
    </row>
    <row r="945" spans="2:12" x14ac:dyDescent="0.3">
      <c r="B945" s="28" t="str">
        <f t="shared" ca="1" si="42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3"/>
        <v>0</v>
      </c>
    </row>
    <row r="946" spans="2:12" x14ac:dyDescent="0.3">
      <c r="B946" s="28" t="str">
        <f t="shared" ca="1" si="42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3"/>
        <v>0</v>
      </c>
    </row>
    <row r="947" spans="2:12" x14ac:dyDescent="0.3">
      <c r="B947" s="28" t="str">
        <f t="shared" ca="1" si="42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3"/>
        <v>0</v>
      </c>
    </row>
    <row r="948" spans="2:12" x14ac:dyDescent="0.3">
      <c r="B948" s="28" t="str">
        <f t="shared" ca="1" si="42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3"/>
        <v>0</v>
      </c>
    </row>
    <row r="949" spans="2:12" x14ac:dyDescent="0.3">
      <c r="B949" s="28" t="str">
        <f t="shared" ca="1" si="42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3"/>
        <v>0</v>
      </c>
    </row>
    <row r="950" spans="2:12" x14ac:dyDescent="0.3">
      <c r="B950" s="28" t="str">
        <f t="shared" ca="1" si="42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3"/>
        <v>0</v>
      </c>
    </row>
    <row r="951" spans="2:12" x14ac:dyDescent="0.3">
      <c r="B951" s="28" t="str">
        <f t="shared" ca="1" si="42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3"/>
        <v>0</v>
      </c>
    </row>
    <row r="952" spans="2:12" x14ac:dyDescent="0.3">
      <c r="B952" s="28" t="str">
        <f t="shared" ca="1" si="42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3"/>
        <v>0</v>
      </c>
    </row>
    <row r="953" spans="2:12" x14ac:dyDescent="0.3">
      <c r="B953" s="28" t="str">
        <f t="shared" ca="1" si="42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3"/>
        <v>0</v>
      </c>
    </row>
    <row r="954" spans="2:12" x14ac:dyDescent="0.3">
      <c r="B954" s="28" t="str">
        <f t="shared" ca="1" si="42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3"/>
        <v>0</v>
      </c>
    </row>
    <row r="955" spans="2:12" x14ac:dyDescent="0.3">
      <c r="B955" s="28" t="str">
        <f t="shared" ca="1" si="42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3"/>
        <v>0</v>
      </c>
    </row>
    <row r="956" spans="2:12" x14ac:dyDescent="0.3">
      <c r="B956" s="28" t="str">
        <f t="shared" ca="1" si="42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3"/>
        <v>0</v>
      </c>
    </row>
    <row r="957" spans="2:12" x14ac:dyDescent="0.3">
      <c r="B957" s="28" t="str">
        <f t="shared" ca="1" si="42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3"/>
        <v>0</v>
      </c>
    </row>
    <row r="958" spans="2:12" x14ac:dyDescent="0.3">
      <c r="B958" s="28" t="str">
        <f t="shared" ref="B958:B988" ca="1" si="45">IF(D958&lt;&gt;"",DATE(Jahr,_xlfn.SHEET()-2,D958),"")</f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ref="L958:L988" si="46">J958-I958-K958</f>
        <v>0</v>
      </c>
    </row>
    <row r="959" spans="2:12" x14ac:dyDescent="0.3">
      <c r="B959" s="28" t="str">
        <f t="shared" ca="1" si="45"/>
        <v/>
      </c>
      <c r="C959" s="29" t="str">
        <f t="shared" ref="C959:C988" ca="1" si="47">B959</f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6"/>
        <v>0</v>
      </c>
    </row>
    <row r="960" spans="2:12" x14ac:dyDescent="0.3">
      <c r="B960" s="28" t="str">
        <f t="shared" ca="1" si="45"/>
        <v/>
      </c>
      <c r="C960" s="29" t="str">
        <f t="shared" ca="1" si="47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6"/>
        <v>0</v>
      </c>
    </row>
    <row r="961" spans="2:12" x14ac:dyDescent="0.3">
      <c r="B961" s="28" t="str">
        <f t="shared" ca="1" si="45"/>
        <v/>
      </c>
      <c r="C961" s="29" t="str">
        <f t="shared" ca="1" si="47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6"/>
        <v>0</v>
      </c>
    </row>
    <row r="962" spans="2:12" x14ac:dyDescent="0.3">
      <c r="B962" s="28" t="str">
        <f t="shared" ca="1" si="45"/>
        <v/>
      </c>
      <c r="C962" s="29" t="str">
        <f t="shared" ca="1" si="47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6"/>
        <v>0</v>
      </c>
    </row>
    <row r="963" spans="2:12" x14ac:dyDescent="0.3">
      <c r="B963" s="28" t="str">
        <f t="shared" ca="1" si="45"/>
        <v/>
      </c>
      <c r="C963" s="29" t="str">
        <f t="shared" ca="1" si="47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6"/>
        <v>0</v>
      </c>
    </row>
    <row r="964" spans="2:12" x14ac:dyDescent="0.3">
      <c r="B964" s="28" t="str">
        <f t="shared" ca="1" si="45"/>
        <v/>
      </c>
      <c r="C964" s="29" t="str">
        <f t="shared" ca="1" si="47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6"/>
        <v>0</v>
      </c>
    </row>
    <row r="965" spans="2:12" x14ac:dyDescent="0.3">
      <c r="B965" s="28" t="str">
        <f t="shared" ca="1" si="45"/>
        <v/>
      </c>
      <c r="C965" s="29" t="str">
        <f t="shared" ca="1" si="47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6"/>
        <v>0</v>
      </c>
    </row>
    <row r="966" spans="2:12" x14ac:dyDescent="0.3">
      <c r="B966" s="28" t="str">
        <f t="shared" ca="1" si="45"/>
        <v/>
      </c>
      <c r="C966" s="29" t="str">
        <f t="shared" ca="1" si="47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6"/>
        <v>0</v>
      </c>
    </row>
    <row r="967" spans="2:12" x14ac:dyDescent="0.3">
      <c r="B967" s="28" t="str">
        <f t="shared" ca="1" si="45"/>
        <v/>
      </c>
      <c r="C967" s="29" t="str">
        <f t="shared" ca="1" si="47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6"/>
        <v>0</v>
      </c>
    </row>
    <row r="968" spans="2:12" x14ac:dyDescent="0.3">
      <c r="B968" s="28" t="str">
        <f t="shared" ca="1" si="45"/>
        <v/>
      </c>
      <c r="C968" s="29" t="str">
        <f t="shared" ca="1" si="47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6"/>
        <v>0</v>
      </c>
    </row>
    <row r="969" spans="2:12" x14ac:dyDescent="0.3">
      <c r="B969" s="28" t="str">
        <f t="shared" ca="1" si="45"/>
        <v/>
      </c>
      <c r="C969" s="29" t="str">
        <f t="shared" ca="1" si="47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6"/>
        <v>0</v>
      </c>
    </row>
    <row r="970" spans="2:12" x14ac:dyDescent="0.3">
      <c r="B970" s="28" t="str">
        <f t="shared" ca="1" si="45"/>
        <v/>
      </c>
      <c r="C970" s="29" t="str">
        <f t="shared" ca="1" si="47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si="46"/>
        <v>0</v>
      </c>
    </row>
    <row r="971" spans="2:12" x14ac:dyDescent="0.3">
      <c r="B971" s="28" t="str">
        <f t="shared" ca="1" si="45"/>
        <v/>
      </c>
      <c r="C971" s="29" t="str">
        <f t="shared" ca="1" si="47"/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6"/>
        <v>0</v>
      </c>
    </row>
    <row r="972" spans="2:12" x14ac:dyDescent="0.3">
      <c r="B972" s="28" t="str">
        <f t="shared" ca="1" si="45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6"/>
        <v>0</v>
      </c>
    </row>
    <row r="973" spans="2:12" x14ac:dyDescent="0.3">
      <c r="B973" s="28" t="str">
        <f t="shared" ca="1" si="45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6"/>
        <v>0</v>
      </c>
    </row>
    <row r="974" spans="2:12" x14ac:dyDescent="0.3">
      <c r="B974" s="28" t="str">
        <f t="shared" ca="1" si="45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6"/>
        <v>0</v>
      </c>
    </row>
    <row r="975" spans="2:12" x14ac:dyDescent="0.3">
      <c r="B975" s="28" t="str">
        <f t="shared" ca="1" si="45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6"/>
        <v>0</v>
      </c>
    </row>
    <row r="976" spans="2:12" x14ac:dyDescent="0.3">
      <c r="B976" s="28" t="str">
        <f t="shared" ca="1" si="45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6"/>
        <v>0</v>
      </c>
    </row>
    <row r="977" spans="2:12" x14ac:dyDescent="0.3">
      <c r="B977" s="28" t="str">
        <f t="shared" ca="1" si="45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6"/>
        <v>0</v>
      </c>
    </row>
    <row r="978" spans="2:12" x14ac:dyDescent="0.3">
      <c r="B978" s="28" t="str">
        <f t="shared" ca="1" si="45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6"/>
        <v>0</v>
      </c>
    </row>
    <row r="979" spans="2:12" x14ac:dyDescent="0.3">
      <c r="B979" s="28" t="str">
        <f t="shared" ca="1" si="45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6"/>
        <v>0</v>
      </c>
    </row>
    <row r="980" spans="2:12" x14ac:dyDescent="0.3">
      <c r="B980" s="28" t="str">
        <f t="shared" ca="1" si="45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6"/>
        <v>0</v>
      </c>
    </row>
    <row r="981" spans="2:12" x14ac:dyDescent="0.3">
      <c r="B981" s="28" t="str">
        <f t="shared" ca="1" si="45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6"/>
        <v>0</v>
      </c>
    </row>
    <row r="982" spans="2:12" x14ac:dyDescent="0.3">
      <c r="B982" s="28" t="str">
        <f t="shared" ca="1" si="45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6"/>
        <v>0</v>
      </c>
    </row>
    <row r="983" spans="2:12" x14ac:dyDescent="0.3">
      <c r="B983" s="28" t="str">
        <f t="shared" ca="1" si="45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6"/>
        <v>0</v>
      </c>
    </row>
    <row r="984" spans="2:12" x14ac:dyDescent="0.3">
      <c r="B984" s="28" t="str">
        <f t="shared" ca="1" si="45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6"/>
        <v>0</v>
      </c>
    </row>
    <row r="985" spans="2:12" x14ac:dyDescent="0.3">
      <c r="B985" s="28" t="str">
        <f t="shared" ca="1" si="45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6"/>
        <v>0</v>
      </c>
    </row>
    <row r="986" spans="2:12" x14ac:dyDescent="0.3">
      <c r="B986" s="28" t="str">
        <f t="shared" ca="1" si="45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6"/>
        <v>0</v>
      </c>
    </row>
    <row r="987" spans="2:12" x14ac:dyDescent="0.3">
      <c r="B987" s="28" t="str">
        <f t="shared" ca="1" si="45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6"/>
        <v>0</v>
      </c>
    </row>
    <row r="988" spans="2:12" x14ac:dyDescent="0.3">
      <c r="B988" s="28" t="str">
        <f t="shared" ca="1" si="45"/>
        <v/>
      </c>
      <c r="C988" s="29" t="str">
        <f t="shared" ca="1" si="47"/>
        <v/>
      </c>
      <c r="D988" s="57"/>
      <c r="E988" s="57"/>
      <c r="F988" s="57"/>
      <c r="G988" s="58"/>
      <c r="H988" s="58"/>
      <c r="I988" s="59"/>
      <c r="J988" s="59"/>
      <c r="K988" s="59"/>
      <c r="L988" s="5">
        <f t="shared" si="46"/>
        <v>0</v>
      </c>
    </row>
    <row r="989" spans="2:12" x14ac:dyDescent="0.3">
      <c r="B989" s="28" t="str">
        <f t="shared" ref="B989:B994" ca="1" si="48">IF(D989&lt;&gt;"",DATE(Jahr,_xlfn.SHEET()-2,D989),"")</f>
        <v/>
      </c>
      <c r="C989" s="29" t="str">
        <f t="shared" ref="C989:C994" ca="1" si="49">B989</f>
        <v/>
      </c>
      <c r="D989" s="57"/>
      <c r="E989" s="57"/>
      <c r="F989" s="57"/>
      <c r="G989" s="58"/>
      <c r="H989" s="58"/>
      <c r="I989" s="59"/>
      <c r="J989" s="59"/>
      <c r="K989" s="59"/>
      <c r="L989" s="5">
        <f t="shared" ref="L989:L994" si="50">J989-I989-K989</f>
        <v>0</v>
      </c>
    </row>
    <row r="990" spans="2:12" x14ac:dyDescent="0.3">
      <c r="B990" s="28" t="str">
        <f t="shared" ca="1" si="48"/>
        <v/>
      </c>
      <c r="C990" s="29" t="str">
        <f t="shared" ca="1" si="49"/>
        <v/>
      </c>
      <c r="D990" s="57"/>
      <c r="E990" s="57"/>
      <c r="F990" s="57"/>
      <c r="G990" s="58"/>
      <c r="H990" s="58"/>
      <c r="I990" s="59"/>
      <c r="J990" s="59"/>
      <c r="K990" s="59"/>
      <c r="L990" s="5">
        <f t="shared" si="50"/>
        <v>0</v>
      </c>
    </row>
    <row r="991" spans="2:12" x14ac:dyDescent="0.3">
      <c r="B991" s="28" t="str">
        <f t="shared" ca="1" si="48"/>
        <v/>
      </c>
      <c r="C991" s="29" t="str">
        <f t="shared" ca="1" si="49"/>
        <v/>
      </c>
      <c r="D991" s="57"/>
      <c r="E991" s="57"/>
      <c r="F991" s="57"/>
      <c r="G991" s="58"/>
      <c r="H991" s="58"/>
      <c r="I991" s="59"/>
      <c r="J991" s="59"/>
      <c r="K991" s="59"/>
      <c r="L991" s="5">
        <f t="shared" si="50"/>
        <v>0</v>
      </c>
    </row>
    <row r="992" spans="2:12" x14ac:dyDescent="0.3">
      <c r="B992" s="28" t="str">
        <f t="shared" ca="1" si="48"/>
        <v/>
      </c>
      <c r="C992" s="29" t="str">
        <f t="shared" ca="1" si="49"/>
        <v/>
      </c>
      <c r="D992" s="57"/>
      <c r="E992" s="57"/>
      <c r="F992" s="57"/>
      <c r="G992" s="58"/>
      <c r="H992" s="58"/>
      <c r="I992" s="59"/>
      <c r="J992" s="59"/>
      <c r="K992" s="59"/>
      <c r="L992" s="5">
        <f t="shared" si="50"/>
        <v>0</v>
      </c>
    </row>
    <row r="993" spans="2:12" x14ac:dyDescent="0.3">
      <c r="B993" s="28" t="str">
        <f t="shared" ca="1" si="48"/>
        <v/>
      </c>
      <c r="C993" s="29" t="str">
        <f t="shared" ca="1" si="49"/>
        <v/>
      </c>
      <c r="D993" s="57"/>
      <c r="E993" s="57"/>
      <c r="F993" s="57"/>
      <c r="G993" s="58"/>
      <c r="H993" s="58"/>
      <c r="I993" s="59"/>
      <c r="J993" s="59"/>
      <c r="K993" s="59"/>
      <c r="L993" s="5">
        <f t="shared" si="50"/>
        <v>0</v>
      </c>
    </row>
    <row r="994" spans="2:12" x14ac:dyDescent="0.3">
      <c r="B994" s="28" t="str">
        <f t="shared" ca="1" si="48"/>
        <v/>
      </c>
      <c r="C994" s="29" t="str">
        <f t="shared" ca="1" si="49"/>
        <v/>
      </c>
      <c r="D994" s="57"/>
      <c r="E994" s="57"/>
      <c r="F994" s="57"/>
      <c r="G994" s="58"/>
      <c r="H994" s="58"/>
      <c r="I994" s="59"/>
      <c r="J994" s="59"/>
      <c r="K994" s="59"/>
      <c r="L994" s="5">
        <f t="shared" si="50"/>
        <v>0</v>
      </c>
    </row>
  </sheetData>
  <sheetProtection formatCells="0" formatColumns="0" formatRows="0" insertColumns="0" insertRows="0" insertHyperlinks="0" deleteColumns="0" deleteRows="0" sort="0" autoFilter="0" pivotTables="0"/>
  <autoFilter ref="C8:L994" xr:uid="{00000000-0009-0000-0000-000002000000}"/>
  <mergeCells count="7">
    <mergeCell ref="B2:L2"/>
    <mergeCell ref="I4:K4"/>
    <mergeCell ref="B6:C6"/>
    <mergeCell ref="I3:K3"/>
    <mergeCell ref="I5:K5"/>
    <mergeCell ref="I6:K6"/>
    <mergeCell ref="G5:H5"/>
  </mergeCells>
  <conditionalFormatting sqref="B9:B994">
    <cfRule type="expression" dxfId="75" priority="1">
      <formula>AND($D9&lt;&gt;"",NOT(ISNUMBER($D9)))</formula>
    </cfRule>
    <cfRule type="expression" dxfId="74" priority="2">
      <formula>OR($D9&lt;=0,DAY(DATE(YEAR($C9),MONTH($C9)+1,1)-1) &lt;$D9)</formula>
    </cfRule>
    <cfRule type="expression" dxfId="72" priority="13">
      <formula>AND($D9&lt;&gt;"",WEEKDAY($B9,2)=6)</formula>
    </cfRule>
    <cfRule type="expression" dxfId="71" priority="14">
      <formula>AND($D9&lt;&gt;"",WEEKDAY($B9,2)=7)</formula>
    </cfRule>
    <cfRule type="expression" dxfId="70" priority="16">
      <formula>AND($D9&lt;&gt;"",WEEKDAY($B9,2)&lt;6)</formula>
    </cfRule>
  </conditionalFormatting>
  <dataValidations count="2">
    <dataValidation type="list" allowBlank="1" showInputMessage="1" showErrorMessage="1" sqref="F17:F23 F9:F10 F25 F12 F14:F15 F29:F33 F35:F44 F46 F48:F53 F55:F58 F60:F69 F72:F994" xr:uid="{6381F81C-F32E-49E1-A0E9-72AC222DD725}">
      <formula1>Projektnamen</formula1>
    </dataValidation>
    <dataValidation type="list" allowBlank="1" showInputMessage="1" showErrorMessage="1" sqref="F26:F28 F45 F47 F54 F59 F70:F71 G9:G994" xr:uid="{DE05854B-3286-4001-B8FD-C79B55F4C10D}">
      <formula1>Arbeitspakete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93DE556B-D5B8-4FF4-95EE-4C1FBF707516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B9:B994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988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SUM(L9:L987)*24</f>
        <v>0</v>
      </c>
    </row>
    <row r="5" spans="2:12" x14ac:dyDescent="0.3">
      <c r="B5" t="s">
        <v>67</v>
      </c>
      <c r="D5" t="str">
        <f ca="1">TEXT("1. "&amp;_xlfn.SHEET()-2,"MMMM")</f>
        <v>Februar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0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63" si="0">J9-I9-K9</f>
        <v>0</v>
      </c>
    </row>
    <row r="10" spans="2:12" x14ac:dyDescent="0.3">
      <c r="B10" s="28" t="str">
        <f t="shared" ref="B10:B63" ca="1" si="1">IF(D10&lt;&gt;"",DATE(Jahr,_xlfn.SHEET()-2,D10),"")</f>
        <v/>
      </c>
      <c r="C10" s="29" t="str">
        <f t="shared" ref="C10:C63" ca="1" si="2">B10</f>
        <v/>
      </c>
      <c r="D10" s="57"/>
      <c r="E10" s="55"/>
      <c r="F10" s="55"/>
      <c r="G10" s="55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ca="1">IF(D11&lt;&gt;"",DATE(Jahr,_xlfn.SHEET()-2,D11),"")</f>
        <v/>
      </c>
      <c r="C11" s="29" t="str">
        <f ca="1">B11</f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5"/>
      <c r="F14" s="55"/>
      <c r="G14" s="55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  <c r="T24" s="88"/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  <c r="T25" s="89"/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  <c r="T26" s="89"/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  <c r="T27" s="89"/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  <c r="T28" s="89"/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  <c r="T29" s="89"/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  <c r="T30" s="90"/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  <c r="T32" s="91"/>
    </row>
    <row r="33" spans="2:12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</row>
    <row r="34" spans="2:12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</row>
    <row r="35" spans="2:12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12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</row>
    <row r="37" spans="2:12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</row>
    <row r="38" spans="2:12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</row>
    <row r="39" spans="2:12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</row>
    <row r="40" spans="2:12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0"/>
        <v>0</v>
      </c>
    </row>
    <row r="41" spans="2:12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12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0"/>
        <v>0</v>
      </c>
    </row>
    <row r="43" spans="2:12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12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12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12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12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12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t="shared" ca="1" si="1"/>
        <v/>
      </c>
      <c r="C63" s="29" t="str">
        <f t="shared" ca="1" si="2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0"/>
        <v>0</v>
      </c>
    </row>
    <row r="64" spans="2:12" x14ac:dyDescent="0.3">
      <c r="B64" s="28" t="str">
        <f ca="1">IF(D64&lt;&gt;"",DATE(Jahr,_xlfn.SHEET()-2,D64),"")</f>
        <v/>
      </c>
      <c r="C64" s="29" t="str">
        <f ca="1">B64</f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ref="L64:L125" si="3">J64-I64-K64</f>
        <v>0</v>
      </c>
    </row>
    <row r="65" spans="2:12" x14ac:dyDescent="0.3">
      <c r="B65" s="28" t="str">
        <f t="shared" ref="B65:B126" ca="1" si="4">IF(D65&lt;&gt;"",DATE(Jahr,_xlfn.SHEET()-2,D65),"")</f>
        <v/>
      </c>
      <c r="C65" s="29" t="str">
        <f t="shared" ref="C65:C126" ca="1" si="5">B65</f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3"/>
        <v>0</v>
      </c>
    </row>
    <row r="66" spans="2:12" x14ac:dyDescent="0.3">
      <c r="B66" s="28" t="str">
        <f t="shared" ca="1" si="4"/>
        <v/>
      </c>
      <c r="C66" s="29" t="str">
        <f t="shared" ca="1" si="5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3"/>
        <v>0</v>
      </c>
    </row>
    <row r="67" spans="2:12" x14ac:dyDescent="0.3">
      <c r="B67" s="28" t="str">
        <f t="shared" ca="1" si="4"/>
        <v/>
      </c>
      <c r="C67" s="29" t="str">
        <f t="shared" ca="1" si="5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3"/>
        <v>0</v>
      </c>
    </row>
    <row r="68" spans="2:12" x14ac:dyDescent="0.3">
      <c r="B68" s="28" t="str">
        <f t="shared" ca="1" si="4"/>
        <v/>
      </c>
      <c r="C68" s="29" t="str">
        <f t="shared" ca="1" si="5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3"/>
        <v>0</v>
      </c>
    </row>
    <row r="69" spans="2:12" x14ac:dyDescent="0.3">
      <c r="B69" s="28" t="str">
        <f t="shared" ca="1" si="4"/>
        <v/>
      </c>
      <c r="C69" s="29" t="str">
        <f t="shared" ca="1" si="5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3"/>
        <v>0</v>
      </c>
    </row>
    <row r="70" spans="2:12" x14ac:dyDescent="0.3">
      <c r="B70" s="28" t="str">
        <f t="shared" ca="1" si="4"/>
        <v/>
      </c>
      <c r="C70" s="29" t="str">
        <f t="shared" ca="1" si="5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3"/>
        <v>0</v>
      </c>
    </row>
    <row r="71" spans="2:12" x14ac:dyDescent="0.3">
      <c r="B71" s="28" t="str">
        <f t="shared" ca="1" si="4"/>
        <v/>
      </c>
      <c r="C71" s="29" t="str">
        <f t="shared" ca="1" si="5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3"/>
        <v>0</v>
      </c>
    </row>
    <row r="72" spans="2:12" x14ac:dyDescent="0.3">
      <c r="B72" s="28" t="str">
        <f t="shared" ca="1" si="4"/>
        <v/>
      </c>
      <c r="C72" s="29" t="str">
        <f t="shared" ca="1" si="5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3"/>
        <v>0</v>
      </c>
    </row>
    <row r="73" spans="2:12" x14ac:dyDescent="0.3">
      <c r="B73" s="28" t="str">
        <f t="shared" ca="1" si="4"/>
        <v/>
      </c>
      <c r="C73" s="29" t="str">
        <f t="shared" ca="1" si="5"/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3"/>
        <v>0</v>
      </c>
    </row>
    <row r="74" spans="2:12" x14ac:dyDescent="0.3">
      <c r="B74" s="28" t="str">
        <f ca="1">IF(D74&lt;&gt;"",DATE(Jahr,_xlfn.SHEET()-2,D74),"")</f>
        <v/>
      </c>
      <c r="C74" s="29" t="str">
        <f ca="1">B74</f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3"/>
        <v>0</v>
      </c>
    </row>
    <row r="75" spans="2:12" x14ac:dyDescent="0.3">
      <c r="B75" s="28" t="str">
        <f t="shared" ca="1" si="4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3"/>
        <v>0</v>
      </c>
    </row>
    <row r="76" spans="2:12" x14ac:dyDescent="0.3">
      <c r="B76" s="28" t="str">
        <f t="shared" ca="1" si="4"/>
        <v/>
      </c>
      <c r="C76" s="29" t="str">
        <f t="shared" ca="1" si="5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3"/>
        <v>0</v>
      </c>
    </row>
    <row r="77" spans="2:12" x14ac:dyDescent="0.3">
      <c r="B77" s="28" t="str">
        <f t="shared" ca="1" si="4"/>
        <v/>
      </c>
      <c r="C77" s="29" t="str">
        <f t="shared" ca="1" si="5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3"/>
        <v>0</v>
      </c>
    </row>
    <row r="78" spans="2:12" x14ac:dyDescent="0.3">
      <c r="B78" s="28" t="str">
        <f t="shared" ca="1" si="4"/>
        <v/>
      </c>
      <c r="C78" s="29" t="str">
        <f t="shared" ca="1" si="5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3"/>
        <v>0</v>
      </c>
    </row>
    <row r="79" spans="2:12" x14ac:dyDescent="0.3">
      <c r="B79" s="28" t="str">
        <f t="shared" ca="1" si="4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t="shared" ca="1" si="4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t="shared" ca="1" si="4"/>
        <v/>
      </c>
      <c r="C86" s="29" t="str">
        <f t="shared" ca="1" si="5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3"/>
        <v>0</v>
      </c>
    </row>
    <row r="123" spans="2:12" x14ac:dyDescent="0.3">
      <c r="B123" s="28" t="str">
        <f t="shared" ca="1" si="4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3"/>
        <v>0</v>
      </c>
    </row>
    <row r="124" spans="2:12" x14ac:dyDescent="0.3">
      <c r="B124" s="28" t="str">
        <f t="shared" ca="1" si="4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3"/>
        <v>0</v>
      </c>
    </row>
    <row r="125" spans="2:12" x14ac:dyDescent="0.3">
      <c r="B125" s="28" t="str">
        <f t="shared" ca="1" si="4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3"/>
        <v>0</v>
      </c>
    </row>
    <row r="126" spans="2:12" x14ac:dyDescent="0.3">
      <c r="B126" s="28" t="str">
        <f t="shared" ca="1" si="4"/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ref="L126:L189" si="6">J126-I126-K126</f>
        <v>0</v>
      </c>
    </row>
    <row r="127" spans="2:12" x14ac:dyDescent="0.3">
      <c r="B127" s="28" t="str">
        <f t="shared" ref="B127:B190" ca="1" si="7">IF(D127&lt;&gt;"",DATE(Jahr,_xlfn.SHEET()-2,D127),"")</f>
        <v/>
      </c>
      <c r="C127" s="29" t="str">
        <f t="shared" ref="C127:C190" ca="1" si="8">B127</f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6"/>
        <v>0</v>
      </c>
    </row>
    <row r="128" spans="2:12" x14ac:dyDescent="0.3">
      <c r="B128" s="28" t="str">
        <f t="shared" ca="1" si="7"/>
        <v/>
      </c>
      <c r="C128" s="29" t="str">
        <f t="shared" ca="1" si="8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6"/>
        <v>0</v>
      </c>
    </row>
    <row r="129" spans="2:12" x14ac:dyDescent="0.3">
      <c r="B129" s="28" t="str">
        <f t="shared" ca="1" si="7"/>
        <v/>
      </c>
      <c r="C129" s="29" t="str">
        <f t="shared" ca="1" si="8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6"/>
        <v>0</v>
      </c>
    </row>
    <row r="130" spans="2:12" x14ac:dyDescent="0.3">
      <c r="B130" s="28" t="str">
        <f t="shared" ca="1" si="7"/>
        <v/>
      </c>
      <c r="C130" s="29" t="str">
        <f t="shared" ca="1" si="8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6"/>
        <v>0</v>
      </c>
    </row>
    <row r="131" spans="2:12" x14ac:dyDescent="0.3">
      <c r="B131" s="28" t="str">
        <f t="shared" ca="1" si="7"/>
        <v/>
      </c>
      <c r="C131" s="29" t="str">
        <f t="shared" ca="1" si="8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6"/>
        <v>0</v>
      </c>
    </row>
    <row r="132" spans="2:12" x14ac:dyDescent="0.3">
      <c r="B132" s="28" t="str">
        <f t="shared" ca="1" si="7"/>
        <v/>
      </c>
      <c r="C132" s="29" t="str">
        <f t="shared" ca="1" si="8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6"/>
        <v>0</v>
      </c>
    </row>
    <row r="133" spans="2:12" x14ac:dyDescent="0.3">
      <c r="B133" s="28" t="str">
        <f t="shared" ca="1" si="7"/>
        <v/>
      </c>
      <c r="C133" s="29" t="str">
        <f t="shared" ca="1" si="8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6"/>
        <v>0</v>
      </c>
    </row>
    <row r="134" spans="2:12" x14ac:dyDescent="0.3">
      <c r="B134" s="28" t="str">
        <f t="shared" ca="1" si="7"/>
        <v/>
      </c>
      <c r="C134" s="29" t="str">
        <f t="shared" ca="1" si="8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6"/>
        <v>0</v>
      </c>
    </row>
    <row r="135" spans="2:12" x14ac:dyDescent="0.3">
      <c r="B135" s="28" t="str">
        <f t="shared" ca="1" si="7"/>
        <v/>
      </c>
      <c r="C135" s="29" t="str">
        <f t="shared" ca="1" si="8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6"/>
        <v>0</v>
      </c>
    </row>
    <row r="136" spans="2:12" x14ac:dyDescent="0.3">
      <c r="B136" s="28" t="str">
        <f t="shared" ca="1" si="7"/>
        <v/>
      </c>
      <c r="C136" s="29" t="str">
        <f t="shared" ca="1" si="8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6"/>
        <v>0</v>
      </c>
    </row>
    <row r="137" spans="2:12" x14ac:dyDescent="0.3">
      <c r="B137" s="28" t="str">
        <f t="shared" ca="1" si="7"/>
        <v/>
      </c>
      <c r="C137" s="29" t="str">
        <f t="shared" ca="1" si="8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6"/>
        <v>0</v>
      </c>
    </row>
    <row r="138" spans="2:12" x14ac:dyDescent="0.3">
      <c r="B138" s="28" t="str">
        <f t="shared" ca="1" si="7"/>
        <v/>
      </c>
      <c r="C138" s="29" t="str">
        <f t="shared" ca="1" si="8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6"/>
        <v>0</v>
      </c>
    </row>
    <row r="139" spans="2:12" x14ac:dyDescent="0.3">
      <c r="B139" s="28" t="str">
        <f t="shared" ca="1" si="7"/>
        <v/>
      </c>
      <c r="C139" s="29" t="str">
        <f t="shared" ca="1" si="8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6"/>
        <v>0</v>
      </c>
    </row>
    <row r="187" spans="2:12" x14ac:dyDescent="0.3">
      <c r="B187" s="28" t="str">
        <f t="shared" ca="1" si="7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6"/>
        <v>0</v>
      </c>
    </row>
    <row r="188" spans="2:12" x14ac:dyDescent="0.3">
      <c r="B188" s="28" t="str">
        <f t="shared" ca="1" si="7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6"/>
        <v>0</v>
      </c>
    </row>
    <row r="189" spans="2:12" x14ac:dyDescent="0.3">
      <c r="B189" s="28" t="str">
        <f t="shared" ca="1" si="7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6"/>
        <v>0</v>
      </c>
    </row>
    <row r="190" spans="2:12" x14ac:dyDescent="0.3">
      <c r="B190" s="28" t="str">
        <f t="shared" ca="1" si="7"/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ref="L190:L253" si="9">J190-I190-K190</f>
        <v>0</v>
      </c>
    </row>
    <row r="191" spans="2:12" x14ac:dyDescent="0.3">
      <c r="B191" s="28" t="str">
        <f t="shared" ref="B191:B254" ca="1" si="10">IF(D191&lt;&gt;"",DATE(Jahr,_xlfn.SHEET()-2,D191),"")</f>
        <v/>
      </c>
      <c r="C191" s="29" t="str">
        <f t="shared" ref="C191:C254" ca="1" si="11">B191</f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9"/>
        <v>0</v>
      </c>
    </row>
    <row r="192" spans="2:12" x14ac:dyDescent="0.3">
      <c r="B192" s="28" t="str">
        <f t="shared" ca="1" si="10"/>
        <v/>
      </c>
      <c r="C192" s="29" t="str">
        <f t="shared" ca="1" si="11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9"/>
        <v>0</v>
      </c>
    </row>
    <row r="193" spans="2:12" x14ac:dyDescent="0.3">
      <c r="B193" s="28" t="str">
        <f t="shared" ca="1" si="10"/>
        <v/>
      </c>
      <c r="C193" s="29" t="str">
        <f t="shared" ca="1" si="11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9"/>
        <v>0</v>
      </c>
    </row>
    <row r="194" spans="2:12" x14ac:dyDescent="0.3">
      <c r="B194" s="28" t="str">
        <f t="shared" ca="1" si="10"/>
        <v/>
      </c>
      <c r="C194" s="29" t="str">
        <f t="shared" ca="1" si="11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9"/>
        <v>0</v>
      </c>
    </row>
    <row r="195" spans="2:12" x14ac:dyDescent="0.3">
      <c r="B195" s="28" t="str">
        <f t="shared" ca="1" si="10"/>
        <v/>
      </c>
      <c r="C195" s="29" t="str">
        <f t="shared" ca="1" si="11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9"/>
        <v>0</v>
      </c>
    </row>
    <row r="196" spans="2:12" x14ac:dyDescent="0.3">
      <c r="B196" s="28" t="str">
        <f t="shared" ca="1" si="10"/>
        <v/>
      </c>
      <c r="C196" s="29" t="str">
        <f t="shared" ca="1" si="11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9"/>
        <v>0</v>
      </c>
    </row>
    <row r="197" spans="2:12" x14ac:dyDescent="0.3">
      <c r="B197" s="28" t="str">
        <f t="shared" ca="1" si="10"/>
        <v/>
      </c>
      <c r="C197" s="29" t="str">
        <f t="shared" ca="1" si="11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9"/>
        <v>0</v>
      </c>
    </row>
    <row r="198" spans="2:12" x14ac:dyDescent="0.3">
      <c r="B198" s="28" t="str">
        <f t="shared" ca="1" si="10"/>
        <v/>
      </c>
      <c r="C198" s="29" t="str">
        <f t="shared" ca="1" si="11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9"/>
        <v>0</v>
      </c>
    </row>
    <row r="199" spans="2:12" x14ac:dyDescent="0.3">
      <c r="B199" s="28" t="str">
        <f t="shared" ca="1" si="10"/>
        <v/>
      </c>
      <c r="C199" s="29" t="str">
        <f t="shared" ca="1" si="11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9"/>
        <v>0</v>
      </c>
    </row>
    <row r="200" spans="2:12" x14ac:dyDescent="0.3">
      <c r="B200" s="28" t="str">
        <f t="shared" ca="1" si="10"/>
        <v/>
      </c>
      <c r="C200" s="29" t="str">
        <f t="shared" ca="1" si="11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9"/>
        <v>0</v>
      </c>
    </row>
    <row r="201" spans="2:12" x14ac:dyDescent="0.3">
      <c r="B201" s="28" t="str">
        <f t="shared" ca="1" si="10"/>
        <v/>
      </c>
      <c r="C201" s="29" t="str">
        <f t="shared" ca="1" si="11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9"/>
        <v>0</v>
      </c>
    </row>
    <row r="202" spans="2:12" x14ac:dyDescent="0.3">
      <c r="B202" s="28" t="str">
        <f t="shared" ca="1" si="10"/>
        <v/>
      </c>
      <c r="C202" s="29" t="str">
        <f t="shared" ca="1" si="11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9"/>
        <v>0</v>
      </c>
    </row>
    <row r="203" spans="2:12" x14ac:dyDescent="0.3">
      <c r="B203" s="28" t="str">
        <f t="shared" ca="1" si="10"/>
        <v/>
      </c>
      <c r="C203" s="29" t="str">
        <f t="shared" ca="1" si="11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9"/>
        <v>0</v>
      </c>
    </row>
    <row r="251" spans="2:12" x14ac:dyDescent="0.3">
      <c r="B251" s="28" t="str">
        <f t="shared" ca="1" si="10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9"/>
        <v>0</v>
      </c>
    </row>
    <row r="252" spans="2:12" x14ac:dyDescent="0.3">
      <c r="B252" s="28" t="str">
        <f t="shared" ca="1" si="10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9"/>
        <v>0</v>
      </c>
    </row>
    <row r="253" spans="2:12" x14ac:dyDescent="0.3">
      <c r="B253" s="28" t="str">
        <f t="shared" ca="1" si="10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9"/>
        <v>0</v>
      </c>
    </row>
    <row r="254" spans="2:12" x14ac:dyDescent="0.3">
      <c r="B254" s="28" t="str">
        <f t="shared" ca="1" si="10"/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ref="L254:L317" si="12">J254-I254-K254</f>
        <v>0</v>
      </c>
    </row>
    <row r="255" spans="2:12" x14ac:dyDescent="0.3">
      <c r="B255" s="28" t="str">
        <f t="shared" ref="B255:B318" ca="1" si="13">IF(D255&lt;&gt;"",DATE(Jahr,_xlfn.SHEET()-2,D255),"")</f>
        <v/>
      </c>
      <c r="C255" s="29" t="str">
        <f t="shared" ref="C255:C318" ca="1" si="14">B255</f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12"/>
        <v>0</v>
      </c>
    </row>
    <row r="256" spans="2:12" x14ac:dyDescent="0.3">
      <c r="B256" s="28" t="str">
        <f t="shared" ca="1" si="13"/>
        <v/>
      </c>
      <c r="C256" s="29" t="str">
        <f t="shared" ca="1" si="14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12"/>
        <v>0</v>
      </c>
    </row>
    <row r="257" spans="2:12" x14ac:dyDescent="0.3">
      <c r="B257" s="28" t="str">
        <f t="shared" ca="1" si="13"/>
        <v/>
      </c>
      <c r="C257" s="29" t="str">
        <f t="shared" ca="1" si="14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12"/>
        <v>0</v>
      </c>
    </row>
    <row r="258" spans="2:12" x14ac:dyDescent="0.3">
      <c r="B258" s="28" t="str">
        <f t="shared" ca="1" si="13"/>
        <v/>
      </c>
      <c r="C258" s="29" t="str">
        <f t="shared" ca="1" si="14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12"/>
        <v>0</v>
      </c>
    </row>
    <row r="259" spans="2:12" x14ac:dyDescent="0.3">
      <c r="B259" s="28" t="str">
        <f t="shared" ca="1" si="13"/>
        <v/>
      </c>
      <c r="C259" s="29" t="str">
        <f t="shared" ca="1" si="14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12"/>
        <v>0</v>
      </c>
    </row>
    <row r="260" spans="2:12" x14ac:dyDescent="0.3">
      <c r="B260" s="28" t="str">
        <f t="shared" ca="1" si="13"/>
        <v/>
      </c>
      <c r="C260" s="29" t="str">
        <f t="shared" ca="1" si="14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12"/>
        <v>0</v>
      </c>
    </row>
    <row r="261" spans="2:12" x14ac:dyDescent="0.3">
      <c r="B261" s="28" t="str">
        <f t="shared" ca="1" si="13"/>
        <v/>
      </c>
      <c r="C261" s="29" t="str">
        <f t="shared" ca="1" si="14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12"/>
        <v>0</v>
      </c>
    </row>
    <row r="262" spans="2:12" x14ac:dyDescent="0.3">
      <c r="B262" s="28" t="str">
        <f t="shared" ca="1" si="13"/>
        <v/>
      </c>
      <c r="C262" s="29" t="str">
        <f t="shared" ca="1" si="14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12"/>
        <v>0</v>
      </c>
    </row>
    <row r="263" spans="2:12" x14ac:dyDescent="0.3">
      <c r="B263" s="28" t="str">
        <f t="shared" ca="1" si="13"/>
        <v/>
      </c>
      <c r="C263" s="29" t="str">
        <f t="shared" ca="1" si="14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12"/>
        <v>0</v>
      </c>
    </row>
    <row r="264" spans="2:12" x14ac:dyDescent="0.3">
      <c r="B264" s="28" t="str">
        <f t="shared" ca="1" si="13"/>
        <v/>
      </c>
      <c r="C264" s="29" t="str">
        <f t="shared" ca="1" si="14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12"/>
        <v>0</v>
      </c>
    </row>
    <row r="265" spans="2:12" x14ac:dyDescent="0.3">
      <c r="B265" s="28" t="str">
        <f t="shared" ca="1" si="13"/>
        <v/>
      </c>
      <c r="C265" s="29" t="str">
        <f t="shared" ca="1" si="14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12"/>
        <v>0</v>
      </c>
    </row>
    <row r="266" spans="2:12" x14ac:dyDescent="0.3">
      <c r="B266" s="28" t="str">
        <f t="shared" ca="1" si="13"/>
        <v/>
      </c>
      <c r="C266" s="29" t="str">
        <f t="shared" ca="1" si="14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12"/>
        <v>0</v>
      </c>
    </row>
    <row r="267" spans="2:12" x14ac:dyDescent="0.3">
      <c r="B267" s="28" t="str">
        <f t="shared" ca="1" si="13"/>
        <v/>
      </c>
      <c r="C267" s="29" t="str">
        <f t="shared" ca="1" si="14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2"/>
        <v>0</v>
      </c>
    </row>
    <row r="315" spans="2:12" x14ac:dyDescent="0.3">
      <c r="B315" s="28" t="str">
        <f t="shared" ca="1" si="13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2"/>
        <v>0</v>
      </c>
    </row>
    <row r="316" spans="2:12" x14ac:dyDescent="0.3">
      <c r="B316" s="28" t="str">
        <f t="shared" ca="1" si="13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2"/>
        <v>0</v>
      </c>
    </row>
    <row r="317" spans="2:12" x14ac:dyDescent="0.3">
      <c r="B317" s="28" t="str">
        <f t="shared" ca="1" si="13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2"/>
        <v>0</v>
      </c>
    </row>
    <row r="318" spans="2:12" x14ac:dyDescent="0.3">
      <c r="B318" s="28" t="str">
        <f t="shared" ca="1" si="13"/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ref="L318:L381" si="15">J318-I318-K318</f>
        <v>0</v>
      </c>
    </row>
    <row r="319" spans="2:12" x14ac:dyDescent="0.3">
      <c r="B319" s="28" t="str">
        <f t="shared" ref="B319:B382" ca="1" si="16">IF(D319&lt;&gt;"",DATE(Jahr,_xlfn.SHEET()-2,D319),"")</f>
        <v/>
      </c>
      <c r="C319" s="29" t="str">
        <f t="shared" ref="C319:C382" ca="1" si="17">B319</f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5"/>
        <v>0</v>
      </c>
    </row>
    <row r="320" spans="2:12" x14ac:dyDescent="0.3">
      <c r="B320" s="28" t="str">
        <f t="shared" ca="1" si="16"/>
        <v/>
      </c>
      <c r="C320" s="29" t="str">
        <f t="shared" ca="1" si="17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5"/>
        <v>0</v>
      </c>
    </row>
    <row r="321" spans="2:12" x14ac:dyDescent="0.3">
      <c r="B321" s="28" t="str">
        <f t="shared" ca="1" si="16"/>
        <v/>
      </c>
      <c r="C321" s="29" t="str">
        <f t="shared" ca="1" si="17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5"/>
        <v>0</v>
      </c>
    </row>
    <row r="322" spans="2:12" x14ac:dyDescent="0.3">
      <c r="B322" s="28" t="str">
        <f t="shared" ca="1" si="16"/>
        <v/>
      </c>
      <c r="C322" s="29" t="str">
        <f t="shared" ca="1" si="17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5"/>
        <v>0</v>
      </c>
    </row>
    <row r="323" spans="2:12" x14ac:dyDescent="0.3">
      <c r="B323" s="28" t="str">
        <f t="shared" ca="1" si="16"/>
        <v/>
      </c>
      <c r="C323" s="29" t="str">
        <f t="shared" ca="1" si="17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5"/>
        <v>0</v>
      </c>
    </row>
    <row r="324" spans="2:12" x14ac:dyDescent="0.3">
      <c r="B324" s="28" t="str">
        <f t="shared" ca="1" si="16"/>
        <v/>
      </c>
      <c r="C324" s="29" t="str">
        <f t="shared" ca="1" si="17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5"/>
        <v>0</v>
      </c>
    </row>
    <row r="325" spans="2:12" x14ac:dyDescent="0.3">
      <c r="B325" s="28" t="str">
        <f t="shared" ca="1" si="16"/>
        <v/>
      </c>
      <c r="C325" s="29" t="str">
        <f t="shared" ca="1" si="17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5"/>
        <v>0</v>
      </c>
    </row>
    <row r="326" spans="2:12" x14ac:dyDescent="0.3">
      <c r="B326" s="28" t="str">
        <f t="shared" ca="1" si="16"/>
        <v/>
      </c>
      <c r="C326" s="29" t="str">
        <f t="shared" ca="1" si="17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5"/>
        <v>0</v>
      </c>
    </row>
    <row r="327" spans="2:12" x14ac:dyDescent="0.3">
      <c r="B327" s="28" t="str">
        <f t="shared" ca="1" si="16"/>
        <v/>
      </c>
      <c r="C327" s="29" t="str">
        <f t="shared" ca="1" si="17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5"/>
        <v>0</v>
      </c>
    </row>
    <row r="328" spans="2:12" x14ac:dyDescent="0.3">
      <c r="B328" s="28" t="str">
        <f t="shared" ca="1" si="16"/>
        <v/>
      </c>
      <c r="C328" s="29" t="str">
        <f t="shared" ca="1" si="17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5"/>
        <v>0</v>
      </c>
    </row>
    <row r="329" spans="2:12" x14ac:dyDescent="0.3">
      <c r="B329" s="28" t="str">
        <f t="shared" ca="1" si="16"/>
        <v/>
      </c>
      <c r="C329" s="29" t="str">
        <f t="shared" ca="1" si="17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5"/>
        <v>0</v>
      </c>
    </row>
    <row r="330" spans="2:12" x14ac:dyDescent="0.3">
      <c r="B330" s="28" t="str">
        <f t="shared" ca="1" si="16"/>
        <v/>
      </c>
      <c r="C330" s="29" t="str">
        <f t="shared" ca="1" si="17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5"/>
        <v>0</v>
      </c>
    </row>
    <row r="331" spans="2:12" x14ac:dyDescent="0.3">
      <c r="B331" s="28" t="str">
        <f t="shared" ca="1" si="16"/>
        <v/>
      </c>
      <c r="C331" s="29" t="str">
        <f t="shared" ca="1" si="17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5"/>
        <v>0</v>
      </c>
    </row>
    <row r="379" spans="2:12" x14ac:dyDescent="0.3">
      <c r="B379" s="28" t="str">
        <f t="shared" ca="1" si="16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5"/>
        <v>0</v>
      </c>
    </row>
    <row r="380" spans="2:12" x14ac:dyDescent="0.3">
      <c r="B380" s="28" t="str">
        <f t="shared" ca="1" si="16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5"/>
        <v>0</v>
      </c>
    </row>
    <row r="381" spans="2:12" x14ac:dyDescent="0.3">
      <c r="B381" s="28" t="str">
        <f t="shared" ca="1" si="16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5"/>
        <v>0</v>
      </c>
    </row>
    <row r="382" spans="2:12" x14ac:dyDescent="0.3">
      <c r="B382" s="28" t="str">
        <f t="shared" ca="1" si="16"/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ref="L382:L445" si="18">J382-I382-K382</f>
        <v>0</v>
      </c>
    </row>
    <row r="383" spans="2:12" x14ac:dyDescent="0.3">
      <c r="B383" s="28" t="str">
        <f t="shared" ref="B383:B446" ca="1" si="19">IF(D383&lt;&gt;"",DATE(Jahr,_xlfn.SHEET()-2,D383),"")</f>
        <v/>
      </c>
      <c r="C383" s="29" t="str">
        <f t="shared" ref="C383:C446" ca="1" si="20">B383</f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8"/>
        <v>0</v>
      </c>
    </row>
    <row r="384" spans="2:12" x14ac:dyDescent="0.3">
      <c r="B384" s="28" t="str">
        <f t="shared" ca="1" si="19"/>
        <v/>
      </c>
      <c r="C384" s="29" t="str">
        <f t="shared" ca="1" si="20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8"/>
        <v>0</v>
      </c>
    </row>
    <row r="385" spans="2:12" x14ac:dyDescent="0.3">
      <c r="B385" s="28" t="str">
        <f t="shared" ca="1" si="19"/>
        <v/>
      </c>
      <c r="C385" s="29" t="str">
        <f t="shared" ca="1" si="20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8"/>
        <v>0</v>
      </c>
    </row>
    <row r="386" spans="2:12" x14ac:dyDescent="0.3">
      <c r="B386" s="28" t="str">
        <f t="shared" ca="1" si="19"/>
        <v/>
      </c>
      <c r="C386" s="29" t="str">
        <f t="shared" ca="1" si="20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8"/>
        <v>0</v>
      </c>
    </row>
    <row r="387" spans="2:12" x14ac:dyDescent="0.3">
      <c r="B387" s="28" t="str">
        <f t="shared" ca="1" si="19"/>
        <v/>
      </c>
      <c r="C387" s="29" t="str">
        <f t="shared" ca="1" si="20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8"/>
        <v>0</v>
      </c>
    </row>
    <row r="388" spans="2:12" x14ac:dyDescent="0.3">
      <c r="B388" s="28" t="str">
        <f t="shared" ca="1" si="19"/>
        <v/>
      </c>
      <c r="C388" s="29" t="str">
        <f t="shared" ca="1" si="20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8"/>
        <v>0</v>
      </c>
    </row>
    <row r="389" spans="2:12" x14ac:dyDescent="0.3">
      <c r="B389" s="28" t="str">
        <f t="shared" ca="1" si="19"/>
        <v/>
      </c>
      <c r="C389" s="29" t="str">
        <f t="shared" ca="1" si="20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8"/>
        <v>0</v>
      </c>
    </row>
    <row r="390" spans="2:12" x14ac:dyDescent="0.3">
      <c r="B390" s="28" t="str">
        <f t="shared" ca="1" si="19"/>
        <v/>
      </c>
      <c r="C390" s="29" t="str">
        <f t="shared" ca="1" si="20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8"/>
        <v>0</v>
      </c>
    </row>
    <row r="391" spans="2:12" x14ac:dyDescent="0.3">
      <c r="B391" s="28" t="str">
        <f t="shared" ca="1" si="19"/>
        <v/>
      </c>
      <c r="C391" s="29" t="str">
        <f t="shared" ca="1" si="20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8"/>
        <v>0</v>
      </c>
    </row>
    <row r="392" spans="2:12" x14ac:dyDescent="0.3">
      <c r="B392" s="28" t="str">
        <f t="shared" ca="1" si="19"/>
        <v/>
      </c>
      <c r="C392" s="29" t="str">
        <f t="shared" ca="1" si="20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8"/>
        <v>0</v>
      </c>
    </row>
    <row r="393" spans="2:12" x14ac:dyDescent="0.3">
      <c r="B393" s="28" t="str">
        <f t="shared" ca="1" si="19"/>
        <v/>
      </c>
      <c r="C393" s="29" t="str">
        <f t="shared" ca="1" si="20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8"/>
        <v>0</v>
      </c>
    </row>
    <row r="394" spans="2:12" x14ac:dyDescent="0.3">
      <c r="B394" s="28" t="str">
        <f t="shared" ca="1" si="19"/>
        <v/>
      </c>
      <c r="C394" s="29" t="str">
        <f t="shared" ca="1" si="20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8"/>
        <v>0</v>
      </c>
    </row>
    <row r="395" spans="2:12" x14ac:dyDescent="0.3">
      <c r="B395" s="28" t="str">
        <f t="shared" ca="1" si="19"/>
        <v/>
      </c>
      <c r="C395" s="29" t="str">
        <f t="shared" ca="1" si="20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8"/>
        <v>0</v>
      </c>
    </row>
    <row r="443" spans="2:12" x14ac:dyDescent="0.3">
      <c r="B443" s="28" t="str">
        <f t="shared" ca="1" si="19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8"/>
        <v>0</v>
      </c>
    </row>
    <row r="444" spans="2:12" x14ac:dyDescent="0.3">
      <c r="B444" s="28" t="str">
        <f t="shared" ca="1" si="19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8"/>
        <v>0</v>
      </c>
    </row>
    <row r="445" spans="2:12" x14ac:dyDescent="0.3">
      <c r="B445" s="28" t="str">
        <f t="shared" ca="1" si="19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8"/>
        <v>0</v>
      </c>
    </row>
    <row r="446" spans="2:12" x14ac:dyDescent="0.3">
      <c r="B446" s="28" t="str">
        <f t="shared" ca="1" si="19"/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ref="L446:L509" si="21">J446-I446-K446</f>
        <v>0</v>
      </c>
    </row>
    <row r="447" spans="2:12" x14ac:dyDescent="0.3">
      <c r="B447" s="28" t="str">
        <f t="shared" ref="B447:B510" ca="1" si="22">IF(D447&lt;&gt;"",DATE(Jahr,_xlfn.SHEET()-2,D447),"")</f>
        <v/>
      </c>
      <c r="C447" s="29" t="str">
        <f t="shared" ref="C447:C510" ca="1" si="23">B447</f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21"/>
        <v>0</v>
      </c>
    </row>
    <row r="448" spans="2:12" x14ac:dyDescent="0.3">
      <c r="B448" s="28" t="str">
        <f t="shared" ca="1" si="22"/>
        <v/>
      </c>
      <c r="C448" s="29" t="str">
        <f t="shared" ca="1" si="23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21"/>
        <v>0</v>
      </c>
    </row>
    <row r="449" spans="2:12" x14ac:dyDescent="0.3">
      <c r="B449" s="28" t="str">
        <f t="shared" ca="1" si="22"/>
        <v/>
      </c>
      <c r="C449" s="29" t="str">
        <f t="shared" ca="1" si="23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21"/>
        <v>0</v>
      </c>
    </row>
    <row r="450" spans="2:12" x14ac:dyDescent="0.3">
      <c r="B450" s="28" t="str">
        <f t="shared" ca="1" si="22"/>
        <v/>
      </c>
      <c r="C450" s="29" t="str">
        <f t="shared" ca="1" si="23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21"/>
        <v>0</v>
      </c>
    </row>
    <row r="451" spans="2:12" x14ac:dyDescent="0.3">
      <c r="B451" s="28" t="str">
        <f t="shared" ca="1" si="22"/>
        <v/>
      </c>
      <c r="C451" s="29" t="str">
        <f t="shared" ca="1" si="23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21"/>
        <v>0</v>
      </c>
    </row>
    <row r="452" spans="2:12" x14ac:dyDescent="0.3">
      <c r="B452" s="28" t="str">
        <f t="shared" ca="1" si="22"/>
        <v/>
      </c>
      <c r="C452" s="29" t="str">
        <f t="shared" ca="1" si="23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21"/>
        <v>0</v>
      </c>
    </row>
    <row r="453" spans="2:12" x14ac:dyDescent="0.3">
      <c r="B453" s="28" t="str">
        <f t="shared" ca="1" si="22"/>
        <v/>
      </c>
      <c r="C453" s="29" t="str">
        <f t="shared" ca="1" si="23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21"/>
        <v>0</v>
      </c>
    </row>
    <row r="454" spans="2:12" x14ac:dyDescent="0.3">
      <c r="B454" s="28" t="str">
        <f t="shared" ca="1" si="22"/>
        <v/>
      </c>
      <c r="C454" s="29" t="str">
        <f t="shared" ca="1" si="23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21"/>
        <v>0</v>
      </c>
    </row>
    <row r="455" spans="2:12" x14ac:dyDescent="0.3">
      <c r="B455" s="28" t="str">
        <f t="shared" ca="1" si="22"/>
        <v/>
      </c>
      <c r="C455" s="29" t="str">
        <f t="shared" ca="1" si="23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21"/>
        <v>0</v>
      </c>
    </row>
    <row r="456" spans="2:12" x14ac:dyDescent="0.3">
      <c r="B456" s="28" t="str">
        <f t="shared" ca="1" si="22"/>
        <v/>
      </c>
      <c r="C456" s="29" t="str">
        <f t="shared" ca="1" si="23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21"/>
        <v>0</v>
      </c>
    </row>
    <row r="457" spans="2:12" x14ac:dyDescent="0.3">
      <c r="B457" s="28" t="str">
        <f t="shared" ca="1" si="22"/>
        <v/>
      </c>
      <c r="C457" s="29" t="str">
        <f t="shared" ca="1" si="23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21"/>
        <v>0</v>
      </c>
    </row>
    <row r="458" spans="2:12" x14ac:dyDescent="0.3">
      <c r="B458" s="28" t="str">
        <f t="shared" ca="1" si="22"/>
        <v/>
      </c>
      <c r="C458" s="29" t="str">
        <f t="shared" ca="1" si="23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21"/>
        <v>0</v>
      </c>
    </row>
    <row r="459" spans="2:12" x14ac:dyDescent="0.3">
      <c r="B459" s="28" t="str">
        <f t="shared" ca="1" si="22"/>
        <v/>
      </c>
      <c r="C459" s="29" t="str">
        <f t="shared" ca="1" si="23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1"/>
        <v>0</v>
      </c>
    </row>
    <row r="507" spans="2:12" x14ac:dyDescent="0.3">
      <c r="B507" s="28" t="str">
        <f t="shared" ca="1" si="22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1"/>
        <v>0</v>
      </c>
    </row>
    <row r="508" spans="2:12" x14ac:dyDescent="0.3">
      <c r="B508" s="28" t="str">
        <f t="shared" ca="1" si="22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1"/>
        <v>0</v>
      </c>
    </row>
    <row r="509" spans="2:12" x14ac:dyDescent="0.3">
      <c r="B509" s="28" t="str">
        <f t="shared" ca="1" si="22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1"/>
        <v>0</v>
      </c>
    </row>
    <row r="510" spans="2:12" x14ac:dyDescent="0.3">
      <c r="B510" s="28" t="str">
        <f t="shared" ca="1" si="22"/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ref="L510:L573" si="24">J510-I510-K510</f>
        <v>0</v>
      </c>
    </row>
    <row r="511" spans="2:12" x14ac:dyDescent="0.3">
      <c r="B511" s="28" t="str">
        <f t="shared" ref="B511:B574" ca="1" si="25">IF(D511&lt;&gt;"",DATE(Jahr,_xlfn.SHEET()-2,D511),"")</f>
        <v/>
      </c>
      <c r="C511" s="29" t="str">
        <f t="shared" ref="C511:C574" ca="1" si="26">B511</f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4"/>
        <v>0</v>
      </c>
    </row>
    <row r="512" spans="2:12" x14ac:dyDescent="0.3">
      <c r="B512" s="28" t="str">
        <f t="shared" ca="1" si="25"/>
        <v/>
      </c>
      <c r="C512" s="29" t="str">
        <f t="shared" ca="1" si="26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4"/>
        <v>0</v>
      </c>
    </row>
    <row r="513" spans="2:12" x14ac:dyDescent="0.3">
      <c r="B513" s="28" t="str">
        <f t="shared" ca="1" si="25"/>
        <v/>
      </c>
      <c r="C513" s="29" t="str">
        <f t="shared" ca="1" si="26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4"/>
        <v>0</v>
      </c>
    </row>
    <row r="514" spans="2:12" x14ac:dyDescent="0.3">
      <c r="B514" s="28" t="str">
        <f t="shared" ca="1" si="25"/>
        <v/>
      </c>
      <c r="C514" s="29" t="str">
        <f t="shared" ca="1" si="26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4"/>
        <v>0</v>
      </c>
    </row>
    <row r="515" spans="2:12" x14ac:dyDescent="0.3">
      <c r="B515" s="28" t="str">
        <f t="shared" ca="1" si="25"/>
        <v/>
      </c>
      <c r="C515" s="29" t="str">
        <f t="shared" ca="1" si="26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4"/>
        <v>0</v>
      </c>
    </row>
    <row r="516" spans="2:12" x14ac:dyDescent="0.3">
      <c r="B516" s="28" t="str">
        <f t="shared" ca="1" si="25"/>
        <v/>
      </c>
      <c r="C516" s="29" t="str">
        <f t="shared" ca="1" si="26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4"/>
        <v>0</v>
      </c>
    </row>
    <row r="517" spans="2:12" x14ac:dyDescent="0.3">
      <c r="B517" s="28" t="str">
        <f t="shared" ca="1" si="25"/>
        <v/>
      </c>
      <c r="C517" s="29" t="str">
        <f t="shared" ca="1" si="26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4"/>
        <v>0</v>
      </c>
    </row>
    <row r="518" spans="2:12" x14ac:dyDescent="0.3">
      <c r="B518" s="28" t="str">
        <f t="shared" ca="1" si="25"/>
        <v/>
      </c>
      <c r="C518" s="29" t="str">
        <f t="shared" ca="1" si="26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4"/>
        <v>0</v>
      </c>
    </row>
    <row r="519" spans="2:12" x14ac:dyDescent="0.3">
      <c r="B519" s="28" t="str">
        <f t="shared" ca="1" si="25"/>
        <v/>
      </c>
      <c r="C519" s="29" t="str">
        <f t="shared" ca="1" si="26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4"/>
        <v>0</v>
      </c>
    </row>
    <row r="520" spans="2:12" x14ac:dyDescent="0.3">
      <c r="B520" s="28" t="str">
        <f t="shared" ca="1" si="25"/>
        <v/>
      </c>
      <c r="C520" s="29" t="str">
        <f t="shared" ca="1" si="26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4"/>
        <v>0</v>
      </c>
    </row>
    <row r="521" spans="2:12" x14ac:dyDescent="0.3">
      <c r="B521" s="28" t="str">
        <f t="shared" ca="1" si="25"/>
        <v/>
      </c>
      <c r="C521" s="29" t="str">
        <f t="shared" ca="1" si="26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4"/>
        <v>0</v>
      </c>
    </row>
    <row r="522" spans="2:12" x14ac:dyDescent="0.3">
      <c r="B522" s="28" t="str">
        <f t="shared" ca="1" si="25"/>
        <v/>
      </c>
      <c r="C522" s="29" t="str">
        <f t="shared" ca="1" si="26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4"/>
        <v>0</v>
      </c>
    </row>
    <row r="523" spans="2:12" x14ac:dyDescent="0.3">
      <c r="B523" s="28" t="str">
        <f t="shared" ca="1" si="25"/>
        <v/>
      </c>
      <c r="C523" s="29" t="str">
        <f t="shared" ca="1" si="26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4"/>
        <v>0</v>
      </c>
    </row>
    <row r="571" spans="2:12" x14ac:dyDescent="0.3">
      <c r="B571" s="28" t="str">
        <f t="shared" ca="1" si="25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4"/>
        <v>0</v>
      </c>
    </row>
    <row r="572" spans="2:12" x14ac:dyDescent="0.3">
      <c r="B572" s="28" t="str">
        <f t="shared" ca="1" si="25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4"/>
        <v>0</v>
      </c>
    </row>
    <row r="573" spans="2:12" x14ac:dyDescent="0.3">
      <c r="B573" s="28" t="str">
        <f t="shared" ca="1" si="25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4"/>
        <v>0</v>
      </c>
    </row>
    <row r="574" spans="2:12" x14ac:dyDescent="0.3">
      <c r="B574" s="28" t="str">
        <f t="shared" ca="1" si="25"/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ref="L574:L637" si="27">J574-I574-K574</f>
        <v>0</v>
      </c>
    </row>
    <row r="575" spans="2:12" x14ac:dyDescent="0.3">
      <c r="B575" s="28" t="str">
        <f t="shared" ref="B575:B638" ca="1" si="28">IF(D575&lt;&gt;"",DATE(Jahr,_xlfn.SHEET()-2,D575),"")</f>
        <v/>
      </c>
      <c r="C575" s="29" t="str">
        <f t="shared" ref="C575:C638" ca="1" si="29">B575</f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7"/>
        <v>0</v>
      </c>
    </row>
    <row r="576" spans="2:12" x14ac:dyDescent="0.3">
      <c r="B576" s="28" t="str">
        <f t="shared" ca="1" si="28"/>
        <v/>
      </c>
      <c r="C576" s="29" t="str">
        <f t="shared" ca="1" si="29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7"/>
        <v>0</v>
      </c>
    </row>
    <row r="577" spans="2:12" x14ac:dyDescent="0.3">
      <c r="B577" s="28" t="str">
        <f t="shared" ca="1" si="28"/>
        <v/>
      </c>
      <c r="C577" s="29" t="str">
        <f t="shared" ca="1" si="29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7"/>
        <v>0</v>
      </c>
    </row>
    <row r="578" spans="2:12" x14ac:dyDescent="0.3">
      <c r="B578" s="28" t="str">
        <f t="shared" ca="1" si="28"/>
        <v/>
      </c>
      <c r="C578" s="29" t="str">
        <f t="shared" ca="1" si="29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7"/>
        <v>0</v>
      </c>
    </row>
    <row r="579" spans="2:12" x14ac:dyDescent="0.3">
      <c r="B579" s="28" t="str">
        <f t="shared" ca="1" si="28"/>
        <v/>
      </c>
      <c r="C579" s="29" t="str">
        <f t="shared" ca="1" si="29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7"/>
        <v>0</v>
      </c>
    </row>
    <row r="580" spans="2:12" x14ac:dyDescent="0.3">
      <c r="B580" s="28" t="str">
        <f t="shared" ca="1" si="28"/>
        <v/>
      </c>
      <c r="C580" s="29" t="str">
        <f t="shared" ca="1" si="29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7"/>
        <v>0</v>
      </c>
    </row>
    <row r="581" spans="2:12" x14ac:dyDescent="0.3">
      <c r="B581" s="28" t="str">
        <f t="shared" ca="1" si="28"/>
        <v/>
      </c>
      <c r="C581" s="29" t="str">
        <f t="shared" ca="1" si="29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7"/>
        <v>0</v>
      </c>
    </row>
    <row r="582" spans="2:12" x14ac:dyDescent="0.3">
      <c r="B582" s="28" t="str">
        <f t="shared" ca="1" si="28"/>
        <v/>
      </c>
      <c r="C582" s="29" t="str">
        <f t="shared" ca="1" si="29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7"/>
        <v>0</v>
      </c>
    </row>
    <row r="583" spans="2:12" x14ac:dyDescent="0.3">
      <c r="B583" s="28" t="str">
        <f t="shared" ca="1" si="28"/>
        <v/>
      </c>
      <c r="C583" s="29" t="str">
        <f t="shared" ca="1" si="29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7"/>
        <v>0</v>
      </c>
    </row>
    <row r="584" spans="2:12" x14ac:dyDescent="0.3">
      <c r="B584" s="28" t="str">
        <f t="shared" ca="1" si="28"/>
        <v/>
      </c>
      <c r="C584" s="29" t="str">
        <f t="shared" ca="1" si="29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7"/>
        <v>0</v>
      </c>
    </row>
    <row r="585" spans="2:12" x14ac:dyDescent="0.3">
      <c r="B585" s="28" t="str">
        <f t="shared" ca="1" si="28"/>
        <v/>
      </c>
      <c r="C585" s="29" t="str">
        <f t="shared" ca="1" si="29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7"/>
        <v>0</v>
      </c>
    </row>
    <row r="586" spans="2:12" x14ac:dyDescent="0.3">
      <c r="B586" s="28" t="str">
        <f t="shared" ca="1" si="28"/>
        <v/>
      </c>
      <c r="C586" s="29" t="str">
        <f t="shared" ca="1" si="29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7"/>
        <v>0</v>
      </c>
    </row>
    <row r="587" spans="2:12" x14ac:dyDescent="0.3">
      <c r="B587" s="28" t="str">
        <f t="shared" ca="1" si="28"/>
        <v/>
      </c>
      <c r="C587" s="29" t="str">
        <f t="shared" ca="1" si="29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7"/>
        <v>0</v>
      </c>
    </row>
    <row r="635" spans="2:12" x14ac:dyDescent="0.3">
      <c r="B635" s="28" t="str">
        <f t="shared" ca="1" si="28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7"/>
        <v>0</v>
      </c>
    </row>
    <row r="636" spans="2:12" x14ac:dyDescent="0.3">
      <c r="B636" s="28" t="str">
        <f t="shared" ca="1" si="28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7"/>
        <v>0</v>
      </c>
    </row>
    <row r="637" spans="2:12" x14ac:dyDescent="0.3">
      <c r="B637" s="28" t="str">
        <f t="shared" ca="1" si="28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7"/>
        <v>0</v>
      </c>
    </row>
    <row r="638" spans="2:12" x14ac:dyDescent="0.3">
      <c r="B638" s="28" t="str">
        <f t="shared" ca="1" si="28"/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ref="L638:L701" si="30">J638-I638-K638</f>
        <v>0</v>
      </c>
    </row>
    <row r="639" spans="2:12" x14ac:dyDescent="0.3">
      <c r="B639" s="28" t="str">
        <f t="shared" ref="B639:B702" ca="1" si="31">IF(D639&lt;&gt;"",DATE(Jahr,_xlfn.SHEET()-2,D639),"")</f>
        <v/>
      </c>
      <c r="C639" s="29" t="str">
        <f t="shared" ref="C639:C702" ca="1" si="32">B639</f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30"/>
        <v>0</v>
      </c>
    </row>
    <row r="640" spans="2:12" x14ac:dyDescent="0.3">
      <c r="B640" s="28" t="str">
        <f t="shared" ca="1" si="31"/>
        <v/>
      </c>
      <c r="C640" s="29" t="str">
        <f t="shared" ca="1" si="32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30"/>
        <v>0</v>
      </c>
    </row>
    <row r="641" spans="2:12" x14ac:dyDescent="0.3">
      <c r="B641" s="28" t="str">
        <f t="shared" ca="1" si="31"/>
        <v/>
      </c>
      <c r="C641" s="29" t="str">
        <f t="shared" ca="1" si="32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30"/>
        <v>0</v>
      </c>
    </row>
    <row r="642" spans="2:12" x14ac:dyDescent="0.3">
      <c r="B642" s="28" t="str">
        <f t="shared" ca="1" si="31"/>
        <v/>
      </c>
      <c r="C642" s="29" t="str">
        <f t="shared" ca="1" si="32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30"/>
        <v>0</v>
      </c>
    </row>
    <row r="643" spans="2:12" x14ac:dyDescent="0.3">
      <c r="B643" s="28" t="str">
        <f t="shared" ca="1" si="31"/>
        <v/>
      </c>
      <c r="C643" s="29" t="str">
        <f t="shared" ca="1" si="32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30"/>
        <v>0</v>
      </c>
    </row>
    <row r="644" spans="2:12" x14ac:dyDescent="0.3">
      <c r="B644" s="28" t="str">
        <f t="shared" ca="1" si="31"/>
        <v/>
      </c>
      <c r="C644" s="29" t="str">
        <f t="shared" ca="1" si="32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30"/>
        <v>0</v>
      </c>
    </row>
    <row r="645" spans="2:12" x14ac:dyDescent="0.3">
      <c r="B645" s="28" t="str">
        <f t="shared" ca="1" si="31"/>
        <v/>
      </c>
      <c r="C645" s="29" t="str">
        <f t="shared" ca="1" si="32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30"/>
        <v>0</v>
      </c>
    </row>
    <row r="646" spans="2:12" x14ac:dyDescent="0.3">
      <c r="B646" s="28" t="str">
        <f t="shared" ca="1" si="31"/>
        <v/>
      </c>
      <c r="C646" s="29" t="str">
        <f t="shared" ca="1" si="32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30"/>
        <v>0</v>
      </c>
    </row>
    <row r="647" spans="2:12" x14ac:dyDescent="0.3">
      <c r="B647" s="28" t="str">
        <f t="shared" ca="1" si="31"/>
        <v/>
      </c>
      <c r="C647" s="29" t="str">
        <f t="shared" ca="1" si="32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30"/>
        <v>0</v>
      </c>
    </row>
    <row r="648" spans="2:12" x14ac:dyDescent="0.3">
      <c r="B648" s="28" t="str">
        <f t="shared" ca="1" si="31"/>
        <v/>
      </c>
      <c r="C648" s="29" t="str">
        <f t="shared" ca="1" si="32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30"/>
        <v>0</v>
      </c>
    </row>
    <row r="649" spans="2:12" x14ac:dyDescent="0.3">
      <c r="B649" s="28" t="str">
        <f t="shared" ca="1" si="31"/>
        <v/>
      </c>
      <c r="C649" s="29" t="str">
        <f t="shared" ca="1" si="32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30"/>
        <v>0</v>
      </c>
    </row>
    <row r="650" spans="2:12" x14ac:dyDescent="0.3">
      <c r="B650" s="28" t="str">
        <f t="shared" ca="1" si="31"/>
        <v/>
      </c>
      <c r="C650" s="29" t="str">
        <f t="shared" ca="1" si="32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30"/>
        <v>0</v>
      </c>
    </row>
    <row r="651" spans="2:12" x14ac:dyDescent="0.3">
      <c r="B651" s="28" t="str">
        <f t="shared" ca="1" si="31"/>
        <v/>
      </c>
      <c r="C651" s="29" t="str">
        <f t="shared" ca="1" si="32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0"/>
        <v>0</v>
      </c>
    </row>
    <row r="699" spans="2:12" x14ac:dyDescent="0.3">
      <c r="B699" s="28" t="str">
        <f t="shared" ca="1" si="31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0"/>
        <v>0</v>
      </c>
    </row>
    <row r="700" spans="2:12" x14ac:dyDescent="0.3">
      <c r="B700" s="28" t="str">
        <f t="shared" ca="1" si="31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0"/>
        <v>0</v>
      </c>
    </row>
    <row r="701" spans="2:12" x14ac:dyDescent="0.3">
      <c r="B701" s="28" t="str">
        <f t="shared" ca="1" si="31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0"/>
        <v>0</v>
      </c>
    </row>
    <row r="702" spans="2:12" x14ac:dyDescent="0.3">
      <c r="B702" s="28" t="str">
        <f t="shared" ca="1" si="31"/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ref="L702:L765" si="33">J702-I702-K702</f>
        <v>0</v>
      </c>
    </row>
    <row r="703" spans="2:12" x14ac:dyDescent="0.3">
      <c r="B703" s="28" t="str">
        <f t="shared" ref="B703:B766" ca="1" si="34">IF(D703&lt;&gt;"",DATE(Jahr,_xlfn.SHEET()-2,D703),"")</f>
        <v/>
      </c>
      <c r="C703" s="29" t="str">
        <f t="shared" ref="C703:C766" ca="1" si="35">B703</f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3"/>
        <v>0</v>
      </c>
    </row>
    <row r="704" spans="2:12" x14ac:dyDescent="0.3">
      <c r="B704" s="28" t="str">
        <f t="shared" ca="1" si="34"/>
        <v/>
      </c>
      <c r="C704" s="29" t="str">
        <f t="shared" ca="1" si="35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3"/>
        <v>0</v>
      </c>
    </row>
    <row r="705" spans="2:12" x14ac:dyDescent="0.3">
      <c r="B705" s="28" t="str">
        <f t="shared" ca="1" si="34"/>
        <v/>
      </c>
      <c r="C705" s="29" t="str">
        <f t="shared" ca="1" si="35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3"/>
        <v>0</v>
      </c>
    </row>
    <row r="706" spans="2:12" x14ac:dyDescent="0.3">
      <c r="B706" s="28" t="str">
        <f t="shared" ca="1" si="34"/>
        <v/>
      </c>
      <c r="C706" s="29" t="str">
        <f t="shared" ca="1" si="35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3"/>
        <v>0</v>
      </c>
    </row>
    <row r="707" spans="2:12" x14ac:dyDescent="0.3">
      <c r="B707" s="28" t="str">
        <f t="shared" ca="1" si="34"/>
        <v/>
      </c>
      <c r="C707" s="29" t="str">
        <f t="shared" ca="1" si="35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3"/>
        <v>0</v>
      </c>
    </row>
    <row r="708" spans="2:12" x14ac:dyDescent="0.3">
      <c r="B708" s="28" t="str">
        <f t="shared" ca="1" si="34"/>
        <v/>
      </c>
      <c r="C708" s="29" t="str">
        <f t="shared" ca="1" si="35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3"/>
        <v>0</v>
      </c>
    </row>
    <row r="709" spans="2:12" x14ac:dyDescent="0.3">
      <c r="B709" s="28" t="str">
        <f t="shared" ca="1" si="34"/>
        <v/>
      </c>
      <c r="C709" s="29" t="str">
        <f t="shared" ca="1" si="35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3"/>
        <v>0</v>
      </c>
    </row>
    <row r="710" spans="2:12" x14ac:dyDescent="0.3">
      <c r="B710" s="28" t="str">
        <f t="shared" ca="1" si="34"/>
        <v/>
      </c>
      <c r="C710" s="29" t="str">
        <f t="shared" ca="1" si="35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3"/>
        <v>0</v>
      </c>
    </row>
    <row r="711" spans="2:12" x14ac:dyDescent="0.3">
      <c r="B711" s="28" t="str">
        <f t="shared" ca="1" si="34"/>
        <v/>
      </c>
      <c r="C711" s="29" t="str">
        <f t="shared" ca="1" si="35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3"/>
        <v>0</v>
      </c>
    </row>
    <row r="712" spans="2:12" x14ac:dyDescent="0.3">
      <c r="B712" s="28" t="str">
        <f t="shared" ca="1" si="34"/>
        <v/>
      </c>
      <c r="C712" s="29" t="str">
        <f t="shared" ca="1" si="35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3"/>
        <v>0</v>
      </c>
    </row>
    <row r="713" spans="2:12" x14ac:dyDescent="0.3">
      <c r="B713" s="28" t="str">
        <f t="shared" ca="1" si="34"/>
        <v/>
      </c>
      <c r="C713" s="29" t="str">
        <f t="shared" ca="1" si="35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3"/>
        <v>0</v>
      </c>
    </row>
    <row r="714" spans="2:12" x14ac:dyDescent="0.3">
      <c r="B714" s="28" t="str">
        <f t="shared" ca="1" si="34"/>
        <v/>
      </c>
      <c r="C714" s="29" t="str">
        <f t="shared" ca="1" si="35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3"/>
        <v>0</v>
      </c>
    </row>
    <row r="715" spans="2:12" x14ac:dyDescent="0.3">
      <c r="B715" s="28" t="str">
        <f t="shared" ca="1" si="34"/>
        <v/>
      </c>
      <c r="C715" s="29" t="str">
        <f t="shared" ca="1" si="35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3"/>
        <v>0</v>
      </c>
    </row>
    <row r="763" spans="2:12" x14ac:dyDescent="0.3">
      <c r="B763" s="28" t="str">
        <f t="shared" ca="1" si="34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3"/>
        <v>0</v>
      </c>
    </row>
    <row r="764" spans="2:12" x14ac:dyDescent="0.3">
      <c r="B764" s="28" t="str">
        <f t="shared" ca="1" si="34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3"/>
        <v>0</v>
      </c>
    </row>
    <row r="765" spans="2:12" x14ac:dyDescent="0.3">
      <c r="B765" s="28" t="str">
        <f t="shared" ca="1" si="34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3"/>
        <v>0</v>
      </c>
    </row>
    <row r="766" spans="2:12" x14ac:dyDescent="0.3">
      <c r="B766" s="28" t="str">
        <f t="shared" ca="1" si="34"/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ref="L766:L829" si="36">J766-I766-K766</f>
        <v>0</v>
      </c>
    </row>
    <row r="767" spans="2:12" x14ac:dyDescent="0.3">
      <c r="B767" s="28" t="str">
        <f t="shared" ref="B767:B830" ca="1" si="37">IF(D767&lt;&gt;"",DATE(Jahr,_xlfn.SHEET()-2,D767),"")</f>
        <v/>
      </c>
      <c r="C767" s="29" t="str">
        <f t="shared" ref="C767:C830" ca="1" si="38">B767</f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6"/>
        <v>0</v>
      </c>
    </row>
    <row r="768" spans="2:12" x14ac:dyDescent="0.3">
      <c r="B768" s="28" t="str">
        <f t="shared" ca="1" si="37"/>
        <v/>
      </c>
      <c r="C768" s="29" t="str">
        <f t="shared" ca="1" si="38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6"/>
        <v>0</v>
      </c>
    </row>
    <row r="769" spans="2:12" x14ac:dyDescent="0.3">
      <c r="B769" s="28" t="str">
        <f t="shared" ca="1" si="37"/>
        <v/>
      </c>
      <c r="C769" s="29" t="str">
        <f t="shared" ca="1" si="38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6"/>
        <v>0</v>
      </c>
    </row>
    <row r="770" spans="2:12" x14ac:dyDescent="0.3">
      <c r="B770" s="28" t="str">
        <f t="shared" ca="1" si="37"/>
        <v/>
      </c>
      <c r="C770" s="29" t="str">
        <f t="shared" ca="1" si="38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6"/>
        <v>0</v>
      </c>
    </row>
    <row r="771" spans="2:12" x14ac:dyDescent="0.3">
      <c r="B771" s="28" t="str">
        <f t="shared" ca="1" si="37"/>
        <v/>
      </c>
      <c r="C771" s="29" t="str">
        <f t="shared" ca="1" si="38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6"/>
        <v>0</v>
      </c>
    </row>
    <row r="772" spans="2:12" x14ac:dyDescent="0.3">
      <c r="B772" s="28" t="str">
        <f t="shared" ca="1" si="37"/>
        <v/>
      </c>
      <c r="C772" s="29" t="str">
        <f t="shared" ca="1" si="38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6"/>
        <v>0</v>
      </c>
    </row>
    <row r="773" spans="2:12" x14ac:dyDescent="0.3">
      <c r="B773" s="28" t="str">
        <f t="shared" ca="1" si="37"/>
        <v/>
      </c>
      <c r="C773" s="29" t="str">
        <f t="shared" ca="1" si="38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6"/>
        <v>0</v>
      </c>
    </row>
    <row r="774" spans="2:12" x14ac:dyDescent="0.3">
      <c r="B774" s="28" t="str">
        <f t="shared" ca="1" si="37"/>
        <v/>
      </c>
      <c r="C774" s="29" t="str">
        <f t="shared" ca="1" si="38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6"/>
        <v>0</v>
      </c>
    </row>
    <row r="775" spans="2:12" x14ac:dyDescent="0.3">
      <c r="B775" s="28" t="str">
        <f t="shared" ca="1" si="37"/>
        <v/>
      </c>
      <c r="C775" s="29" t="str">
        <f t="shared" ca="1" si="38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6"/>
        <v>0</v>
      </c>
    </row>
    <row r="776" spans="2:12" x14ac:dyDescent="0.3">
      <c r="B776" s="28" t="str">
        <f t="shared" ca="1" si="37"/>
        <v/>
      </c>
      <c r="C776" s="29" t="str">
        <f t="shared" ca="1" si="38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6"/>
        <v>0</v>
      </c>
    </row>
    <row r="777" spans="2:12" x14ac:dyDescent="0.3">
      <c r="B777" s="28" t="str">
        <f t="shared" ca="1" si="37"/>
        <v/>
      </c>
      <c r="C777" s="29" t="str">
        <f t="shared" ca="1" si="38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6"/>
        <v>0</v>
      </c>
    </row>
    <row r="778" spans="2:12" x14ac:dyDescent="0.3">
      <c r="B778" s="28" t="str">
        <f t="shared" ca="1" si="37"/>
        <v/>
      </c>
      <c r="C778" s="29" t="str">
        <f t="shared" ca="1" si="38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6"/>
        <v>0</v>
      </c>
    </row>
    <row r="779" spans="2:12" x14ac:dyDescent="0.3">
      <c r="B779" s="28" t="str">
        <f t="shared" ca="1" si="37"/>
        <v/>
      </c>
      <c r="C779" s="29" t="str">
        <f t="shared" ca="1" si="38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6"/>
        <v>0</v>
      </c>
    </row>
    <row r="827" spans="2:12" x14ac:dyDescent="0.3">
      <c r="B827" s="28" t="str">
        <f t="shared" ca="1" si="37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6"/>
        <v>0</v>
      </c>
    </row>
    <row r="828" spans="2:12" x14ac:dyDescent="0.3">
      <c r="B828" s="28" t="str">
        <f t="shared" ca="1" si="37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6"/>
        <v>0</v>
      </c>
    </row>
    <row r="829" spans="2:12" x14ac:dyDescent="0.3">
      <c r="B829" s="28" t="str">
        <f t="shared" ca="1" si="37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6"/>
        <v>0</v>
      </c>
    </row>
    <row r="830" spans="2:12" x14ac:dyDescent="0.3">
      <c r="B830" s="28" t="str">
        <f t="shared" ca="1" si="37"/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ref="L830:L893" si="39">J830-I830-K830</f>
        <v>0</v>
      </c>
    </row>
    <row r="831" spans="2:12" x14ac:dyDescent="0.3">
      <c r="B831" s="28" t="str">
        <f t="shared" ref="B831:B894" ca="1" si="40">IF(D831&lt;&gt;"",DATE(Jahr,_xlfn.SHEET()-2,D831),"")</f>
        <v/>
      </c>
      <c r="C831" s="29" t="str">
        <f t="shared" ref="C831:C894" ca="1" si="41">B831</f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9"/>
        <v>0</v>
      </c>
    </row>
    <row r="832" spans="2:12" x14ac:dyDescent="0.3">
      <c r="B832" s="28" t="str">
        <f t="shared" ca="1" si="40"/>
        <v/>
      </c>
      <c r="C832" s="29" t="str">
        <f t="shared" ca="1" si="41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9"/>
        <v>0</v>
      </c>
    </row>
    <row r="833" spans="2:12" x14ac:dyDescent="0.3">
      <c r="B833" s="28" t="str">
        <f t="shared" ca="1" si="40"/>
        <v/>
      </c>
      <c r="C833" s="29" t="str">
        <f t="shared" ca="1" si="41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9"/>
        <v>0</v>
      </c>
    </row>
    <row r="834" spans="2:12" x14ac:dyDescent="0.3">
      <c r="B834" s="28" t="str">
        <f t="shared" ca="1" si="40"/>
        <v/>
      </c>
      <c r="C834" s="29" t="str">
        <f t="shared" ca="1" si="41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9"/>
        <v>0</v>
      </c>
    </row>
    <row r="835" spans="2:12" x14ac:dyDescent="0.3">
      <c r="B835" s="28" t="str">
        <f t="shared" ca="1" si="40"/>
        <v/>
      </c>
      <c r="C835" s="29" t="str">
        <f t="shared" ca="1" si="41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9"/>
        <v>0</v>
      </c>
    </row>
    <row r="836" spans="2:12" x14ac:dyDescent="0.3">
      <c r="B836" s="28" t="str">
        <f t="shared" ca="1" si="40"/>
        <v/>
      </c>
      <c r="C836" s="29" t="str">
        <f t="shared" ca="1" si="41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9"/>
        <v>0</v>
      </c>
    </row>
    <row r="837" spans="2:12" x14ac:dyDescent="0.3">
      <c r="B837" s="28" t="str">
        <f t="shared" ca="1" si="40"/>
        <v/>
      </c>
      <c r="C837" s="29" t="str">
        <f t="shared" ca="1" si="41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9"/>
        <v>0</v>
      </c>
    </row>
    <row r="838" spans="2:12" x14ac:dyDescent="0.3">
      <c r="B838" s="28" t="str">
        <f t="shared" ca="1" si="40"/>
        <v/>
      </c>
      <c r="C838" s="29" t="str">
        <f t="shared" ca="1" si="41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9"/>
        <v>0</v>
      </c>
    </row>
    <row r="839" spans="2:12" x14ac:dyDescent="0.3">
      <c r="B839" s="28" t="str">
        <f t="shared" ca="1" si="40"/>
        <v/>
      </c>
      <c r="C839" s="29" t="str">
        <f t="shared" ca="1" si="41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9"/>
        <v>0</v>
      </c>
    </row>
    <row r="840" spans="2:12" x14ac:dyDescent="0.3">
      <c r="B840" s="28" t="str">
        <f t="shared" ca="1" si="40"/>
        <v/>
      </c>
      <c r="C840" s="29" t="str">
        <f t="shared" ca="1" si="41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9"/>
        <v>0</v>
      </c>
    </row>
    <row r="841" spans="2:12" x14ac:dyDescent="0.3">
      <c r="B841" s="28" t="str">
        <f t="shared" ca="1" si="40"/>
        <v/>
      </c>
      <c r="C841" s="29" t="str">
        <f t="shared" ca="1" si="41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9"/>
        <v>0</v>
      </c>
    </row>
    <row r="842" spans="2:12" x14ac:dyDescent="0.3">
      <c r="B842" s="28" t="str">
        <f t="shared" ca="1" si="40"/>
        <v/>
      </c>
      <c r="C842" s="29" t="str">
        <f t="shared" ca="1" si="41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39"/>
        <v>0</v>
      </c>
    </row>
    <row r="843" spans="2:12" x14ac:dyDescent="0.3">
      <c r="B843" s="28" t="str">
        <f t="shared" ca="1" si="40"/>
        <v/>
      </c>
      <c r="C843" s="29" t="str">
        <f t="shared" ca="1" si="41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39"/>
        <v>0</v>
      </c>
    </row>
    <row r="891" spans="2:12" x14ac:dyDescent="0.3">
      <c r="B891" s="28" t="str">
        <f t="shared" ca="1" si="40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39"/>
        <v>0</v>
      </c>
    </row>
    <row r="892" spans="2:12" x14ac:dyDescent="0.3">
      <c r="B892" s="28" t="str">
        <f t="shared" ca="1" si="40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39"/>
        <v>0</v>
      </c>
    </row>
    <row r="893" spans="2:12" x14ac:dyDescent="0.3">
      <c r="B893" s="28" t="str">
        <f t="shared" ca="1" si="40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39"/>
        <v>0</v>
      </c>
    </row>
    <row r="894" spans="2:12" x14ac:dyDescent="0.3">
      <c r="B894" s="28" t="str">
        <f t="shared" ca="1" si="40"/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ref="L894:L957" si="42">J894-I894-K894</f>
        <v>0</v>
      </c>
    </row>
    <row r="895" spans="2:12" x14ac:dyDescent="0.3">
      <c r="B895" s="28" t="str">
        <f t="shared" ref="B895:B958" ca="1" si="43">IF(D895&lt;&gt;"",DATE(Jahr,_xlfn.SHEET()-2,D895),"")</f>
        <v/>
      </c>
      <c r="C895" s="29" t="str">
        <f t="shared" ref="C895:C958" ca="1" si="44">B895</f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42"/>
        <v>0</v>
      </c>
    </row>
    <row r="896" spans="2:12" x14ac:dyDescent="0.3">
      <c r="B896" s="28" t="str">
        <f t="shared" ca="1" si="43"/>
        <v/>
      </c>
      <c r="C896" s="29" t="str">
        <f t="shared" ca="1" si="44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42"/>
        <v>0</v>
      </c>
    </row>
    <row r="897" spans="2:12" x14ac:dyDescent="0.3">
      <c r="B897" s="28" t="str">
        <f t="shared" ca="1" si="43"/>
        <v/>
      </c>
      <c r="C897" s="29" t="str">
        <f t="shared" ca="1" si="44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42"/>
        <v>0</v>
      </c>
    </row>
    <row r="898" spans="2:12" x14ac:dyDescent="0.3">
      <c r="B898" s="28" t="str">
        <f t="shared" ca="1" si="43"/>
        <v/>
      </c>
      <c r="C898" s="29" t="str">
        <f t="shared" ca="1" si="44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42"/>
        <v>0</v>
      </c>
    </row>
    <row r="899" spans="2:12" x14ac:dyDescent="0.3">
      <c r="B899" s="28" t="str">
        <f t="shared" ca="1" si="43"/>
        <v/>
      </c>
      <c r="C899" s="29" t="str">
        <f t="shared" ca="1" si="44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42"/>
        <v>0</v>
      </c>
    </row>
    <row r="900" spans="2:12" x14ac:dyDescent="0.3">
      <c r="B900" s="28" t="str">
        <f t="shared" ca="1" si="43"/>
        <v/>
      </c>
      <c r="C900" s="29" t="str">
        <f t="shared" ca="1" si="44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42"/>
        <v>0</v>
      </c>
    </row>
    <row r="901" spans="2:12" x14ac:dyDescent="0.3">
      <c r="B901" s="28" t="str">
        <f t="shared" ca="1" si="43"/>
        <v/>
      </c>
      <c r="C901" s="29" t="str">
        <f t="shared" ca="1" si="44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42"/>
        <v>0</v>
      </c>
    </row>
    <row r="902" spans="2:12" x14ac:dyDescent="0.3">
      <c r="B902" s="28" t="str">
        <f t="shared" ca="1" si="43"/>
        <v/>
      </c>
      <c r="C902" s="29" t="str">
        <f t="shared" ca="1" si="44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42"/>
        <v>0</v>
      </c>
    </row>
    <row r="903" spans="2:12" x14ac:dyDescent="0.3">
      <c r="B903" s="28" t="str">
        <f t="shared" ca="1" si="43"/>
        <v/>
      </c>
      <c r="C903" s="29" t="str">
        <f t="shared" ca="1" si="44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42"/>
        <v>0</v>
      </c>
    </row>
    <row r="904" spans="2:12" x14ac:dyDescent="0.3">
      <c r="B904" s="28" t="str">
        <f t="shared" ca="1" si="43"/>
        <v/>
      </c>
      <c r="C904" s="29" t="str">
        <f t="shared" ca="1" si="44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42"/>
        <v>0</v>
      </c>
    </row>
    <row r="905" spans="2:12" x14ac:dyDescent="0.3">
      <c r="B905" s="28" t="str">
        <f t="shared" ca="1" si="43"/>
        <v/>
      </c>
      <c r="C905" s="29" t="str">
        <f t="shared" ca="1" si="44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42"/>
        <v>0</v>
      </c>
    </row>
    <row r="906" spans="2:12" x14ac:dyDescent="0.3">
      <c r="B906" s="28" t="str">
        <f t="shared" ca="1" si="43"/>
        <v/>
      </c>
      <c r="C906" s="29" t="str">
        <f t="shared" ca="1" si="44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42"/>
        <v>0</v>
      </c>
    </row>
    <row r="907" spans="2:12" x14ac:dyDescent="0.3">
      <c r="B907" s="28" t="str">
        <f t="shared" ca="1" si="43"/>
        <v/>
      </c>
      <c r="C907" s="29" t="str">
        <f t="shared" ca="1" si="44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2"/>
        <v>0</v>
      </c>
    </row>
    <row r="955" spans="2:12" x14ac:dyDescent="0.3">
      <c r="B955" s="28" t="str">
        <f t="shared" ca="1" si="43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2"/>
        <v>0</v>
      </c>
    </row>
    <row r="956" spans="2:12" x14ac:dyDescent="0.3">
      <c r="B956" s="28" t="str">
        <f t="shared" ca="1" si="43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2"/>
        <v>0</v>
      </c>
    </row>
    <row r="957" spans="2:12" x14ac:dyDescent="0.3">
      <c r="B957" s="28" t="str">
        <f t="shared" ca="1" si="43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2"/>
        <v>0</v>
      </c>
    </row>
    <row r="958" spans="2:12" x14ac:dyDescent="0.3">
      <c r="B958" s="28" t="str">
        <f t="shared" ca="1" si="43"/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ref="L958:L987" si="45">J958-I958-K958</f>
        <v>0</v>
      </c>
    </row>
    <row r="959" spans="2:12" x14ac:dyDescent="0.3">
      <c r="B959" s="28" t="str">
        <f t="shared" ref="B959:B987" ca="1" si="46">IF(D959&lt;&gt;"",DATE(Jahr,_xlfn.SHEET()-2,D959),"")</f>
        <v/>
      </c>
      <c r="C959" s="29" t="str">
        <f t="shared" ref="C959:C987" ca="1" si="47">B959</f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5"/>
        <v>0</v>
      </c>
    </row>
    <row r="960" spans="2:12" x14ac:dyDescent="0.3">
      <c r="B960" s="28" t="str">
        <f t="shared" ca="1" si="46"/>
        <v/>
      </c>
      <c r="C960" s="29" t="str">
        <f t="shared" ca="1" si="47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5"/>
        <v>0</v>
      </c>
    </row>
    <row r="961" spans="2:12" x14ac:dyDescent="0.3">
      <c r="B961" s="28" t="str">
        <f t="shared" ca="1" si="46"/>
        <v/>
      </c>
      <c r="C961" s="29" t="str">
        <f t="shared" ca="1" si="47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5"/>
        <v>0</v>
      </c>
    </row>
    <row r="962" spans="2:12" x14ac:dyDescent="0.3">
      <c r="B962" s="28" t="str">
        <f t="shared" ca="1" si="46"/>
        <v/>
      </c>
      <c r="C962" s="29" t="str">
        <f t="shared" ca="1" si="47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5"/>
        <v>0</v>
      </c>
    </row>
    <row r="963" spans="2:12" x14ac:dyDescent="0.3">
      <c r="B963" s="28" t="str">
        <f t="shared" ca="1" si="46"/>
        <v/>
      </c>
      <c r="C963" s="29" t="str">
        <f t="shared" ca="1" si="47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5"/>
        <v>0</v>
      </c>
    </row>
    <row r="964" spans="2:12" x14ac:dyDescent="0.3">
      <c r="B964" s="28" t="str">
        <f t="shared" ca="1" si="46"/>
        <v/>
      </c>
      <c r="C964" s="29" t="str">
        <f t="shared" ca="1" si="47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5"/>
        <v>0</v>
      </c>
    </row>
    <row r="965" spans="2:12" x14ac:dyDescent="0.3">
      <c r="B965" s="28" t="str">
        <f t="shared" ca="1" si="46"/>
        <v/>
      </c>
      <c r="C965" s="29" t="str">
        <f t="shared" ca="1" si="47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5"/>
        <v>0</v>
      </c>
    </row>
    <row r="966" spans="2:12" x14ac:dyDescent="0.3">
      <c r="B966" s="28" t="str">
        <f t="shared" ca="1" si="46"/>
        <v/>
      </c>
      <c r="C966" s="29" t="str">
        <f t="shared" ca="1" si="47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5"/>
        <v>0</v>
      </c>
    </row>
    <row r="967" spans="2:12" x14ac:dyDescent="0.3">
      <c r="B967" s="28" t="str">
        <f t="shared" ca="1" si="46"/>
        <v/>
      </c>
      <c r="C967" s="29" t="str">
        <f t="shared" ca="1" si="47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5"/>
        <v>0</v>
      </c>
    </row>
    <row r="968" spans="2:12" x14ac:dyDescent="0.3">
      <c r="B968" s="28" t="str">
        <f t="shared" ca="1" si="46"/>
        <v/>
      </c>
      <c r="C968" s="29" t="str">
        <f t="shared" ca="1" si="47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5"/>
        <v>0</v>
      </c>
    </row>
    <row r="969" spans="2:12" x14ac:dyDescent="0.3">
      <c r="B969" s="28" t="str">
        <f t="shared" ca="1" si="46"/>
        <v/>
      </c>
      <c r="C969" s="29" t="str">
        <f t="shared" ca="1" si="47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5"/>
        <v>0</v>
      </c>
    </row>
    <row r="970" spans="2:12" x14ac:dyDescent="0.3">
      <c r="B970" s="28" t="str">
        <f t="shared" ca="1" si="46"/>
        <v/>
      </c>
      <c r="C970" s="29" t="str">
        <f t="shared" ca="1" si="47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si="45"/>
        <v>0</v>
      </c>
    </row>
    <row r="971" spans="2:12" x14ac:dyDescent="0.3">
      <c r="B971" s="28" t="str">
        <f t="shared" ca="1" si="46"/>
        <v/>
      </c>
      <c r="C971" s="29" t="str">
        <f t="shared" ca="1" si="47"/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5"/>
        <v>0</v>
      </c>
    </row>
    <row r="972" spans="2:12" x14ac:dyDescent="0.3">
      <c r="B972" s="28" t="str">
        <f t="shared" ca="1" si="46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5"/>
        <v>0</v>
      </c>
    </row>
    <row r="973" spans="2:12" x14ac:dyDescent="0.3">
      <c r="B973" s="28" t="str">
        <f t="shared" ca="1" si="46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5"/>
        <v>0</v>
      </c>
    </row>
    <row r="974" spans="2:12" x14ac:dyDescent="0.3">
      <c r="B974" s="28" t="str">
        <f t="shared" ca="1" si="46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5"/>
        <v>0</v>
      </c>
    </row>
    <row r="975" spans="2:12" x14ac:dyDescent="0.3">
      <c r="B975" s="28" t="str">
        <f t="shared" ca="1" si="46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5"/>
        <v>0</v>
      </c>
    </row>
    <row r="976" spans="2:12" x14ac:dyDescent="0.3">
      <c r="B976" s="28" t="str">
        <f t="shared" ca="1" si="46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5"/>
        <v>0</v>
      </c>
    </row>
    <row r="977" spans="2:12" x14ac:dyDescent="0.3">
      <c r="B977" s="28" t="str">
        <f t="shared" ca="1" si="46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3" spans="2:12" x14ac:dyDescent="0.3">
      <c r="B983" s="28" t="str">
        <f t="shared" ca="1" si="46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B984" s="28" t="str">
        <f t="shared" ca="1" si="46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5"/>
        <v>0</v>
      </c>
    </row>
    <row r="985" spans="2:12" x14ac:dyDescent="0.3">
      <c r="B985" s="28" t="str">
        <f t="shared" ca="1" si="46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5"/>
        <v>0</v>
      </c>
    </row>
    <row r="986" spans="2:12" x14ac:dyDescent="0.3">
      <c r="B986" s="28" t="str">
        <f t="shared" ca="1" si="46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5"/>
        <v>0</v>
      </c>
    </row>
    <row r="987" spans="2:12" x14ac:dyDescent="0.3">
      <c r="B987" s="28" t="str">
        <f t="shared" ca="1" si="46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5"/>
        <v>0</v>
      </c>
    </row>
    <row r="988" spans="2:12" x14ac:dyDescent="0.3">
      <c r="L988" s="109"/>
    </row>
  </sheetData>
  <autoFilter ref="B8:L987" xr:uid="{00000000-0009-0000-0000-000003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87">
    <cfRule type="expression" dxfId="69" priority="1">
      <formula>AND($D9&lt;&gt;"",NOT(ISNUMBER($D9)))</formula>
    </cfRule>
    <cfRule type="expression" dxfId="68" priority="2">
      <formula>OR($D9&lt;=0,DAY(DATE(YEAR($C9),MONTH($C9)+1,1)-1) &lt;$D9)</formula>
    </cfRule>
    <cfRule type="expression" dxfId="66" priority="4">
      <formula>AND($D9&lt;&gt;"",WEEKDAY($B9,2)=6)</formula>
    </cfRule>
    <cfRule type="expression" dxfId="65" priority="5">
      <formula>AND($D9&lt;&gt;"",WEEKDAY($B9,2)=7)</formula>
    </cfRule>
    <cfRule type="expression" dxfId="64" priority="6">
      <formula>AND($D9&lt;&gt;"",WEEKDAY($B9,2)&lt;6)</formula>
    </cfRule>
  </conditionalFormatting>
  <dataValidations count="2">
    <dataValidation type="list" allowBlank="1" showInputMessage="1" showErrorMessage="1" sqref="G9:G987" xr:uid="{05346567-1273-43CE-B545-04DD22E0A98C}">
      <formula1>Arbeitspakete</formula1>
    </dataValidation>
    <dataValidation type="list" allowBlank="1" showInputMessage="1" showErrorMessage="1" sqref="F9:F987" xr:uid="{3A423913-FB37-4A11-9C04-16D4AF15C083}">
      <formula1>Projektnamen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3B8C549E-6F1E-4BE1-86EE-D70641BD9011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B9:B987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T987"/>
  <sheetViews>
    <sheetView showGridLines="0" workbookViewId="0">
      <pane xSplit="3" ySplit="8" topLeftCell="D63" activePane="bottomRight" state="frozen"/>
      <selection pane="topRight" activeCell="D1" sqref="D1"/>
      <selection pane="bottomLeft" activeCell="A9" sqref="A9"/>
      <selection pane="bottomRight" activeCell="D9" sqref="D9:K84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SUM(L9:L987)*24</f>
        <v>0</v>
      </c>
    </row>
    <row r="5" spans="2:12" x14ac:dyDescent="0.3">
      <c r="B5" t="s">
        <v>67</v>
      </c>
      <c r="D5" t="str">
        <f ca="1">TEXT("1. "&amp;_xlfn.SHEET()-2,"MMMM")</f>
        <v>März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0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62" si="0">J9-I9-K9</f>
        <v>0</v>
      </c>
    </row>
    <row r="10" spans="2:12" x14ac:dyDescent="0.3">
      <c r="B10" s="28" t="str">
        <f t="shared" ref="B10:B62" ca="1" si="1">IF(D10&lt;&gt;"",DATE(Jahr,_xlfn.SHEET()-2,D10),"")</f>
        <v/>
      </c>
      <c r="C10" s="29" t="str">
        <f t="shared" ref="C10:C62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t="shared" ca="1" si="1"/>
        <v/>
      </c>
      <c r="C11" s="29" t="str">
        <f t="shared" ca="1" si="2"/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  <c r="T27" s="88"/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  <c r="T28" s="89"/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  <c r="T29" s="89"/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  <c r="T30" s="89"/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  <c r="T31" s="89"/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  <c r="T32" s="90"/>
    </row>
    <row r="33" spans="2:12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</row>
    <row r="34" spans="2:12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</row>
    <row r="35" spans="2:12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12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</row>
    <row r="37" spans="2:12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</row>
    <row r="38" spans="2:12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</row>
    <row r="39" spans="2:12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</row>
    <row r="40" spans="2:12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0"/>
        <v>0</v>
      </c>
    </row>
    <row r="41" spans="2:12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12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0"/>
        <v>0</v>
      </c>
    </row>
    <row r="43" spans="2:12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12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12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12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12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12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ca="1">IF(D63&lt;&gt;"",DATE(Jahr,_xlfn.SHEET()-2,D63),"")</f>
        <v/>
      </c>
      <c r="C63" s="29" t="str">
        <f ca="1">B63</f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ref="L63:L125" si="3">J63-I63-K63</f>
        <v>0</v>
      </c>
    </row>
    <row r="64" spans="2:12" x14ac:dyDescent="0.3">
      <c r="B64" s="28" t="str">
        <f t="shared" ref="B64:B126" ca="1" si="4">IF(D64&lt;&gt;"",DATE(Jahr,_xlfn.SHEET()-2,D64),"")</f>
        <v/>
      </c>
      <c r="C64" s="29" t="str">
        <f t="shared" ref="C64:C126" ca="1" si="5">B64</f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3"/>
        <v>0</v>
      </c>
    </row>
    <row r="65" spans="2:12" x14ac:dyDescent="0.3">
      <c r="B65" s="28" t="str">
        <f t="shared" ca="1" si="4"/>
        <v/>
      </c>
      <c r="C65" s="29" t="str">
        <f t="shared" ca="1" si="5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3"/>
        <v>0</v>
      </c>
    </row>
    <row r="66" spans="2:12" x14ac:dyDescent="0.3">
      <c r="B66" s="28" t="str">
        <f t="shared" ca="1" si="4"/>
        <v/>
      </c>
      <c r="C66" s="29" t="str">
        <f t="shared" ca="1" si="5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3"/>
        <v>0</v>
      </c>
    </row>
    <row r="67" spans="2:12" x14ac:dyDescent="0.3">
      <c r="B67" s="28" t="str">
        <f t="shared" ca="1" si="4"/>
        <v/>
      </c>
      <c r="C67" s="29" t="str">
        <f t="shared" ca="1" si="5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3"/>
        <v>0</v>
      </c>
    </row>
    <row r="68" spans="2:12" x14ac:dyDescent="0.3">
      <c r="B68" s="28" t="str">
        <f t="shared" ca="1" si="4"/>
        <v/>
      </c>
      <c r="C68" s="29" t="str">
        <f t="shared" ca="1" si="5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3"/>
        <v>0</v>
      </c>
    </row>
    <row r="69" spans="2:12" x14ac:dyDescent="0.3">
      <c r="B69" s="28" t="str">
        <f t="shared" ca="1" si="4"/>
        <v/>
      </c>
      <c r="C69" s="29" t="str">
        <f t="shared" ca="1" si="5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3"/>
        <v>0</v>
      </c>
    </row>
    <row r="70" spans="2:12" x14ac:dyDescent="0.3">
      <c r="B70" s="28" t="str">
        <f t="shared" ca="1" si="4"/>
        <v/>
      </c>
      <c r="C70" s="29" t="str">
        <f t="shared" ca="1" si="5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3"/>
        <v>0</v>
      </c>
    </row>
    <row r="71" spans="2:12" x14ac:dyDescent="0.3">
      <c r="B71" s="28" t="str">
        <f t="shared" ca="1" si="4"/>
        <v/>
      </c>
      <c r="C71" s="29" t="str">
        <f t="shared" ca="1" si="5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3"/>
        <v>0</v>
      </c>
    </row>
    <row r="72" spans="2:12" x14ac:dyDescent="0.3">
      <c r="B72" s="28" t="str">
        <f t="shared" ca="1" si="4"/>
        <v/>
      </c>
      <c r="C72" s="29" t="str">
        <f t="shared" ca="1" si="5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3"/>
        <v>0</v>
      </c>
    </row>
    <row r="73" spans="2:12" x14ac:dyDescent="0.3">
      <c r="B73" s="28" t="str">
        <f t="shared" ca="1" si="4"/>
        <v/>
      </c>
      <c r="C73" s="29" t="str">
        <f t="shared" ca="1" si="5"/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3"/>
        <v>0</v>
      </c>
    </row>
    <row r="74" spans="2:12" x14ac:dyDescent="0.3">
      <c r="B74" s="28" t="str">
        <f t="shared" ca="1" si="4"/>
        <v/>
      </c>
      <c r="C74" s="29" t="str">
        <f t="shared" ca="1" si="5"/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3"/>
        <v>0</v>
      </c>
    </row>
    <row r="75" spans="2:12" x14ac:dyDescent="0.3">
      <c r="B75" s="28" t="str">
        <f t="shared" ca="1" si="4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3"/>
        <v>0</v>
      </c>
    </row>
    <row r="76" spans="2:12" x14ac:dyDescent="0.3">
      <c r="B76" s="28" t="str">
        <f ca="1">IF(D76&lt;&gt;"",DATE(Jahr,_xlfn.SHEET()-2,D76),"")</f>
        <v/>
      </c>
      <c r="C76" s="29" t="str">
        <f ca="1">B76</f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3"/>
        <v>0</v>
      </c>
    </row>
    <row r="77" spans="2:12" x14ac:dyDescent="0.3">
      <c r="B77" s="28" t="str">
        <f t="shared" ca="1" si="4"/>
        <v/>
      </c>
      <c r="C77" s="29" t="str">
        <f t="shared" ca="1" si="5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3"/>
        <v>0</v>
      </c>
    </row>
    <row r="78" spans="2:12" x14ac:dyDescent="0.3">
      <c r="B78" s="28" t="str">
        <f t="shared" ca="1" si="4"/>
        <v/>
      </c>
      <c r="C78" s="29" t="str">
        <f t="shared" ca="1" si="5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3"/>
        <v>0</v>
      </c>
    </row>
    <row r="79" spans="2:12" x14ac:dyDescent="0.3">
      <c r="B79" s="28" t="str">
        <f t="shared" ca="1" si="4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10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t="shared" ca="1" si="4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t="shared" ca="1" si="4"/>
        <v/>
      </c>
      <c r="C86" s="29" t="str">
        <f t="shared" ca="1" si="5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3"/>
        <v>0</v>
      </c>
    </row>
    <row r="123" spans="2:12" x14ac:dyDescent="0.3">
      <c r="B123" s="28" t="str">
        <f t="shared" ca="1" si="4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3"/>
        <v>0</v>
      </c>
    </row>
    <row r="124" spans="2:12" x14ac:dyDescent="0.3">
      <c r="B124" s="28" t="str">
        <f t="shared" ca="1" si="4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3"/>
        <v>0</v>
      </c>
    </row>
    <row r="125" spans="2:12" x14ac:dyDescent="0.3">
      <c r="B125" s="28" t="str">
        <f t="shared" ca="1" si="4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3"/>
        <v>0</v>
      </c>
    </row>
    <row r="126" spans="2:12" x14ac:dyDescent="0.3">
      <c r="B126" s="28" t="str">
        <f t="shared" ca="1" si="4"/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ref="L126:L189" si="6">J126-I126-K126</f>
        <v>0</v>
      </c>
    </row>
    <row r="127" spans="2:12" x14ac:dyDescent="0.3">
      <c r="B127" s="28" t="str">
        <f t="shared" ref="B127:B190" ca="1" si="7">IF(D127&lt;&gt;"",DATE(Jahr,_xlfn.SHEET()-2,D127),"")</f>
        <v/>
      </c>
      <c r="C127" s="29" t="str">
        <f t="shared" ref="C127:C190" ca="1" si="8">B127</f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6"/>
        <v>0</v>
      </c>
    </row>
    <row r="128" spans="2:12" x14ac:dyDescent="0.3">
      <c r="B128" s="28" t="str">
        <f t="shared" ca="1" si="7"/>
        <v/>
      </c>
      <c r="C128" s="29" t="str">
        <f t="shared" ca="1" si="8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6"/>
        <v>0</v>
      </c>
    </row>
    <row r="129" spans="2:12" x14ac:dyDescent="0.3">
      <c r="B129" s="28" t="str">
        <f t="shared" ca="1" si="7"/>
        <v/>
      </c>
      <c r="C129" s="29" t="str">
        <f t="shared" ca="1" si="8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6"/>
        <v>0</v>
      </c>
    </row>
    <row r="130" spans="2:12" x14ac:dyDescent="0.3">
      <c r="B130" s="28" t="str">
        <f t="shared" ca="1" si="7"/>
        <v/>
      </c>
      <c r="C130" s="29" t="str">
        <f t="shared" ca="1" si="8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6"/>
        <v>0</v>
      </c>
    </row>
    <row r="131" spans="2:12" x14ac:dyDescent="0.3">
      <c r="B131" s="28" t="str">
        <f t="shared" ca="1" si="7"/>
        <v/>
      </c>
      <c r="C131" s="29" t="str">
        <f t="shared" ca="1" si="8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6"/>
        <v>0</v>
      </c>
    </row>
    <row r="132" spans="2:12" x14ac:dyDescent="0.3">
      <c r="B132" s="28" t="str">
        <f t="shared" ca="1" si="7"/>
        <v/>
      </c>
      <c r="C132" s="29" t="str">
        <f t="shared" ca="1" si="8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6"/>
        <v>0</v>
      </c>
    </row>
    <row r="133" spans="2:12" x14ac:dyDescent="0.3">
      <c r="B133" s="28" t="str">
        <f t="shared" ca="1" si="7"/>
        <v/>
      </c>
      <c r="C133" s="29" t="str">
        <f t="shared" ca="1" si="8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6"/>
        <v>0</v>
      </c>
    </row>
    <row r="134" spans="2:12" x14ac:dyDescent="0.3">
      <c r="B134" s="28" t="str">
        <f t="shared" ca="1" si="7"/>
        <v/>
      </c>
      <c r="C134" s="29" t="str">
        <f t="shared" ca="1" si="8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6"/>
        <v>0</v>
      </c>
    </row>
    <row r="135" spans="2:12" x14ac:dyDescent="0.3">
      <c r="B135" s="28" t="str">
        <f t="shared" ca="1" si="7"/>
        <v/>
      </c>
      <c r="C135" s="29" t="str">
        <f t="shared" ca="1" si="8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6"/>
        <v>0</v>
      </c>
    </row>
    <row r="136" spans="2:12" x14ac:dyDescent="0.3">
      <c r="B136" s="28" t="str">
        <f t="shared" ca="1" si="7"/>
        <v/>
      </c>
      <c r="C136" s="29" t="str">
        <f t="shared" ca="1" si="8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6"/>
        <v>0</v>
      </c>
    </row>
    <row r="137" spans="2:12" x14ac:dyDescent="0.3">
      <c r="B137" s="28" t="str">
        <f t="shared" ca="1" si="7"/>
        <v/>
      </c>
      <c r="C137" s="29" t="str">
        <f t="shared" ca="1" si="8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6"/>
        <v>0</v>
      </c>
    </row>
    <row r="138" spans="2:12" x14ac:dyDescent="0.3">
      <c r="B138" s="28" t="str">
        <f t="shared" ca="1" si="7"/>
        <v/>
      </c>
      <c r="C138" s="29" t="str">
        <f t="shared" ca="1" si="8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6"/>
        <v>0</v>
      </c>
    </row>
    <row r="139" spans="2:12" x14ac:dyDescent="0.3">
      <c r="B139" s="28" t="str">
        <f t="shared" ca="1" si="7"/>
        <v/>
      </c>
      <c r="C139" s="29" t="str">
        <f t="shared" ca="1" si="8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6"/>
        <v>0</v>
      </c>
    </row>
    <row r="187" spans="2:12" x14ac:dyDescent="0.3">
      <c r="B187" s="28" t="str">
        <f t="shared" ca="1" si="7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6"/>
        <v>0</v>
      </c>
    </row>
    <row r="188" spans="2:12" x14ac:dyDescent="0.3">
      <c r="B188" s="28" t="str">
        <f t="shared" ca="1" si="7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6"/>
        <v>0</v>
      </c>
    </row>
    <row r="189" spans="2:12" x14ac:dyDescent="0.3">
      <c r="B189" s="28" t="str">
        <f t="shared" ca="1" si="7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6"/>
        <v>0</v>
      </c>
    </row>
    <row r="190" spans="2:12" x14ac:dyDescent="0.3">
      <c r="B190" s="28" t="str">
        <f t="shared" ca="1" si="7"/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ref="L190:L253" si="9">J190-I190-K190</f>
        <v>0</v>
      </c>
    </row>
    <row r="191" spans="2:12" x14ac:dyDescent="0.3">
      <c r="B191" s="28" t="str">
        <f t="shared" ref="B191:B254" ca="1" si="10">IF(D191&lt;&gt;"",DATE(Jahr,_xlfn.SHEET()-2,D191),"")</f>
        <v/>
      </c>
      <c r="C191" s="29" t="str">
        <f t="shared" ref="C191:C254" ca="1" si="11">B191</f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9"/>
        <v>0</v>
      </c>
    </row>
    <row r="192" spans="2:12" x14ac:dyDescent="0.3">
      <c r="B192" s="28" t="str">
        <f t="shared" ca="1" si="10"/>
        <v/>
      </c>
      <c r="C192" s="29" t="str">
        <f t="shared" ca="1" si="11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9"/>
        <v>0</v>
      </c>
    </row>
    <row r="193" spans="2:12" x14ac:dyDescent="0.3">
      <c r="B193" s="28" t="str">
        <f t="shared" ca="1" si="10"/>
        <v/>
      </c>
      <c r="C193" s="29" t="str">
        <f t="shared" ca="1" si="11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9"/>
        <v>0</v>
      </c>
    </row>
    <row r="194" spans="2:12" x14ac:dyDescent="0.3">
      <c r="B194" s="28" t="str">
        <f t="shared" ca="1" si="10"/>
        <v/>
      </c>
      <c r="C194" s="29" t="str">
        <f t="shared" ca="1" si="11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9"/>
        <v>0</v>
      </c>
    </row>
    <row r="195" spans="2:12" x14ac:dyDescent="0.3">
      <c r="B195" s="28" t="str">
        <f t="shared" ca="1" si="10"/>
        <v/>
      </c>
      <c r="C195" s="29" t="str">
        <f t="shared" ca="1" si="11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9"/>
        <v>0</v>
      </c>
    </row>
    <row r="196" spans="2:12" x14ac:dyDescent="0.3">
      <c r="B196" s="28" t="str">
        <f t="shared" ca="1" si="10"/>
        <v/>
      </c>
      <c r="C196" s="29" t="str">
        <f t="shared" ca="1" si="11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9"/>
        <v>0</v>
      </c>
    </row>
    <row r="197" spans="2:12" x14ac:dyDescent="0.3">
      <c r="B197" s="28" t="str">
        <f t="shared" ca="1" si="10"/>
        <v/>
      </c>
      <c r="C197" s="29" t="str">
        <f t="shared" ca="1" si="11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9"/>
        <v>0</v>
      </c>
    </row>
    <row r="198" spans="2:12" x14ac:dyDescent="0.3">
      <c r="B198" s="28" t="str">
        <f t="shared" ca="1" si="10"/>
        <v/>
      </c>
      <c r="C198" s="29" t="str">
        <f t="shared" ca="1" si="11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9"/>
        <v>0</v>
      </c>
    </row>
    <row r="199" spans="2:12" x14ac:dyDescent="0.3">
      <c r="B199" s="28" t="str">
        <f t="shared" ca="1" si="10"/>
        <v/>
      </c>
      <c r="C199" s="29" t="str">
        <f t="shared" ca="1" si="11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9"/>
        <v>0</v>
      </c>
    </row>
    <row r="200" spans="2:12" x14ac:dyDescent="0.3">
      <c r="B200" s="28" t="str">
        <f t="shared" ca="1" si="10"/>
        <v/>
      </c>
      <c r="C200" s="29" t="str">
        <f t="shared" ca="1" si="11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9"/>
        <v>0</v>
      </c>
    </row>
    <row r="201" spans="2:12" x14ac:dyDescent="0.3">
      <c r="B201" s="28" t="str">
        <f t="shared" ca="1" si="10"/>
        <v/>
      </c>
      <c r="C201" s="29" t="str">
        <f t="shared" ca="1" si="11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9"/>
        <v>0</v>
      </c>
    </row>
    <row r="202" spans="2:12" x14ac:dyDescent="0.3">
      <c r="B202" s="28" t="str">
        <f t="shared" ca="1" si="10"/>
        <v/>
      </c>
      <c r="C202" s="29" t="str">
        <f t="shared" ca="1" si="11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9"/>
        <v>0</v>
      </c>
    </row>
    <row r="203" spans="2:12" x14ac:dyDescent="0.3">
      <c r="B203" s="28" t="str">
        <f t="shared" ca="1" si="10"/>
        <v/>
      </c>
      <c r="C203" s="29" t="str">
        <f t="shared" ca="1" si="11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9"/>
        <v>0</v>
      </c>
    </row>
    <row r="251" spans="2:12" x14ac:dyDescent="0.3">
      <c r="B251" s="28" t="str">
        <f t="shared" ca="1" si="10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9"/>
        <v>0</v>
      </c>
    </row>
    <row r="252" spans="2:12" x14ac:dyDescent="0.3">
      <c r="B252" s="28" t="str">
        <f t="shared" ca="1" si="10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9"/>
        <v>0</v>
      </c>
    </row>
    <row r="253" spans="2:12" x14ac:dyDescent="0.3">
      <c r="B253" s="28" t="str">
        <f t="shared" ca="1" si="10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9"/>
        <v>0</v>
      </c>
    </row>
    <row r="254" spans="2:12" x14ac:dyDescent="0.3">
      <c r="B254" s="28" t="str">
        <f t="shared" ca="1" si="10"/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ref="L254:L317" si="12">J254-I254-K254</f>
        <v>0</v>
      </c>
    </row>
    <row r="255" spans="2:12" x14ac:dyDescent="0.3">
      <c r="B255" s="28" t="str">
        <f t="shared" ref="B255:B318" ca="1" si="13">IF(D255&lt;&gt;"",DATE(Jahr,_xlfn.SHEET()-2,D255),"")</f>
        <v/>
      </c>
      <c r="C255" s="29" t="str">
        <f t="shared" ref="C255:C318" ca="1" si="14">B255</f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12"/>
        <v>0</v>
      </c>
    </row>
    <row r="256" spans="2:12" x14ac:dyDescent="0.3">
      <c r="B256" s="28" t="str">
        <f t="shared" ca="1" si="13"/>
        <v/>
      </c>
      <c r="C256" s="29" t="str">
        <f t="shared" ca="1" si="14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12"/>
        <v>0</v>
      </c>
    </row>
    <row r="257" spans="2:12" x14ac:dyDescent="0.3">
      <c r="B257" s="28" t="str">
        <f t="shared" ca="1" si="13"/>
        <v/>
      </c>
      <c r="C257" s="29" t="str">
        <f t="shared" ca="1" si="14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12"/>
        <v>0</v>
      </c>
    </row>
    <row r="258" spans="2:12" x14ac:dyDescent="0.3">
      <c r="B258" s="28" t="str">
        <f t="shared" ca="1" si="13"/>
        <v/>
      </c>
      <c r="C258" s="29" t="str">
        <f t="shared" ca="1" si="14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12"/>
        <v>0</v>
      </c>
    </row>
    <row r="259" spans="2:12" x14ac:dyDescent="0.3">
      <c r="B259" s="28" t="str">
        <f t="shared" ca="1" si="13"/>
        <v/>
      </c>
      <c r="C259" s="29" t="str">
        <f t="shared" ca="1" si="14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12"/>
        <v>0</v>
      </c>
    </row>
    <row r="260" spans="2:12" x14ac:dyDescent="0.3">
      <c r="B260" s="28" t="str">
        <f t="shared" ca="1" si="13"/>
        <v/>
      </c>
      <c r="C260" s="29" t="str">
        <f t="shared" ca="1" si="14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12"/>
        <v>0</v>
      </c>
    </row>
    <row r="261" spans="2:12" x14ac:dyDescent="0.3">
      <c r="B261" s="28" t="str">
        <f t="shared" ca="1" si="13"/>
        <v/>
      </c>
      <c r="C261" s="29" t="str">
        <f t="shared" ca="1" si="14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12"/>
        <v>0</v>
      </c>
    </row>
    <row r="262" spans="2:12" x14ac:dyDescent="0.3">
      <c r="B262" s="28" t="str">
        <f t="shared" ca="1" si="13"/>
        <v/>
      </c>
      <c r="C262" s="29" t="str">
        <f t="shared" ca="1" si="14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12"/>
        <v>0</v>
      </c>
    </row>
    <row r="263" spans="2:12" x14ac:dyDescent="0.3">
      <c r="B263" s="28" t="str">
        <f t="shared" ca="1" si="13"/>
        <v/>
      </c>
      <c r="C263" s="29" t="str">
        <f t="shared" ca="1" si="14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12"/>
        <v>0</v>
      </c>
    </row>
    <row r="264" spans="2:12" x14ac:dyDescent="0.3">
      <c r="B264" s="28" t="str">
        <f t="shared" ca="1" si="13"/>
        <v/>
      </c>
      <c r="C264" s="29" t="str">
        <f t="shared" ca="1" si="14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12"/>
        <v>0</v>
      </c>
    </row>
    <row r="265" spans="2:12" x14ac:dyDescent="0.3">
      <c r="B265" s="28" t="str">
        <f t="shared" ca="1" si="13"/>
        <v/>
      </c>
      <c r="C265" s="29" t="str">
        <f t="shared" ca="1" si="14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12"/>
        <v>0</v>
      </c>
    </row>
    <row r="266" spans="2:12" x14ac:dyDescent="0.3">
      <c r="B266" s="28" t="str">
        <f t="shared" ca="1" si="13"/>
        <v/>
      </c>
      <c r="C266" s="29" t="str">
        <f t="shared" ca="1" si="14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12"/>
        <v>0</v>
      </c>
    </row>
    <row r="267" spans="2:12" x14ac:dyDescent="0.3">
      <c r="B267" s="28" t="str">
        <f t="shared" ca="1" si="13"/>
        <v/>
      </c>
      <c r="C267" s="29" t="str">
        <f t="shared" ca="1" si="14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2"/>
        <v>0</v>
      </c>
    </row>
    <row r="315" spans="2:12" x14ac:dyDescent="0.3">
      <c r="B315" s="28" t="str">
        <f t="shared" ca="1" si="13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2"/>
        <v>0</v>
      </c>
    </row>
    <row r="316" spans="2:12" x14ac:dyDescent="0.3">
      <c r="B316" s="28" t="str">
        <f t="shared" ca="1" si="13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2"/>
        <v>0</v>
      </c>
    </row>
    <row r="317" spans="2:12" x14ac:dyDescent="0.3">
      <c r="B317" s="28" t="str">
        <f t="shared" ca="1" si="13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2"/>
        <v>0</v>
      </c>
    </row>
    <row r="318" spans="2:12" x14ac:dyDescent="0.3">
      <c r="B318" s="28" t="str">
        <f t="shared" ca="1" si="13"/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ref="L318:L381" si="15">J318-I318-K318</f>
        <v>0</v>
      </c>
    </row>
    <row r="319" spans="2:12" x14ac:dyDescent="0.3">
      <c r="B319" s="28" t="str">
        <f t="shared" ref="B319:B382" ca="1" si="16">IF(D319&lt;&gt;"",DATE(Jahr,_xlfn.SHEET()-2,D319),"")</f>
        <v/>
      </c>
      <c r="C319" s="29" t="str">
        <f t="shared" ref="C319:C382" ca="1" si="17">B319</f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5"/>
        <v>0</v>
      </c>
    </row>
    <row r="320" spans="2:12" x14ac:dyDescent="0.3">
      <c r="B320" s="28" t="str">
        <f t="shared" ca="1" si="16"/>
        <v/>
      </c>
      <c r="C320" s="29" t="str">
        <f t="shared" ca="1" si="17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5"/>
        <v>0</v>
      </c>
    </row>
    <row r="321" spans="2:12" x14ac:dyDescent="0.3">
      <c r="B321" s="28" t="str">
        <f t="shared" ca="1" si="16"/>
        <v/>
      </c>
      <c r="C321" s="29" t="str">
        <f t="shared" ca="1" si="17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5"/>
        <v>0</v>
      </c>
    </row>
    <row r="322" spans="2:12" x14ac:dyDescent="0.3">
      <c r="B322" s="28" t="str">
        <f t="shared" ca="1" si="16"/>
        <v/>
      </c>
      <c r="C322" s="29" t="str">
        <f t="shared" ca="1" si="17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5"/>
        <v>0</v>
      </c>
    </row>
    <row r="323" spans="2:12" x14ac:dyDescent="0.3">
      <c r="B323" s="28" t="str">
        <f t="shared" ca="1" si="16"/>
        <v/>
      </c>
      <c r="C323" s="29" t="str">
        <f t="shared" ca="1" si="17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5"/>
        <v>0</v>
      </c>
    </row>
    <row r="324" spans="2:12" x14ac:dyDescent="0.3">
      <c r="B324" s="28" t="str">
        <f t="shared" ca="1" si="16"/>
        <v/>
      </c>
      <c r="C324" s="29" t="str">
        <f t="shared" ca="1" si="17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5"/>
        <v>0</v>
      </c>
    </row>
    <row r="325" spans="2:12" x14ac:dyDescent="0.3">
      <c r="B325" s="28" t="str">
        <f t="shared" ca="1" si="16"/>
        <v/>
      </c>
      <c r="C325" s="29" t="str">
        <f t="shared" ca="1" si="17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5"/>
        <v>0</v>
      </c>
    </row>
    <row r="326" spans="2:12" x14ac:dyDescent="0.3">
      <c r="B326" s="28" t="str">
        <f t="shared" ca="1" si="16"/>
        <v/>
      </c>
      <c r="C326" s="29" t="str">
        <f t="shared" ca="1" si="17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5"/>
        <v>0</v>
      </c>
    </row>
    <row r="327" spans="2:12" x14ac:dyDescent="0.3">
      <c r="B327" s="28" t="str">
        <f t="shared" ca="1" si="16"/>
        <v/>
      </c>
      <c r="C327" s="29" t="str">
        <f t="shared" ca="1" si="17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5"/>
        <v>0</v>
      </c>
    </row>
    <row r="328" spans="2:12" x14ac:dyDescent="0.3">
      <c r="B328" s="28" t="str">
        <f t="shared" ca="1" si="16"/>
        <v/>
      </c>
      <c r="C328" s="29" t="str">
        <f t="shared" ca="1" si="17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5"/>
        <v>0</v>
      </c>
    </row>
    <row r="329" spans="2:12" x14ac:dyDescent="0.3">
      <c r="B329" s="28" t="str">
        <f t="shared" ca="1" si="16"/>
        <v/>
      </c>
      <c r="C329" s="29" t="str">
        <f t="shared" ca="1" si="17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5"/>
        <v>0</v>
      </c>
    </row>
    <row r="330" spans="2:12" x14ac:dyDescent="0.3">
      <c r="B330" s="28" t="str">
        <f t="shared" ca="1" si="16"/>
        <v/>
      </c>
      <c r="C330" s="29" t="str">
        <f t="shared" ca="1" si="17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5"/>
        <v>0</v>
      </c>
    </row>
    <row r="331" spans="2:12" x14ac:dyDescent="0.3">
      <c r="B331" s="28" t="str">
        <f t="shared" ca="1" si="16"/>
        <v/>
      </c>
      <c r="C331" s="29" t="str">
        <f t="shared" ca="1" si="17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5"/>
        <v>0</v>
      </c>
    </row>
    <row r="379" spans="2:12" x14ac:dyDescent="0.3">
      <c r="B379" s="28" t="str">
        <f t="shared" ca="1" si="16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5"/>
        <v>0</v>
      </c>
    </row>
    <row r="380" spans="2:12" x14ac:dyDescent="0.3">
      <c r="B380" s="28" t="str">
        <f t="shared" ca="1" si="16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5"/>
        <v>0</v>
      </c>
    </row>
    <row r="381" spans="2:12" x14ac:dyDescent="0.3">
      <c r="B381" s="28" t="str">
        <f t="shared" ca="1" si="16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5"/>
        <v>0</v>
      </c>
    </row>
    <row r="382" spans="2:12" x14ac:dyDescent="0.3">
      <c r="B382" s="28" t="str">
        <f t="shared" ca="1" si="16"/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ref="L382:L445" si="18">J382-I382-K382</f>
        <v>0</v>
      </c>
    </row>
    <row r="383" spans="2:12" x14ac:dyDescent="0.3">
      <c r="B383" s="28" t="str">
        <f t="shared" ref="B383:B446" ca="1" si="19">IF(D383&lt;&gt;"",DATE(Jahr,_xlfn.SHEET()-2,D383),"")</f>
        <v/>
      </c>
      <c r="C383" s="29" t="str">
        <f t="shared" ref="C383:C446" ca="1" si="20">B383</f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8"/>
        <v>0</v>
      </c>
    </row>
    <row r="384" spans="2:12" x14ac:dyDescent="0.3">
      <c r="B384" s="28" t="str">
        <f t="shared" ca="1" si="19"/>
        <v/>
      </c>
      <c r="C384" s="29" t="str">
        <f t="shared" ca="1" si="20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8"/>
        <v>0</v>
      </c>
    </row>
    <row r="385" spans="2:12" x14ac:dyDescent="0.3">
      <c r="B385" s="28" t="str">
        <f t="shared" ca="1" si="19"/>
        <v/>
      </c>
      <c r="C385" s="29" t="str">
        <f t="shared" ca="1" si="20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8"/>
        <v>0</v>
      </c>
    </row>
    <row r="386" spans="2:12" x14ac:dyDescent="0.3">
      <c r="B386" s="28" t="str">
        <f t="shared" ca="1" si="19"/>
        <v/>
      </c>
      <c r="C386" s="29" t="str">
        <f t="shared" ca="1" si="20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8"/>
        <v>0</v>
      </c>
    </row>
    <row r="387" spans="2:12" x14ac:dyDescent="0.3">
      <c r="B387" s="28" t="str">
        <f t="shared" ca="1" si="19"/>
        <v/>
      </c>
      <c r="C387" s="29" t="str">
        <f t="shared" ca="1" si="20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8"/>
        <v>0</v>
      </c>
    </row>
    <row r="388" spans="2:12" x14ac:dyDescent="0.3">
      <c r="B388" s="28" t="str">
        <f t="shared" ca="1" si="19"/>
        <v/>
      </c>
      <c r="C388" s="29" t="str">
        <f t="shared" ca="1" si="20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8"/>
        <v>0</v>
      </c>
    </row>
    <row r="389" spans="2:12" x14ac:dyDescent="0.3">
      <c r="B389" s="28" t="str">
        <f t="shared" ca="1" si="19"/>
        <v/>
      </c>
      <c r="C389" s="29" t="str">
        <f t="shared" ca="1" si="20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8"/>
        <v>0</v>
      </c>
    </row>
    <row r="390" spans="2:12" x14ac:dyDescent="0.3">
      <c r="B390" s="28" t="str">
        <f t="shared" ca="1" si="19"/>
        <v/>
      </c>
      <c r="C390" s="29" t="str">
        <f t="shared" ca="1" si="20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8"/>
        <v>0</v>
      </c>
    </row>
    <row r="391" spans="2:12" x14ac:dyDescent="0.3">
      <c r="B391" s="28" t="str">
        <f t="shared" ca="1" si="19"/>
        <v/>
      </c>
      <c r="C391" s="29" t="str">
        <f t="shared" ca="1" si="20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8"/>
        <v>0</v>
      </c>
    </row>
    <row r="392" spans="2:12" x14ac:dyDescent="0.3">
      <c r="B392" s="28" t="str">
        <f t="shared" ca="1" si="19"/>
        <v/>
      </c>
      <c r="C392" s="29" t="str">
        <f t="shared" ca="1" si="20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8"/>
        <v>0</v>
      </c>
    </row>
    <row r="393" spans="2:12" x14ac:dyDescent="0.3">
      <c r="B393" s="28" t="str">
        <f t="shared" ca="1" si="19"/>
        <v/>
      </c>
      <c r="C393" s="29" t="str">
        <f t="shared" ca="1" si="20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8"/>
        <v>0</v>
      </c>
    </row>
    <row r="394" spans="2:12" x14ac:dyDescent="0.3">
      <c r="B394" s="28" t="str">
        <f t="shared" ca="1" si="19"/>
        <v/>
      </c>
      <c r="C394" s="29" t="str">
        <f t="shared" ca="1" si="20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8"/>
        <v>0</v>
      </c>
    </row>
    <row r="395" spans="2:12" x14ac:dyDescent="0.3">
      <c r="B395" s="28" t="str">
        <f t="shared" ca="1" si="19"/>
        <v/>
      </c>
      <c r="C395" s="29" t="str">
        <f t="shared" ca="1" si="20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8"/>
        <v>0</v>
      </c>
    </row>
    <row r="443" spans="2:12" x14ac:dyDescent="0.3">
      <c r="B443" s="28" t="str">
        <f t="shared" ca="1" si="19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8"/>
        <v>0</v>
      </c>
    </row>
    <row r="444" spans="2:12" x14ac:dyDescent="0.3">
      <c r="B444" s="28" t="str">
        <f t="shared" ca="1" si="19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8"/>
        <v>0</v>
      </c>
    </row>
    <row r="445" spans="2:12" x14ac:dyDescent="0.3">
      <c r="B445" s="28" t="str">
        <f t="shared" ca="1" si="19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8"/>
        <v>0</v>
      </c>
    </row>
    <row r="446" spans="2:12" x14ac:dyDescent="0.3">
      <c r="B446" s="28" t="str">
        <f t="shared" ca="1" si="19"/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ref="L446:L509" si="21">J446-I446-K446</f>
        <v>0</v>
      </c>
    </row>
    <row r="447" spans="2:12" x14ac:dyDescent="0.3">
      <c r="B447" s="28" t="str">
        <f t="shared" ref="B447:B510" ca="1" si="22">IF(D447&lt;&gt;"",DATE(Jahr,_xlfn.SHEET()-2,D447),"")</f>
        <v/>
      </c>
      <c r="C447" s="29" t="str">
        <f t="shared" ref="C447:C510" ca="1" si="23">B447</f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21"/>
        <v>0</v>
      </c>
    </row>
    <row r="448" spans="2:12" x14ac:dyDescent="0.3">
      <c r="B448" s="28" t="str">
        <f t="shared" ca="1" si="22"/>
        <v/>
      </c>
      <c r="C448" s="29" t="str">
        <f t="shared" ca="1" si="23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21"/>
        <v>0</v>
      </c>
    </row>
    <row r="449" spans="2:12" x14ac:dyDescent="0.3">
      <c r="B449" s="28" t="str">
        <f t="shared" ca="1" si="22"/>
        <v/>
      </c>
      <c r="C449" s="29" t="str">
        <f t="shared" ca="1" si="23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21"/>
        <v>0</v>
      </c>
    </row>
    <row r="450" spans="2:12" x14ac:dyDescent="0.3">
      <c r="B450" s="28" t="str">
        <f t="shared" ca="1" si="22"/>
        <v/>
      </c>
      <c r="C450" s="29" t="str">
        <f t="shared" ca="1" si="23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21"/>
        <v>0</v>
      </c>
    </row>
    <row r="451" spans="2:12" x14ac:dyDescent="0.3">
      <c r="B451" s="28" t="str">
        <f t="shared" ca="1" si="22"/>
        <v/>
      </c>
      <c r="C451" s="29" t="str">
        <f t="shared" ca="1" si="23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21"/>
        <v>0</v>
      </c>
    </row>
    <row r="452" spans="2:12" x14ac:dyDescent="0.3">
      <c r="B452" s="28" t="str">
        <f t="shared" ca="1" si="22"/>
        <v/>
      </c>
      <c r="C452" s="29" t="str">
        <f t="shared" ca="1" si="23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21"/>
        <v>0</v>
      </c>
    </row>
    <row r="453" spans="2:12" x14ac:dyDescent="0.3">
      <c r="B453" s="28" t="str">
        <f t="shared" ca="1" si="22"/>
        <v/>
      </c>
      <c r="C453" s="29" t="str">
        <f t="shared" ca="1" si="23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21"/>
        <v>0</v>
      </c>
    </row>
    <row r="454" spans="2:12" x14ac:dyDescent="0.3">
      <c r="B454" s="28" t="str">
        <f t="shared" ca="1" si="22"/>
        <v/>
      </c>
      <c r="C454" s="29" t="str">
        <f t="shared" ca="1" si="23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21"/>
        <v>0</v>
      </c>
    </row>
    <row r="455" spans="2:12" x14ac:dyDescent="0.3">
      <c r="B455" s="28" t="str">
        <f t="shared" ca="1" si="22"/>
        <v/>
      </c>
      <c r="C455" s="29" t="str">
        <f t="shared" ca="1" si="23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21"/>
        <v>0</v>
      </c>
    </row>
    <row r="456" spans="2:12" x14ac:dyDescent="0.3">
      <c r="B456" s="28" t="str">
        <f t="shared" ca="1" si="22"/>
        <v/>
      </c>
      <c r="C456" s="29" t="str">
        <f t="shared" ca="1" si="23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21"/>
        <v>0</v>
      </c>
    </row>
    <row r="457" spans="2:12" x14ac:dyDescent="0.3">
      <c r="B457" s="28" t="str">
        <f t="shared" ca="1" si="22"/>
        <v/>
      </c>
      <c r="C457" s="29" t="str">
        <f t="shared" ca="1" si="23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21"/>
        <v>0</v>
      </c>
    </row>
    <row r="458" spans="2:12" x14ac:dyDescent="0.3">
      <c r="B458" s="28" t="str">
        <f t="shared" ca="1" si="22"/>
        <v/>
      </c>
      <c r="C458" s="29" t="str">
        <f t="shared" ca="1" si="23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21"/>
        <v>0</v>
      </c>
    </row>
    <row r="459" spans="2:12" x14ac:dyDescent="0.3">
      <c r="B459" s="28" t="str">
        <f t="shared" ca="1" si="22"/>
        <v/>
      </c>
      <c r="C459" s="29" t="str">
        <f t="shared" ca="1" si="23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1"/>
        <v>0</v>
      </c>
    </row>
    <row r="507" spans="2:12" x14ac:dyDescent="0.3">
      <c r="B507" s="28" t="str">
        <f t="shared" ca="1" si="22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1"/>
        <v>0</v>
      </c>
    </row>
    <row r="508" spans="2:12" x14ac:dyDescent="0.3">
      <c r="B508" s="28" t="str">
        <f t="shared" ca="1" si="22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1"/>
        <v>0</v>
      </c>
    </row>
    <row r="509" spans="2:12" x14ac:dyDescent="0.3">
      <c r="B509" s="28" t="str">
        <f t="shared" ca="1" si="22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1"/>
        <v>0</v>
      </c>
    </row>
    <row r="510" spans="2:12" x14ac:dyDescent="0.3">
      <c r="B510" s="28" t="str">
        <f t="shared" ca="1" si="22"/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ref="L510:L573" si="24">J510-I510-K510</f>
        <v>0</v>
      </c>
    </row>
    <row r="511" spans="2:12" x14ac:dyDescent="0.3">
      <c r="B511" s="28" t="str">
        <f t="shared" ref="B511:B574" ca="1" si="25">IF(D511&lt;&gt;"",DATE(Jahr,_xlfn.SHEET()-2,D511),"")</f>
        <v/>
      </c>
      <c r="C511" s="29" t="str">
        <f t="shared" ref="C511:C574" ca="1" si="26">B511</f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4"/>
        <v>0</v>
      </c>
    </row>
    <row r="512" spans="2:12" x14ac:dyDescent="0.3">
      <c r="B512" s="28" t="str">
        <f t="shared" ca="1" si="25"/>
        <v/>
      </c>
      <c r="C512" s="29" t="str">
        <f t="shared" ca="1" si="26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4"/>
        <v>0</v>
      </c>
    </row>
    <row r="513" spans="2:12" x14ac:dyDescent="0.3">
      <c r="B513" s="28" t="str">
        <f t="shared" ca="1" si="25"/>
        <v/>
      </c>
      <c r="C513" s="29" t="str">
        <f t="shared" ca="1" si="26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4"/>
        <v>0</v>
      </c>
    </row>
    <row r="514" spans="2:12" x14ac:dyDescent="0.3">
      <c r="B514" s="28" t="str">
        <f t="shared" ca="1" si="25"/>
        <v/>
      </c>
      <c r="C514" s="29" t="str">
        <f t="shared" ca="1" si="26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4"/>
        <v>0</v>
      </c>
    </row>
    <row r="515" spans="2:12" x14ac:dyDescent="0.3">
      <c r="B515" s="28" t="str">
        <f t="shared" ca="1" si="25"/>
        <v/>
      </c>
      <c r="C515" s="29" t="str">
        <f t="shared" ca="1" si="26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4"/>
        <v>0</v>
      </c>
    </row>
    <row r="516" spans="2:12" x14ac:dyDescent="0.3">
      <c r="B516" s="28" t="str">
        <f t="shared" ca="1" si="25"/>
        <v/>
      </c>
      <c r="C516" s="29" t="str">
        <f t="shared" ca="1" si="26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4"/>
        <v>0</v>
      </c>
    </row>
    <row r="517" spans="2:12" x14ac:dyDescent="0.3">
      <c r="B517" s="28" t="str">
        <f t="shared" ca="1" si="25"/>
        <v/>
      </c>
      <c r="C517" s="29" t="str">
        <f t="shared" ca="1" si="26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4"/>
        <v>0</v>
      </c>
    </row>
    <row r="518" spans="2:12" x14ac:dyDescent="0.3">
      <c r="B518" s="28" t="str">
        <f t="shared" ca="1" si="25"/>
        <v/>
      </c>
      <c r="C518" s="29" t="str">
        <f t="shared" ca="1" si="26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4"/>
        <v>0</v>
      </c>
    </row>
    <row r="519" spans="2:12" x14ac:dyDescent="0.3">
      <c r="B519" s="28" t="str">
        <f t="shared" ca="1" si="25"/>
        <v/>
      </c>
      <c r="C519" s="29" t="str">
        <f t="shared" ca="1" si="26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4"/>
        <v>0</v>
      </c>
    </row>
    <row r="520" spans="2:12" x14ac:dyDescent="0.3">
      <c r="B520" s="28" t="str">
        <f t="shared" ca="1" si="25"/>
        <v/>
      </c>
      <c r="C520" s="29" t="str">
        <f t="shared" ca="1" si="26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4"/>
        <v>0</v>
      </c>
    </row>
    <row r="521" spans="2:12" x14ac:dyDescent="0.3">
      <c r="B521" s="28" t="str">
        <f t="shared" ca="1" si="25"/>
        <v/>
      </c>
      <c r="C521" s="29" t="str">
        <f t="shared" ca="1" si="26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4"/>
        <v>0</v>
      </c>
    </row>
    <row r="522" spans="2:12" x14ac:dyDescent="0.3">
      <c r="B522" s="28" t="str">
        <f t="shared" ca="1" si="25"/>
        <v/>
      </c>
      <c r="C522" s="29" t="str">
        <f t="shared" ca="1" si="26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4"/>
        <v>0</v>
      </c>
    </row>
    <row r="523" spans="2:12" x14ac:dyDescent="0.3">
      <c r="B523" s="28" t="str">
        <f t="shared" ca="1" si="25"/>
        <v/>
      </c>
      <c r="C523" s="29" t="str">
        <f t="shared" ca="1" si="26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4"/>
        <v>0</v>
      </c>
    </row>
    <row r="571" spans="2:12" x14ac:dyDescent="0.3">
      <c r="B571" s="28" t="str">
        <f t="shared" ca="1" si="25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4"/>
        <v>0</v>
      </c>
    </row>
    <row r="572" spans="2:12" x14ac:dyDescent="0.3">
      <c r="B572" s="28" t="str">
        <f t="shared" ca="1" si="25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4"/>
        <v>0</v>
      </c>
    </row>
    <row r="573" spans="2:12" x14ac:dyDescent="0.3">
      <c r="B573" s="28" t="str">
        <f t="shared" ca="1" si="25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4"/>
        <v>0</v>
      </c>
    </row>
    <row r="574" spans="2:12" x14ac:dyDescent="0.3">
      <c r="B574" s="28" t="str">
        <f t="shared" ca="1" si="25"/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ref="L574:L637" si="27">J574-I574-K574</f>
        <v>0</v>
      </c>
    </row>
    <row r="575" spans="2:12" x14ac:dyDescent="0.3">
      <c r="B575" s="28" t="str">
        <f t="shared" ref="B575:B638" ca="1" si="28">IF(D575&lt;&gt;"",DATE(Jahr,_xlfn.SHEET()-2,D575),"")</f>
        <v/>
      </c>
      <c r="C575" s="29" t="str">
        <f t="shared" ref="C575:C638" ca="1" si="29">B575</f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7"/>
        <v>0</v>
      </c>
    </row>
    <row r="576" spans="2:12" x14ac:dyDescent="0.3">
      <c r="B576" s="28" t="str">
        <f t="shared" ca="1" si="28"/>
        <v/>
      </c>
      <c r="C576" s="29" t="str">
        <f t="shared" ca="1" si="29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7"/>
        <v>0</v>
      </c>
    </row>
    <row r="577" spans="2:12" x14ac:dyDescent="0.3">
      <c r="B577" s="28" t="str">
        <f t="shared" ca="1" si="28"/>
        <v/>
      </c>
      <c r="C577" s="29" t="str">
        <f t="shared" ca="1" si="29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7"/>
        <v>0</v>
      </c>
    </row>
    <row r="578" spans="2:12" x14ac:dyDescent="0.3">
      <c r="B578" s="28" t="str">
        <f t="shared" ca="1" si="28"/>
        <v/>
      </c>
      <c r="C578" s="29" t="str">
        <f t="shared" ca="1" si="29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7"/>
        <v>0</v>
      </c>
    </row>
    <row r="579" spans="2:12" x14ac:dyDescent="0.3">
      <c r="B579" s="28" t="str">
        <f t="shared" ca="1" si="28"/>
        <v/>
      </c>
      <c r="C579" s="29" t="str">
        <f t="shared" ca="1" si="29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7"/>
        <v>0</v>
      </c>
    </row>
    <row r="580" spans="2:12" x14ac:dyDescent="0.3">
      <c r="B580" s="28" t="str">
        <f t="shared" ca="1" si="28"/>
        <v/>
      </c>
      <c r="C580" s="29" t="str">
        <f t="shared" ca="1" si="29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7"/>
        <v>0</v>
      </c>
    </row>
    <row r="581" spans="2:12" x14ac:dyDescent="0.3">
      <c r="B581" s="28" t="str">
        <f t="shared" ca="1" si="28"/>
        <v/>
      </c>
      <c r="C581" s="29" t="str">
        <f t="shared" ca="1" si="29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7"/>
        <v>0</v>
      </c>
    </row>
    <row r="582" spans="2:12" x14ac:dyDescent="0.3">
      <c r="B582" s="28" t="str">
        <f t="shared" ca="1" si="28"/>
        <v/>
      </c>
      <c r="C582" s="29" t="str">
        <f t="shared" ca="1" si="29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7"/>
        <v>0</v>
      </c>
    </row>
    <row r="583" spans="2:12" x14ac:dyDescent="0.3">
      <c r="B583" s="28" t="str">
        <f t="shared" ca="1" si="28"/>
        <v/>
      </c>
      <c r="C583" s="29" t="str">
        <f t="shared" ca="1" si="29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7"/>
        <v>0</v>
      </c>
    </row>
    <row r="584" spans="2:12" x14ac:dyDescent="0.3">
      <c r="B584" s="28" t="str">
        <f t="shared" ca="1" si="28"/>
        <v/>
      </c>
      <c r="C584" s="29" t="str">
        <f t="shared" ca="1" si="29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7"/>
        <v>0</v>
      </c>
    </row>
    <row r="585" spans="2:12" x14ac:dyDescent="0.3">
      <c r="B585" s="28" t="str">
        <f t="shared" ca="1" si="28"/>
        <v/>
      </c>
      <c r="C585" s="29" t="str">
        <f t="shared" ca="1" si="29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7"/>
        <v>0</v>
      </c>
    </row>
    <row r="586" spans="2:12" x14ac:dyDescent="0.3">
      <c r="B586" s="28" t="str">
        <f t="shared" ca="1" si="28"/>
        <v/>
      </c>
      <c r="C586" s="29" t="str">
        <f t="shared" ca="1" si="29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7"/>
        <v>0</v>
      </c>
    </row>
    <row r="587" spans="2:12" x14ac:dyDescent="0.3">
      <c r="B587" s="28" t="str">
        <f t="shared" ca="1" si="28"/>
        <v/>
      </c>
      <c r="C587" s="29" t="str">
        <f t="shared" ca="1" si="29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7"/>
        <v>0</v>
      </c>
    </row>
    <row r="635" spans="2:12" x14ac:dyDescent="0.3">
      <c r="B635" s="28" t="str">
        <f t="shared" ca="1" si="28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7"/>
        <v>0</v>
      </c>
    </row>
    <row r="636" spans="2:12" x14ac:dyDescent="0.3">
      <c r="B636" s="28" t="str">
        <f t="shared" ca="1" si="28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7"/>
        <v>0</v>
      </c>
    </row>
    <row r="637" spans="2:12" x14ac:dyDescent="0.3">
      <c r="B637" s="28" t="str">
        <f t="shared" ca="1" si="28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7"/>
        <v>0</v>
      </c>
    </row>
    <row r="638" spans="2:12" x14ac:dyDescent="0.3">
      <c r="B638" s="28" t="str">
        <f t="shared" ca="1" si="28"/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ref="L638:L701" si="30">J638-I638-K638</f>
        <v>0</v>
      </c>
    </row>
    <row r="639" spans="2:12" x14ac:dyDescent="0.3">
      <c r="B639" s="28" t="str">
        <f t="shared" ref="B639:B702" ca="1" si="31">IF(D639&lt;&gt;"",DATE(Jahr,_xlfn.SHEET()-2,D639),"")</f>
        <v/>
      </c>
      <c r="C639" s="29" t="str">
        <f t="shared" ref="C639:C702" ca="1" si="32">B639</f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30"/>
        <v>0</v>
      </c>
    </row>
    <row r="640" spans="2:12" x14ac:dyDescent="0.3">
      <c r="B640" s="28" t="str">
        <f t="shared" ca="1" si="31"/>
        <v/>
      </c>
      <c r="C640" s="29" t="str">
        <f t="shared" ca="1" si="32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30"/>
        <v>0</v>
      </c>
    </row>
    <row r="641" spans="2:12" x14ac:dyDescent="0.3">
      <c r="B641" s="28" t="str">
        <f t="shared" ca="1" si="31"/>
        <v/>
      </c>
      <c r="C641" s="29" t="str">
        <f t="shared" ca="1" si="32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30"/>
        <v>0</v>
      </c>
    </row>
    <row r="642" spans="2:12" x14ac:dyDescent="0.3">
      <c r="B642" s="28" t="str">
        <f t="shared" ca="1" si="31"/>
        <v/>
      </c>
      <c r="C642" s="29" t="str">
        <f t="shared" ca="1" si="32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30"/>
        <v>0</v>
      </c>
    </row>
    <row r="643" spans="2:12" x14ac:dyDescent="0.3">
      <c r="B643" s="28" t="str">
        <f t="shared" ca="1" si="31"/>
        <v/>
      </c>
      <c r="C643" s="29" t="str">
        <f t="shared" ca="1" si="32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30"/>
        <v>0</v>
      </c>
    </row>
    <row r="644" spans="2:12" x14ac:dyDescent="0.3">
      <c r="B644" s="28" t="str">
        <f t="shared" ca="1" si="31"/>
        <v/>
      </c>
      <c r="C644" s="29" t="str">
        <f t="shared" ca="1" si="32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30"/>
        <v>0</v>
      </c>
    </row>
    <row r="645" spans="2:12" x14ac:dyDescent="0.3">
      <c r="B645" s="28" t="str">
        <f t="shared" ca="1" si="31"/>
        <v/>
      </c>
      <c r="C645" s="29" t="str">
        <f t="shared" ca="1" si="32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30"/>
        <v>0</v>
      </c>
    </row>
    <row r="646" spans="2:12" x14ac:dyDescent="0.3">
      <c r="B646" s="28" t="str">
        <f t="shared" ca="1" si="31"/>
        <v/>
      </c>
      <c r="C646" s="29" t="str">
        <f t="shared" ca="1" si="32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30"/>
        <v>0</v>
      </c>
    </row>
    <row r="647" spans="2:12" x14ac:dyDescent="0.3">
      <c r="B647" s="28" t="str">
        <f t="shared" ca="1" si="31"/>
        <v/>
      </c>
      <c r="C647" s="29" t="str">
        <f t="shared" ca="1" si="32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30"/>
        <v>0</v>
      </c>
    </row>
    <row r="648" spans="2:12" x14ac:dyDescent="0.3">
      <c r="B648" s="28" t="str">
        <f t="shared" ca="1" si="31"/>
        <v/>
      </c>
      <c r="C648" s="29" t="str">
        <f t="shared" ca="1" si="32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30"/>
        <v>0</v>
      </c>
    </row>
    <row r="649" spans="2:12" x14ac:dyDescent="0.3">
      <c r="B649" s="28" t="str">
        <f t="shared" ca="1" si="31"/>
        <v/>
      </c>
      <c r="C649" s="29" t="str">
        <f t="shared" ca="1" si="32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30"/>
        <v>0</v>
      </c>
    </row>
    <row r="650" spans="2:12" x14ac:dyDescent="0.3">
      <c r="B650" s="28" t="str">
        <f t="shared" ca="1" si="31"/>
        <v/>
      </c>
      <c r="C650" s="29" t="str">
        <f t="shared" ca="1" si="32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30"/>
        <v>0</v>
      </c>
    </row>
    <row r="651" spans="2:12" x14ac:dyDescent="0.3">
      <c r="B651" s="28" t="str">
        <f t="shared" ca="1" si="31"/>
        <v/>
      </c>
      <c r="C651" s="29" t="str">
        <f t="shared" ca="1" si="32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0"/>
        <v>0</v>
      </c>
    </row>
    <row r="699" spans="2:12" x14ac:dyDescent="0.3">
      <c r="B699" s="28" t="str">
        <f t="shared" ca="1" si="31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0"/>
        <v>0</v>
      </c>
    </row>
    <row r="700" spans="2:12" x14ac:dyDescent="0.3">
      <c r="B700" s="28" t="str">
        <f t="shared" ca="1" si="31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0"/>
        <v>0</v>
      </c>
    </row>
    <row r="701" spans="2:12" x14ac:dyDescent="0.3">
      <c r="B701" s="28" t="str">
        <f t="shared" ca="1" si="31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0"/>
        <v>0</v>
      </c>
    </row>
    <row r="702" spans="2:12" x14ac:dyDescent="0.3">
      <c r="B702" s="28" t="str">
        <f t="shared" ca="1" si="31"/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ref="L702:L765" si="33">J702-I702-K702</f>
        <v>0</v>
      </c>
    </row>
    <row r="703" spans="2:12" x14ac:dyDescent="0.3">
      <c r="B703" s="28" t="str">
        <f t="shared" ref="B703:B766" ca="1" si="34">IF(D703&lt;&gt;"",DATE(Jahr,_xlfn.SHEET()-2,D703),"")</f>
        <v/>
      </c>
      <c r="C703" s="29" t="str">
        <f t="shared" ref="C703:C766" ca="1" si="35">B703</f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3"/>
        <v>0</v>
      </c>
    </row>
    <row r="704" spans="2:12" x14ac:dyDescent="0.3">
      <c r="B704" s="28" t="str">
        <f t="shared" ca="1" si="34"/>
        <v/>
      </c>
      <c r="C704" s="29" t="str">
        <f t="shared" ca="1" si="35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3"/>
        <v>0</v>
      </c>
    </row>
    <row r="705" spans="2:12" x14ac:dyDescent="0.3">
      <c r="B705" s="28" t="str">
        <f t="shared" ca="1" si="34"/>
        <v/>
      </c>
      <c r="C705" s="29" t="str">
        <f t="shared" ca="1" si="35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3"/>
        <v>0</v>
      </c>
    </row>
    <row r="706" spans="2:12" x14ac:dyDescent="0.3">
      <c r="B706" s="28" t="str">
        <f t="shared" ca="1" si="34"/>
        <v/>
      </c>
      <c r="C706" s="29" t="str">
        <f t="shared" ca="1" si="35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3"/>
        <v>0</v>
      </c>
    </row>
    <row r="707" spans="2:12" x14ac:dyDescent="0.3">
      <c r="B707" s="28" t="str">
        <f t="shared" ca="1" si="34"/>
        <v/>
      </c>
      <c r="C707" s="29" t="str">
        <f t="shared" ca="1" si="35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3"/>
        <v>0</v>
      </c>
    </row>
    <row r="708" spans="2:12" x14ac:dyDescent="0.3">
      <c r="B708" s="28" t="str">
        <f t="shared" ca="1" si="34"/>
        <v/>
      </c>
      <c r="C708" s="29" t="str">
        <f t="shared" ca="1" si="35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3"/>
        <v>0</v>
      </c>
    </row>
    <row r="709" spans="2:12" x14ac:dyDescent="0.3">
      <c r="B709" s="28" t="str">
        <f t="shared" ca="1" si="34"/>
        <v/>
      </c>
      <c r="C709" s="29" t="str">
        <f t="shared" ca="1" si="35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3"/>
        <v>0</v>
      </c>
    </row>
    <row r="710" spans="2:12" x14ac:dyDescent="0.3">
      <c r="B710" s="28" t="str">
        <f t="shared" ca="1" si="34"/>
        <v/>
      </c>
      <c r="C710" s="29" t="str">
        <f t="shared" ca="1" si="35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3"/>
        <v>0</v>
      </c>
    </row>
    <row r="711" spans="2:12" x14ac:dyDescent="0.3">
      <c r="B711" s="28" t="str">
        <f t="shared" ca="1" si="34"/>
        <v/>
      </c>
      <c r="C711" s="29" t="str">
        <f t="shared" ca="1" si="35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3"/>
        <v>0</v>
      </c>
    </row>
    <row r="712" spans="2:12" x14ac:dyDescent="0.3">
      <c r="B712" s="28" t="str">
        <f t="shared" ca="1" si="34"/>
        <v/>
      </c>
      <c r="C712" s="29" t="str">
        <f t="shared" ca="1" si="35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3"/>
        <v>0</v>
      </c>
    </row>
    <row r="713" spans="2:12" x14ac:dyDescent="0.3">
      <c r="B713" s="28" t="str">
        <f t="shared" ca="1" si="34"/>
        <v/>
      </c>
      <c r="C713" s="29" t="str">
        <f t="shared" ca="1" si="35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3"/>
        <v>0</v>
      </c>
    </row>
    <row r="714" spans="2:12" x14ac:dyDescent="0.3">
      <c r="B714" s="28" t="str">
        <f t="shared" ca="1" si="34"/>
        <v/>
      </c>
      <c r="C714" s="29" t="str">
        <f t="shared" ca="1" si="35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3"/>
        <v>0</v>
      </c>
    </row>
    <row r="715" spans="2:12" x14ac:dyDescent="0.3">
      <c r="B715" s="28" t="str">
        <f t="shared" ca="1" si="34"/>
        <v/>
      </c>
      <c r="C715" s="29" t="str">
        <f t="shared" ca="1" si="35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3"/>
        <v>0</v>
      </c>
    </row>
    <row r="763" spans="2:12" x14ac:dyDescent="0.3">
      <c r="B763" s="28" t="str">
        <f t="shared" ca="1" si="34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3"/>
        <v>0</v>
      </c>
    </row>
    <row r="764" spans="2:12" x14ac:dyDescent="0.3">
      <c r="B764" s="28" t="str">
        <f t="shared" ca="1" si="34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3"/>
        <v>0</v>
      </c>
    </row>
    <row r="765" spans="2:12" x14ac:dyDescent="0.3">
      <c r="B765" s="28" t="str">
        <f t="shared" ca="1" si="34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3"/>
        <v>0</v>
      </c>
    </row>
    <row r="766" spans="2:12" x14ac:dyDescent="0.3">
      <c r="B766" s="28" t="str">
        <f t="shared" ca="1" si="34"/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ref="L766:L829" si="36">J766-I766-K766</f>
        <v>0</v>
      </c>
    </row>
    <row r="767" spans="2:12" x14ac:dyDescent="0.3">
      <c r="B767" s="28" t="str">
        <f t="shared" ref="B767:B830" ca="1" si="37">IF(D767&lt;&gt;"",DATE(Jahr,_xlfn.SHEET()-2,D767),"")</f>
        <v/>
      </c>
      <c r="C767" s="29" t="str">
        <f t="shared" ref="C767:C830" ca="1" si="38">B767</f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6"/>
        <v>0</v>
      </c>
    </row>
    <row r="768" spans="2:12" x14ac:dyDescent="0.3">
      <c r="B768" s="28" t="str">
        <f t="shared" ca="1" si="37"/>
        <v/>
      </c>
      <c r="C768" s="29" t="str">
        <f t="shared" ca="1" si="38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6"/>
        <v>0</v>
      </c>
    </row>
    <row r="769" spans="2:12" x14ac:dyDescent="0.3">
      <c r="B769" s="28" t="str">
        <f t="shared" ca="1" si="37"/>
        <v/>
      </c>
      <c r="C769" s="29" t="str">
        <f t="shared" ca="1" si="38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6"/>
        <v>0</v>
      </c>
    </row>
    <row r="770" spans="2:12" x14ac:dyDescent="0.3">
      <c r="B770" s="28" t="str">
        <f t="shared" ca="1" si="37"/>
        <v/>
      </c>
      <c r="C770" s="29" t="str">
        <f t="shared" ca="1" si="38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6"/>
        <v>0</v>
      </c>
    </row>
    <row r="771" spans="2:12" x14ac:dyDescent="0.3">
      <c r="B771" s="28" t="str">
        <f t="shared" ca="1" si="37"/>
        <v/>
      </c>
      <c r="C771" s="29" t="str">
        <f t="shared" ca="1" si="38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6"/>
        <v>0</v>
      </c>
    </row>
    <row r="772" spans="2:12" x14ac:dyDescent="0.3">
      <c r="B772" s="28" t="str">
        <f t="shared" ca="1" si="37"/>
        <v/>
      </c>
      <c r="C772" s="29" t="str">
        <f t="shared" ca="1" si="38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6"/>
        <v>0</v>
      </c>
    </row>
    <row r="773" spans="2:12" x14ac:dyDescent="0.3">
      <c r="B773" s="28" t="str">
        <f t="shared" ca="1" si="37"/>
        <v/>
      </c>
      <c r="C773" s="29" t="str">
        <f t="shared" ca="1" si="38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6"/>
        <v>0</v>
      </c>
    </row>
    <row r="774" spans="2:12" x14ac:dyDescent="0.3">
      <c r="B774" s="28" t="str">
        <f t="shared" ca="1" si="37"/>
        <v/>
      </c>
      <c r="C774" s="29" t="str">
        <f t="shared" ca="1" si="38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6"/>
        <v>0</v>
      </c>
    </row>
    <row r="775" spans="2:12" x14ac:dyDescent="0.3">
      <c r="B775" s="28" t="str">
        <f t="shared" ca="1" si="37"/>
        <v/>
      </c>
      <c r="C775" s="29" t="str">
        <f t="shared" ca="1" si="38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6"/>
        <v>0</v>
      </c>
    </row>
    <row r="776" spans="2:12" x14ac:dyDescent="0.3">
      <c r="B776" s="28" t="str">
        <f t="shared" ca="1" si="37"/>
        <v/>
      </c>
      <c r="C776" s="29" t="str">
        <f t="shared" ca="1" si="38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6"/>
        <v>0</v>
      </c>
    </row>
    <row r="777" spans="2:12" x14ac:dyDescent="0.3">
      <c r="B777" s="28" t="str">
        <f t="shared" ca="1" si="37"/>
        <v/>
      </c>
      <c r="C777" s="29" t="str">
        <f t="shared" ca="1" si="38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6"/>
        <v>0</v>
      </c>
    </row>
    <row r="778" spans="2:12" x14ac:dyDescent="0.3">
      <c r="B778" s="28" t="str">
        <f t="shared" ca="1" si="37"/>
        <v/>
      </c>
      <c r="C778" s="29" t="str">
        <f t="shared" ca="1" si="38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6"/>
        <v>0</v>
      </c>
    </row>
    <row r="779" spans="2:12" x14ac:dyDescent="0.3">
      <c r="B779" s="28" t="str">
        <f t="shared" ca="1" si="37"/>
        <v/>
      </c>
      <c r="C779" s="29" t="str">
        <f t="shared" ca="1" si="38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6"/>
        <v>0</v>
      </c>
    </row>
    <row r="827" spans="2:12" x14ac:dyDescent="0.3">
      <c r="B827" s="28" t="str">
        <f t="shared" ca="1" si="37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6"/>
        <v>0</v>
      </c>
    </row>
    <row r="828" spans="2:12" x14ac:dyDescent="0.3">
      <c r="B828" s="28" t="str">
        <f t="shared" ca="1" si="37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6"/>
        <v>0</v>
      </c>
    </row>
    <row r="829" spans="2:12" x14ac:dyDescent="0.3">
      <c r="B829" s="28" t="str">
        <f t="shared" ca="1" si="37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6"/>
        <v>0</v>
      </c>
    </row>
    <row r="830" spans="2:12" x14ac:dyDescent="0.3">
      <c r="B830" s="28" t="str">
        <f t="shared" ca="1" si="37"/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ref="L830:L893" si="39">J830-I830-K830</f>
        <v>0</v>
      </c>
    </row>
    <row r="831" spans="2:12" x14ac:dyDescent="0.3">
      <c r="B831" s="28" t="str">
        <f t="shared" ref="B831:B894" ca="1" si="40">IF(D831&lt;&gt;"",DATE(Jahr,_xlfn.SHEET()-2,D831),"")</f>
        <v/>
      </c>
      <c r="C831" s="29" t="str">
        <f t="shared" ref="C831:C894" ca="1" si="41">B831</f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9"/>
        <v>0</v>
      </c>
    </row>
    <row r="832" spans="2:12" x14ac:dyDescent="0.3">
      <c r="B832" s="28" t="str">
        <f t="shared" ca="1" si="40"/>
        <v/>
      </c>
      <c r="C832" s="29" t="str">
        <f t="shared" ca="1" si="41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9"/>
        <v>0</v>
      </c>
    </row>
    <row r="833" spans="2:12" x14ac:dyDescent="0.3">
      <c r="B833" s="28" t="str">
        <f t="shared" ca="1" si="40"/>
        <v/>
      </c>
      <c r="C833" s="29" t="str">
        <f t="shared" ca="1" si="41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9"/>
        <v>0</v>
      </c>
    </row>
    <row r="834" spans="2:12" x14ac:dyDescent="0.3">
      <c r="B834" s="28" t="str">
        <f t="shared" ca="1" si="40"/>
        <v/>
      </c>
      <c r="C834" s="29" t="str">
        <f t="shared" ca="1" si="41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9"/>
        <v>0</v>
      </c>
    </row>
    <row r="835" spans="2:12" x14ac:dyDescent="0.3">
      <c r="B835" s="28" t="str">
        <f t="shared" ca="1" si="40"/>
        <v/>
      </c>
      <c r="C835" s="29" t="str">
        <f t="shared" ca="1" si="41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9"/>
        <v>0</v>
      </c>
    </row>
    <row r="836" spans="2:12" x14ac:dyDescent="0.3">
      <c r="B836" s="28" t="str">
        <f t="shared" ca="1" si="40"/>
        <v/>
      </c>
      <c r="C836" s="29" t="str">
        <f t="shared" ca="1" si="41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9"/>
        <v>0</v>
      </c>
    </row>
    <row r="837" spans="2:12" x14ac:dyDescent="0.3">
      <c r="B837" s="28" t="str">
        <f t="shared" ca="1" si="40"/>
        <v/>
      </c>
      <c r="C837" s="29" t="str">
        <f t="shared" ca="1" si="41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9"/>
        <v>0</v>
      </c>
    </row>
    <row r="838" spans="2:12" x14ac:dyDescent="0.3">
      <c r="B838" s="28" t="str">
        <f t="shared" ca="1" si="40"/>
        <v/>
      </c>
      <c r="C838" s="29" t="str">
        <f t="shared" ca="1" si="41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9"/>
        <v>0</v>
      </c>
    </row>
    <row r="839" spans="2:12" x14ac:dyDescent="0.3">
      <c r="B839" s="28" t="str">
        <f t="shared" ca="1" si="40"/>
        <v/>
      </c>
      <c r="C839" s="29" t="str">
        <f t="shared" ca="1" si="41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9"/>
        <v>0</v>
      </c>
    </row>
    <row r="840" spans="2:12" x14ac:dyDescent="0.3">
      <c r="B840" s="28" t="str">
        <f t="shared" ca="1" si="40"/>
        <v/>
      </c>
      <c r="C840" s="29" t="str">
        <f t="shared" ca="1" si="41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9"/>
        <v>0</v>
      </c>
    </row>
    <row r="841" spans="2:12" x14ac:dyDescent="0.3">
      <c r="B841" s="28" t="str">
        <f t="shared" ca="1" si="40"/>
        <v/>
      </c>
      <c r="C841" s="29" t="str">
        <f t="shared" ca="1" si="41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9"/>
        <v>0</v>
      </c>
    </row>
    <row r="842" spans="2:12" x14ac:dyDescent="0.3">
      <c r="B842" s="28" t="str">
        <f t="shared" ca="1" si="40"/>
        <v/>
      </c>
      <c r="C842" s="29" t="str">
        <f t="shared" ca="1" si="41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39"/>
        <v>0</v>
      </c>
    </row>
    <row r="843" spans="2:12" x14ac:dyDescent="0.3">
      <c r="B843" s="28" t="str">
        <f t="shared" ca="1" si="40"/>
        <v/>
      </c>
      <c r="C843" s="29" t="str">
        <f t="shared" ca="1" si="41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39"/>
        <v>0</v>
      </c>
    </row>
    <row r="891" spans="2:12" x14ac:dyDescent="0.3">
      <c r="B891" s="28" t="str">
        <f t="shared" ca="1" si="40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39"/>
        <v>0</v>
      </c>
    </row>
    <row r="892" spans="2:12" x14ac:dyDescent="0.3">
      <c r="B892" s="28" t="str">
        <f t="shared" ca="1" si="40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39"/>
        <v>0</v>
      </c>
    </row>
    <row r="893" spans="2:12" x14ac:dyDescent="0.3">
      <c r="B893" s="28" t="str">
        <f t="shared" ca="1" si="40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39"/>
        <v>0</v>
      </c>
    </row>
    <row r="894" spans="2:12" x14ac:dyDescent="0.3">
      <c r="B894" s="28" t="str">
        <f t="shared" ca="1" si="40"/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ref="L894:L957" si="42">J894-I894-K894</f>
        <v>0</v>
      </c>
    </row>
    <row r="895" spans="2:12" x14ac:dyDescent="0.3">
      <c r="B895" s="28" t="str">
        <f t="shared" ref="B895:B958" ca="1" si="43">IF(D895&lt;&gt;"",DATE(Jahr,_xlfn.SHEET()-2,D895),"")</f>
        <v/>
      </c>
      <c r="C895" s="29" t="str">
        <f t="shared" ref="C895:C958" ca="1" si="44">B895</f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42"/>
        <v>0</v>
      </c>
    </row>
    <row r="896" spans="2:12" x14ac:dyDescent="0.3">
      <c r="B896" s="28" t="str">
        <f t="shared" ca="1" si="43"/>
        <v/>
      </c>
      <c r="C896" s="29" t="str">
        <f t="shared" ca="1" si="44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42"/>
        <v>0</v>
      </c>
    </row>
    <row r="897" spans="2:12" x14ac:dyDescent="0.3">
      <c r="B897" s="28" t="str">
        <f t="shared" ca="1" si="43"/>
        <v/>
      </c>
      <c r="C897" s="29" t="str">
        <f t="shared" ca="1" si="44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42"/>
        <v>0</v>
      </c>
    </row>
    <row r="898" spans="2:12" x14ac:dyDescent="0.3">
      <c r="B898" s="28" t="str">
        <f t="shared" ca="1" si="43"/>
        <v/>
      </c>
      <c r="C898" s="29" t="str">
        <f t="shared" ca="1" si="44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42"/>
        <v>0</v>
      </c>
    </row>
    <row r="899" spans="2:12" x14ac:dyDescent="0.3">
      <c r="B899" s="28" t="str">
        <f t="shared" ca="1" si="43"/>
        <v/>
      </c>
      <c r="C899" s="29" t="str">
        <f t="shared" ca="1" si="44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42"/>
        <v>0</v>
      </c>
    </row>
    <row r="900" spans="2:12" x14ac:dyDescent="0.3">
      <c r="B900" s="28" t="str">
        <f t="shared" ca="1" si="43"/>
        <v/>
      </c>
      <c r="C900" s="29" t="str">
        <f t="shared" ca="1" si="44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42"/>
        <v>0</v>
      </c>
    </row>
    <row r="901" spans="2:12" x14ac:dyDescent="0.3">
      <c r="B901" s="28" t="str">
        <f t="shared" ca="1" si="43"/>
        <v/>
      </c>
      <c r="C901" s="29" t="str">
        <f t="shared" ca="1" si="44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42"/>
        <v>0</v>
      </c>
    </row>
    <row r="902" spans="2:12" x14ac:dyDescent="0.3">
      <c r="B902" s="28" t="str">
        <f t="shared" ca="1" si="43"/>
        <v/>
      </c>
      <c r="C902" s="29" t="str">
        <f t="shared" ca="1" si="44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42"/>
        <v>0</v>
      </c>
    </row>
    <row r="903" spans="2:12" x14ac:dyDescent="0.3">
      <c r="B903" s="28" t="str">
        <f t="shared" ca="1" si="43"/>
        <v/>
      </c>
      <c r="C903" s="29" t="str">
        <f t="shared" ca="1" si="44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42"/>
        <v>0</v>
      </c>
    </row>
    <row r="904" spans="2:12" x14ac:dyDescent="0.3">
      <c r="B904" s="28" t="str">
        <f t="shared" ca="1" si="43"/>
        <v/>
      </c>
      <c r="C904" s="29" t="str">
        <f t="shared" ca="1" si="44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42"/>
        <v>0</v>
      </c>
    </row>
    <row r="905" spans="2:12" x14ac:dyDescent="0.3">
      <c r="B905" s="28" t="str">
        <f t="shared" ca="1" si="43"/>
        <v/>
      </c>
      <c r="C905" s="29" t="str">
        <f t="shared" ca="1" si="44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42"/>
        <v>0</v>
      </c>
    </row>
    <row r="906" spans="2:12" x14ac:dyDescent="0.3">
      <c r="B906" s="28" t="str">
        <f t="shared" ca="1" si="43"/>
        <v/>
      </c>
      <c r="C906" s="29" t="str">
        <f t="shared" ca="1" si="44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42"/>
        <v>0</v>
      </c>
    </row>
    <row r="907" spans="2:12" x14ac:dyDescent="0.3">
      <c r="B907" s="28" t="str">
        <f t="shared" ca="1" si="43"/>
        <v/>
      </c>
      <c r="C907" s="29" t="str">
        <f t="shared" ca="1" si="44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2"/>
        <v>0</v>
      </c>
    </row>
    <row r="955" spans="2:12" x14ac:dyDescent="0.3">
      <c r="B955" s="28" t="str">
        <f t="shared" ca="1" si="43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2"/>
        <v>0</v>
      </c>
    </row>
    <row r="956" spans="2:12" x14ac:dyDescent="0.3">
      <c r="B956" s="28" t="str">
        <f t="shared" ca="1" si="43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2"/>
        <v>0</v>
      </c>
    </row>
    <row r="957" spans="2:12" x14ac:dyDescent="0.3">
      <c r="B957" s="28" t="str">
        <f t="shared" ca="1" si="43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2"/>
        <v>0</v>
      </c>
    </row>
    <row r="958" spans="2:12" x14ac:dyDescent="0.3">
      <c r="B958" s="28" t="str">
        <f t="shared" ca="1" si="43"/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ref="L958:L987" si="45">J958-I958-K958</f>
        <v>0</v>
      </c>
    </row>
    <row r="959" spans="2:12" x14ac:dyDescent="0.3">
      <c r="B959" s="28" t="str">
        <f t="shared" ref="B959:B987" ca="1" si="46">IF(D959&lt;&gt;"",DATE(Jahr,_xlfn.SHEET()-2,D959),"")</f>
        <v/>
      </c>
      <c r="C959" s="29" t="str">
        <f t="shared" ref="C959:C987" ca="1" si="47">B959</f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5"/>
        <v>0</v>
      </c>
    </row>
    <row r="960" spans="2:12" x14ac:dyDescent="0.3">
      <c r="B960" s="28" t="str">
        <f t="shared" ca="1" si="46"/>
        <v/>
      </c>
      <c r="C960" s="29" t="str">
        <f t="shared" ca="1" si="47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5"/>
        <v>0</v>
      </c>
    </row>
    <row r="961" spans="2:12" x14ac:dyDescent="0.3">
      <c r="B961" s="28" t="str">
        <f t="shared" ca="1" si="46"/>
        <v/>
      </c>
      <c r="C961" s="29" t="str">
        <f t="shared" ca="1" si="47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5"/>
        <v>0</v>
      </c>
    </row>
    <row r="962" spans="2:12" x14ac:dyDescent="0.3">
      <c r="B962" s="28" t="str">
        <f t="shared" ca="1" si="46"/>
        <v/>
      </c>
      <c r="C962" s="29" t="str">
        <f t="shared" ca="1" si="47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5"/>
        <v>0</v>
      </c>
    </row>
    <row r="963" spans="2:12" x14ac:dyDescent="0.3">
      <c r="B963" s="28" t="str">
        <f t="shared" ca="1" si="46"/>
        <v/>
      </c>
      <c r="C963" s="29" t="str">
        <f t="shared" ca="1" si="47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5"/>
        <v>0</v>
      </c>
    </row>
    <row r="964" spans="2:12" x14ac:dyDescent="0.3">
      <c r="B964" s="28" t="str">
        <f t="shared" ca="1" si="46"/>
        <v/>
      </c>
      <c r="C964" s="29" t="str">
        <f t="shared" ca="1" si="47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5"/>
        <v>0</v>
      </c>
    </row>
    <row r="965" spans="2:12" x14ac:dyDescent="0.3">
      <c r="B965" s="28" t="str">
        <f t="shared" ca="1" si="46"/>
        <v/>
      </c>
      <c r="C965" s="29" t="str">
        <f t="shared" ca="1" si="47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5"/>
        <v>0</v>
      </c>
    </row>
    <row r="966" spans="2:12" x14ac:dyDescent="0.3">
      <c r="B966" s="28" t="str">
        <f t="shared" ca="1" si="46"/>
        <v/>
      </c>
      <c r="C966" s="29" t="str">
        <f t="shared" ca="1" si="47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5"/>
        <v>0</v>
      </c>
    </row>
    <row r="967" spans="2:12" x14ac:dyDescent="0.3">
      <c r="B967" s="28" t="str">
        <f t="shared" ca="1" si="46"/>
        <v/>
      </c>
      <c r="C967" s="29" t="str">
        <f t="shared" ca="1" si="47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5"/>
        <v>0</v>
      </c>
    </row>
    <row r="968" spans="2:12" x14ac:dyDescent="0.3">
      <c r="B968" s="28" t="str">
        <f t="shared" ca="1" si="46"/>
        <v/>
      </c>
      <c r="C968" s="29" t="str">
        <f t="shared" ca="1" si="47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5"/>
        <v>0</v>
      </c>
    </row>
    <row r="969" spans="2:12" x14ac:dyDescent="0.3">
      <c r="B969" s="28" t="str">
        <f t="shared" ca="1" si="46"/>
        <v/>
      </c>
      <c r="C969" s="29" t="str">
        <f t="shared" ca="1" si="47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5"/>
        <v>0</v>
      </c>
    </row>
    <row r="970" spans="2:12" x14ac:dyDescent="0.3">
      <c r="B970" s="28" t="str">
        <f t="shared" ca="1" si="46"/>
        <v/>
      </c>
      <c r="C970" s="29" t="str">
        <f t="shared" ca="1" si="47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si="45"/>
        <v>0</v>
      </c>
    </row>
    <row r="971" spans="2:12" x14ac:dyDescent="0.3">
      <c r="B971" s="28" t="str">
        <f t="shared" ca="1" si="46"/>
        <v/>
      </c>
      <c r="C971" s="29" t="str">
        <f t="shared" ca="1" si="47"/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5"/>
        <v>0</v>
      </c>
    </row>
    <row r="972" spans="2:12" x14ac:dyDescent="0.3">
      <c r="B972" s="28" t="str">
        <f t="shared" ca="1" si="46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5"/>
        <v>0</v>
      </c>
    </row>
    <row r="973" spans="2:12" x14ac:dyDescent="0.3">
      <c r="B973" s="28" t="str">
        <f t="shared" ca="1" si="46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5"/>
        <v>0</v>
      </c>
    </row>
    <row r="974" spans="2:12" x14ac:dyDescent="0.3">
      <c r="B974" s="28" t="str">
        <f t="shared" ca="1" si="46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5"/>
        <v>0</v>
      </c>
    </row>
    <row r="975" spans="2:12" x14ac:dyDescent="0.3">
      <c r="B975" s="28" t="str">
        <f t="shared" ca="1" si="46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5"/>
        <v>0</v>
      </c>
    </row>
    <row r="976" spans="2:12" x14ac:dyDescent="0.3">
      <c r="B976" s="28" t="str">
        <f t="shared" ca="1" si="46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5"/>
        <v>0</v>
      </c>
    </row>
    <row r="977" spans="2:12" x14ac:dyDescent="0.3">
      <c r="B977" s="28" t="str">
        <f t="shared" ca="1" si="46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3" spans="2:12" x14ac:dyDescent="0.3">
      <c r="B983" s="28" t="str">
        <f t="shared" ca="1" si="46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B984" s="28" t="str">
        <f t="shared" ca="1" si="46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5"/>
        <v>0</v>
      </c>
    </row>
    <row r="985" spans="2:12" x14ac:dyDescent="0.3">
      <c r="B985" s="28" t="str">
        <f t="shared" ca="1" si="46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5"/>
        <v>0</v>
      </c>
    </row>
    <row r="986" spans="2:12" x14ac:dyDescent="0.3">
      <c r="B986" s="28" t="str">
        <f t="shared" ca="1" si="46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5"/>
        <v>0</v>
      </c>
    </row>
    <row r="987" spans="2:12" x14ac:dyDescent="0.3">
      <c r="B987" s="28" t="str">
        <f t="shared" ca="1" si="46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5"/>
        <v>0</v>
      </c>
    </row>
  </sheetData>
  <autoFilter ref="B8:L987" xr:uid="{00000000-0009-0000-0000-000004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87">
    <cfRule type="expression" dxfId="63" priority="1">
      <formula>AND($D9&lt;&gt;"",NOT(ISNUMBER($D9)))</formula>
    </cfRule>
    <cfRule type="expression" dxfId="62" priority="2">
      <formula>OR($D9&lt;=0,DAY(DATE(YEAR($C9),MONTH($C9)+1,1)-1) &lt;$D9)</formula>
    </cfRule>
    <cfRule type="expression" dxfId="60" priority="4">
      <formula>AND($D9&lt;&gt;"",WEEKDAY($B9,2)=6)</formula>
    </cfRule>
    <cfRule type="expression" dxfId="59" priority="5">
      <formula>AND($D9&lt;&gt;"",WEEKDAY($B9,2)=7)</formula>
    </cfRule>
    <cfRule type="expression" dxfId="58" priority="6">
      <formula>AND($D9&lt;&gt;"",WEEKDAY($B9,2)&lt;6)</formula>
    </cfRule>
  </conditionalFormatting>
  <dataValidations count="2">
    <dataValidation type="list" allowBlank="1" showInputMessage="1" showErrorMessage="1" sqref="F9:F987" xr:uid="{B33C05DB-E11D-44F7-9693-CE0802FA1A76}">
      <formula1>Projektnamen</formula1>
    </dataValidation>
    <dataValidation type="list" allowBlank="1" showInputMessage="1" showErrorMessage="1" sqref="G9:G987" xr:uid="{C2D10DA2-1A97-4702-A72C-7B3D6536EB20}">
      <formula1>Arbeitspakete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867277A-91B6-4051-8582-CEE4CEE8D573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B9:B987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984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SUM(L9:L982)*24</f>
        <v>0</v>
      </c>
    </row>
    <row r="5" spans="2:12" x14ac:dyDescent="0.3">
      <c r="B5" t="s">
        <v>67</v>
      </c>
      <c r="D5" t="str">
        <f ca="1">TEXT("1. "&amp;_xlfn.SHEET()-2,"MMMM")</f>
        <v>April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0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62" si="0">J9-I9-K9</f>
        <v>0</v>
      </c>
    </row>
    <row r="10" spans="2:12" x14ac:dyDescent="0.3">
      <c r="B10" s="28" t="str">
        <f t="shared" ref="B10:B62" ca="1" si="1">IF(D10&lt;&gt;"",DATE(Jahr,_xlfn.SHEET()-2,D10),"")</f>
        <v/>
      </c>
      <c r="C10" s="29" t="str">
        <f t="shared" ref="C10:C62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ca="1">IF(D11&lt;&gt;"",DATE(Jahr,_xlfn.SHEET()-2,D11),"")</f>
        <v/>
      </c>
      <c r="C11" s="29" t="str">
        <f ca="1">B11</f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  <c r="T27" s="88"/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  <c r="T28" s="89"/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  <c r="T29" s="89"/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  <c r="T30" s="89"/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  <c r="T31" s="89"/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  <c r="T32" s="89"/>
    </row>
    <row r="33" spans="2:20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  <c r="T33" s="89"/>
    </row>
    <row r="34" spans="2:20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  <c r="T34" s="90"/>
    </row>
    <row r="35" spans="2:20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20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</row>
    <row r="37" spans="2:20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</row>
    <row r="38" spans="2:20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</row>
    <row r="39" spans="2:20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</row>
    <row r="40" spans="2:20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0"/>
        <v>0</v>
      </c>
    </row>
    <row r="41" spans="2:20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20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108"/>
      <c r="I42" s="59"/>
      <c r="J42" s="59"/>
      <c r="K42" s="59"/>
      <c r="L42" s="5">
        <f t="shared" si="0"/>
        <v>0</v>
      </c>
    </row>
    <row r="43" spans="2:20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20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20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20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20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20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ca="1">IF(D63&lt;&gt;"",DATE(Jahr,_xlfn.SHEET()-2,D63),"")</f>
        <v/>
      </c>
      <c r="C63" s="29" t="str">
        <f ca="1">B63</f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ref="L63:L120" si="3">J63-I63-K63</f>
        <v>0</v>
      </c>
    </row>
    <row r="64" spans="2:12" x14ac:dyDescent="0.3">
      <c r="B64" s="28" t="str">
        <f t="shared" ref="B64:B121" ca="1" si="4">IF(D64&lt;&gt;"",DATE(Jahr,_xlfn.SHEET()-2,D64),"")</f>
        <v/>
      </c>
      <c r="C64" s="29" t="str">
        <f t="shared" ref="C64:C121" ca="1" si="5">B64</f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3"/>
        <v>0</v>
      </c>
    </row>
    <row r="65" spans="2:12" x14ac:dyDescent="0.3">
      <c r="B65" s="28" t="str">
        <f t="shared" ca="1" si="4"/>
        <v/>
      </c>
      <c r="C65" s="29" t="str">
        <f t="shared" ca="1" si="5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3"/>
        <v>0</v>
      </c>
    </row>
    <row r="66" spans="2:12" x14ac:dyDescent="0.3">
      <c r="B66" s="28" t="str">
        <f t="shared" ca="1" si="4"/>
        <v/>
      </c>
      <c r="C66" s="29" t="str">
        <f t="shared" ca="1" si="5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3"/>
        <v>0</v>
      </c>
    </row>
    <row r="67" spans="2:12" x14ac:dyDescent="0.3">
      <c r="B67" s="28" t="str">
        <f t="shared" ca="1" si="4"/>
        <v/>
      </c>
      <c r="C67" s="29" t="str">
        <f t="shared" ca="1" si="5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3"/>
        <v>0</v>
      </c>
    </row>
    <row r="68" spans="2:12" x14ac:dyDescent="0.3">
      <c r="B68" s="28" t="str">
        <f t="shared" ca="1" si="4"/>
        <v/>
      </c>
      <c r="C68" s="29" t="str">
        <f t="shared" ca="1" si="5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3"/>
        <v>0</v>
      </c>
    </row>
    <row r="69" spans="2:12" x14ac:dyDescent="0.3">
      <c r="B69" s="28" t="str">
        <f t="shared" ca="1" si="4"/>
        <v/>
      </c>
      <c r="C69" s="29" t="str">
        <f t="shared" ca="1" si="5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3"/>
        <v>0</v>
      </c>
    </row>
    <row r="70" spans="2:12" x14ac:dyDescent="0.3">
      <c r="B70" s="28" t="str">
        <f t="shared" ca="1" si="4"/>
        <v/>
      </c>
      <c r="C70" s="29" t="str">
        <f t="shared" ca="1" si="5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3"/>
        <v>0</v>
      </c>
    </row>
    <row r="71" spans="2:12" x14ac:dyDescent="0.3">
      <c r="B71" s="28" t="str">
        <f t="shared" ca="1" si="4"/>
        <v/>
      </c>
      <c r="C71" s="29" t="str">
        <f t="shared" ca="1" si="5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3"/>
        <v>0</v>
      </c>
    </row>
    <row r="72" spans="2:12" x14ac:dyDescent="0.3">
      <c r="B72" s="28" t="str">
        <f ca="1">IF(D72&lt;&gt;"",DATE(Jahr,_xlfn.SHEET()-2,D72),"")</f>
        <v/>
      </c>
      <c r="C72" s="29" t="str">
        <f ca="1">B72</f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3"/>
        <v>0</v>
      </c>
    </row>
    <row r="73" spans="2:12" x14ac:dyDescent="0.3">
      <c r="B73" s="28" t="str">
        <f t="shared" ca="1" si="4"/>
        <v/>
      </c>
      <c r="C73" s="29" t="str">
        <f t="shared" ca="1" si="5"/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3"/>
        <v>0</v>
      </c>
    </row>
    <row r="74" spans="2:12" x14ac:dyDescent="0.3">
      <c r="B74" s="28" t="str">
        <f t="shared" ca="1" si="4"/>
        <v/>
      </c>
      <c r="C74" s="29" t="str">
        <f t="shared" ca="1" si="5"/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3"/>
        <v>0</v>
      </c>
    </row>
    <row r="75" spans="2:12" x14ac:dyDescent="0.3">
      <c r="B75" s="28" t="str">
        <f t="shared" ca="1" si="4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3"/>
        <v>0</v>
      </c>
    </row>
    <row r="76" spans="2:12" x14ac:dyDescent="0.3">
      <c r="B76" s="28" t="str">
        <f t="shared" ca="1" si="4"/>
        <v/>
      </c>
      <c r="C76" s="29" t="str">
        <f t="shared" ca="1" si="5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3"/>
        <v>0</v>
      </c>
    </row>
    <row r="77" spans="2:12" x14ac:dyDescent="0.3">
      <c r="B77" s="28" t="str">
        <f ca="1">IF(D77&lt;&gt;"",DATE(Jahr,_xlfn.SHEET()-2,D77),"")</f>
        <v/>
      </c>
      <c r="C77" s="29" t="str">
        <f ca="1">B77</f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3"/>
        <v>0</v>
      </c>
    </row>
    <row r="78" spans="2:12" x14ac:dyDescent="0.3">
      <c r="B78" s="28" t="str">
        <f ca="1">IF(D78&lt;&gt;"",DATE(Jahr,_xlfn.SHEET()-2,D78),"")</f>
        <v/>
      </c>
      <c r="C78" s="29" t="str">
        <f ca="1">B78</f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3"/>
        <v>0</v>
      </c>
    </row>
    <row r="79" spans="2:12" x14ac:dyDescent="0.3">
      <c r="B79" s="28" t="str">
        <f t="shared" ca="1" si="4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t="shared" ca="1" si="4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t="shared" ca="1" si="4"/>
        <v/>
      </c>
      <c r="C86" s="29" t="str">
        <f t="shared" ca="1" si="5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ref="L121:L184" si="6">J121-I121-K121</f>
        <v>0</v>
      </c>
    </row>
    <row r="122" spans="2:12" x14ac:dyDescent="0.3">
      <c r="B122" s="28" t="str">
        <f t="shared" ref="B122:B185" ca="1" si="7">IF(D122&lt;&gt;"",DATE(Jahr,_xlfn.SHEET()-2,D122),"")</f>
        <v/>
      </c>
      <c r="C122" s="29" t="str">
        <f t="shared" ref="C122:C185" ca="1" si="8">B122</f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6"/>
        <v>0</v>
      </c>
    </row>
    <row r="123" spans="2:12" x14ac:dyDescent="0.3">
      <c r="B123" s="28" t="str">
        <f t="shared" ca="1" si="7"/>
        <v/>
      </c>
      <c r="C123" s="29" t="str">
        <f t="shared" ca="1" si="8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6"/>
        <v>0</v>
      </c>
    </row>
    <row r="124" spans="2:12" x14ac:dyDescent="0.3">
      <c r="B124" s="28" t="str">
        <f t="shared" ca="1" si="7"/>
        <v/>
      </c>
      <c r="C124" s="29" t="str">
        <f t="shared" ca="1" si="8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6"/>
        <v>0</v>
      </c>
    </row>
    <row r="125" spans="2:12" x14ac:dyDescent="0.3">
      <c r="B125" s="28" t="str">
        <f t="shared" ca="1" si="7"/>
        <v/>
      </c>
      <c r="C125" s="29" t="str">
        <f t="shared" ca="1" si="8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6"/>
        <v>0</v>
      </c>
    </row>
    <row r="126" spans="2:12" x14ac:dyDescent="0.3">
      <c r="B126" s="28" t="str">
        <f t="shared" ca="1" si="7"/>
        <v/>
      </c>
      <c r="C126" s="29" t="str">
        <f t="shared" ca="1" si="8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6"/>
        <v>0</v>
      </c>
    </row>
    <row r="127" spans="2:12" x14ac:dyDescent="0.3">
      <c r="B127" s="28" t="str">
        <f t="shared" ca="1" si="7"/>
        <v/>
      </c>
      <c r="C127" s="29" t="str">
        <f t="shared" ca="1" si="8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6"/>
        <v>0</v>
      </c>
    </row>
    <row r="128" spans="2:12" x14ac:dyDescent="0.3">
      <c r="B128" s="28" t="str">
        <f t="shared" ca="1" si="7"/>
        <v/>
      </c>
      <c r="C128" s="29" t="str">
        <f t="shared" ca="1" si="8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6"/>
        <v>0</v>
      </c>
    </row>
    <row r="129" spans="2:12" x14ac:dyDescent="0.3">
      <c r="B129" s="28" t="str">
        <f t="shared" ca="1" si="7"/>
        <v/>
      </c>
      <c r="C129" s="29" t="str">
        <f t="shared" ca="1" si="8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6"/>
        <v>0</v>
      </c>
    </row>
    <row r="130" spans="2:12" x14ac:dyDescent="0.3">
      <c r="B130" s="28" t="str">
        <f t="shared" ca="1" si="7"/>
        <v/>
      </c>
      <c r="C130" s="29" t="str">
        <f t="shared" ca="1" si="8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6"/>
        <v>0</v>
      </c>
    </row>
    <row r="131" spans="2:12" x14ac:dyDescent="0.3">
      <c r="B131" s="28" t="str">
        <f t="shared" ca="1" si="7"/>
        <v/>
      </c>
      <c r="C131" s="29" t="str">
        <f t="shared" ca="1" si="8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6"/>
        <v>0</v>
      </c>
    </row>
    <row r="132" spans="2:12" x14ac:dyDescent="0.3">
      <c r="B132" s="28" t="str">
        <f t="shared" ca="1" si="7"/>
        <v/>
      </c>
      <c r="C132" s="29" t="str">
        <f t="shared" ca="1" si="8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6"/>
        <v>0</v>
      </c>
    </row>
    <row r="133" spans="2:12" x14ac:dyDescent="0.3">
      <c r="B133" s="28" t="str">
        <f t="shared" ca="1" si="7"/>
        <v/>
      </c>
      <c r="C133" s="29" t="str">
        <f t="shared" ca="1" si="8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6"/>
        <v>0</v>
      </c>
    </row>
    <row r="134" spans="2:12" x14ac:dyDescent="0.3">
      <c r="B134" s="28" t="str">
        <f t="shared" ca="1" si="7"/>
        <v/>
      </c>
      <c r="C134" s="29" t="str">
        <f t="shared" ca="1" si="8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6"/>
        <v>0</v>
      </c>
    </row>
    <row r="135" spans="2:12" x14ac:dyDescent="0.3">
      <c r="B135" s="28" t="str">
        <f t="shared" ca="1" si="7"/>
        <v/>
      </c>
      <c r="C135" s="29" t="str">
        <f t="shared" ca="1" si="8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6"/>
        <v>0</v>
      </c>
    </row>
    <row r="136" spans="2:12" x14ac:dyDescent="0.3">
      <c r="B136" s="28" t="str">
        <f t="shared" ca="1" si="7"/>
        <v/>
      </c>
      <c r="C136" s="29" t="str">
        <f t="shared" ca="1" si="8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6"/>
        <v>0</v>
      </c>
    </row>
    <row r="137" spans="2:12" x14ac:dyDescent="0.3">
      <c r="B137" s="28" t="str">
        <f t="shared" ca="1" si="7"/>
        <v/>
      </c>
      <c r="C137" s="29" t="str">
        <f t="shared" ca="1" si="8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6"/>
        <v>0</v>
      </c>
    </row>
    <row r="138" spans="2:12" x14ac:dyDescent="0.3">
      <c r="B138" s="28" t="str">
        <f t="shared" ca="1" si="7"/>
        <v/>
      </c>
      <c r="C138" s="29" t="str">
        <f t="shared" ca="1" si="8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6"/>
        <v>0</v>
      </c>
    </row>
    <row r="139" spans="2:12" x14ac:dyDescent="0.3">
      <c r="B139" s="28" t="str">
        <f t="shared" ca="1" si="7"/>
        <v/>
      </c>
      <c r="C139" s="29" t="str">
        <f t="shared" ca="1" si="8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ref="L185:L248" si="9">J185-I185-K185</f>
        <v>0</v>
      </c>
    </row>
    <row r="186" spans="2:12" x14ac:dyDescent="0.3">
      <c r="B186" s="28" t="str">
        <f t="shared" ref="B186:B249" ca="1" si="10">IF(D186&lt;&gt;"",DATE(Jahr,_xlfn.SHEET()-2,D186),"")</f>
        <v/>
      </c>
      <c r="C186" s="29" t="str">
        <f t="shared" ref="C186:C249" ca="1" si="11">B186</f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9"/>
        <v>0</v>
      </c>
    </row>
    <row r="187" spans="2:12" x14ac:dyDescent="0.3">
      <c r="B187" s="28" t="str">
        <f t="shared" ca="1" si="10"/>
        <v/>
      </c>
      <c r="C187" s="29" t="str">
        <f t="shared" ca="1" si="11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9"/>
        <v>0</v>
      </c>
    </row>
    <row r="188" spans="2:12" x14ac:dyDescent="0.3">
      <c r="B188" s="28" t="str">
        <f t="shared" ca="1" si="10"/>
        <v/>
      </c>
      <c r="C188" s="29" t="str">
        <f t="shared" ca="1" si="11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9"/>
        <v>0</v>
      </c>
    </row>
    <row r="189" spans="2:12" x14ac:dyDescent="0.3">
      <c r="B189" s="28" t="str">
        <f t="shared" ca="1" si="10"/>
        <v/>
      </c>
      <c r="C189" s="29" t="str">
        <f t="shared" ca="1" si="11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9"/>
        <v>0</v>
      </c>
    </row>
    <row r="190" spans="2:12" x14ac:dyDescent="0.3">
      <c r="B190" s="28" t="str">
        <f t="shared" ca="1" si="10"/>
        <v/>
      </c>
      <c r="C190" s="29" t="str">
        <f t="shared" ca="1" si="11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9"/>
        <v>0</v>
      </c>
    </row>
    <row r="191" spans="2:12" x14ac:dyDescent="0.3">
      <c r="B191" s="28" t="str">
        <f t="shared" ca="1" si="10"/>
        <v/>
      </c>
      <c r="C191" s="29" t="str">
        <f t="shared" ca="1" si="11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9"/>
        <v>0</v>
      </c>
    </row>
    <row r="192" spans="2:12" x14ac:dyDescent="0.3">
      <c r="B192" s="28" t="str">
        <f t="shared" ca="1" si="10"/>
        <v/>
      </c>
      <c r="C192" s="29" t="str">
        <f t="shared" ca="1" si="11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9"/>
        <v>0</v>
      </c>
    </row>
    <row r="193" spans="2:12" x14ac:dyDescent="0.3">
      <c r="B193" s="28" t="str">
        <f t="shared" ca="1" si="10"/>
        <v/>
      </c>
      <c r="C193" s="29" t="str">
        <f t="shared" ca="1" si="11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9"/>
        <v>0</v>
      </c>
    </row>
    <row r="194" spans="2:12" x14ac:dyDescent="0.3">
      <c r="B194" s="28" t="str">
        <f t="shared" ca="1" si="10"/>
        <v/>
      </c>
      <c r="C194" s="29" t="str">
        <f t="shared" ca="1" si="11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9"/>
        <v>0</v>
      </c>
    </row>
    <row r="195" spans="2:12" x14ac:dyDescent="0.3">
      <c r="B195" s="28" t="str">
        <f t="shared" ca="1" si="10"/>
        <v/>
      </c>
      <c r="C195" s="29" t="str">
        <f t="shared" ca="1" si="11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9"/>
        <v>0</v>
      </c>
    </row>
    <row r="196" spans="2:12" x14ac:dyDescent="0.3">
      <c r="B196" s="28" t="str">
        <f t="shared" ca="1" si="10"/>
        <v/>
      </c>
      <c r="C196" s="29" t="str">
        <f t="shared" ca="1" si="11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9"/>
        <v>0</v>
      </c>
    </row>
    <row r="197" spans="2:12" x14ac:dyDescent="0.3">
      <c r="B197" s="28" t="str">
        <f t="shared" ca="1" si="10"/>
        <v/>
      </c>
      <c r="C197" s="29" t="str">
        <f t="shared" ca="1" si="11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9"/>
        <v>0</v>
      </c>
    </row>
    <row r="198" spans="2:12" x14ac:dyDescent="0.3">
      <c r="B198" s="28" t="str">
        <f t="shared" ca="1" si="10"/>
        <v/>
      </c>
      <c r="C198" s="29" t="str">
        <f t="shared" ca="1" si="11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9"/>
        <v>0</v>
      </c>
    </row>
    <row r="199" spans="2:12" x14ac:dyDescent="0.3">
      <c r="B199" s="28" t="str">
        <f t="shared" ca="1" si="10"/>
        <v/>
      </c>
      <c r="C199" s="29" t="str">
        <f t="shared" ca="1" si="11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9"/>
        <v>0</v>
      </c>
    </row>
    <row r="200" spans="2:12" x14ac:dyDescent="0.3">
      <c r="B200" s="28" t="str">
        <f t="shared" ca="1" si="10"/>
        <v/>
      </c>
      <c r="C200" s="29" t="str">
        <f t="shared" ca="1" si="11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9"/>
        <v>0</v>
      </c>
    </row>
    <row r="201" spans="2:12" x14ac:dyDescent="0.3">
      <c r="B201" s="28" t="str">
        <f t="shared" ca="1" si="10"/>
        <v/>
      </c>
      <c r="C201" s="29" t="str">
        <f t="shared" ca="1" si="11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9"/>
        <v>0</v>
      </c>
    </row>
    <row r="202" spans="2:12" x14ac:dyDescent="0.3">
      <c r="B202" s="28" t="str">
        <f t="shared" ca="1" si="10"/>
        <v/>
      </c>
      <c r="C202" s="29" t="str">
        <f t="shared" ca="1" si="11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9"/>
        <v>0</v>
      </c>
    </row>
    <row r="203" spans="2:12" x14ac:dyDescent="0.3">
      <c r="B203" s="28" t="str">
        <f t="shared" ca="1" si="10"/>
        <v/>
      </c>
      <c r="C203" s="29" t="str">
        <f t="shared" ca="1" si="11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ref="L249:L312" si="12">J249-I249-K249</f>
        <v>0</v>
      </c>
    </row>
    <row r="250" spans="2:12" x14ac:dyDescent="0.3">
      <c r="B250" s="28" t="str">
        <f t="shared" ref="B250:B313" ca="1" si="13">IF(D250&lt;&gt;"",DATE(Jahr,_xlfn.SHEET()-2,D250),"")</f>
        <v/>
      </c>
      <c r="C250" s="29" t="str">
        <f t="shared" ref="C250:C313" ca="1" si="14">B250</f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12"/>
        <v>0</v>
      </c>
    </row>
    <row r="251" spans="2:12" x14ac:dyDescent="0.3">
      <c r="B251" s="28" t="str">
        <f t="shared" ca="1" si="13"/>
        <v/>
      </c>
      <c r="C251" s="29" t="str">
        <f t="shared" ca="1" si="14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12"/>
        <v>0</v>
      </c>
    </row>
    <row r="252" spans="2:12" x14ac:dyDescent="0.3">
      <c r="B252" s="28" t="str">
        <f t="shared" ca="1" si="13"/>
        <v/>
      </c>
      <c r="C252" s="29" t="str">
        <f t="shared" ca="1" si="14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12"/>
        <v>0</v>
      </c>
    </row>
    <row r="253" spans="2:12" x14ac:dyDescent="0.3">
      <c r="B253" s="28" t="str">
        <f t="shared" ca="1" si="13"/>
        <v/>
      </c>
      <c r="C253" s="29" t="str">
        <f t="shared" ca="1" si="14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12"/>
        <v>0</v>
      </c>
    </row>
    <row r="254" spans="2:12" x14ac:dyDescent="0.3">
      <c r="B254" s="28" t="str">
        <f t="shared" ca="1" si="13"/>
        <v/>
      </c>
      <c r="C254" s="29" t="str">
        <f t="shared" ca="1" si="14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12"/>
        <v>0</v>
      </c>
    </row>
    <row r="255" spans="2:12" x14ac:dyDescent="0.3">
      <c r="B255" s="28" t="str">
        <f t="shared" ca="1" si="13"/>
        <v/>
      </c>
      <c r="C255" s="29" t="str">
        <f t="shared" ca="1" si="14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12"/>
        <v>0</v>
      </c>
    </row>
    <row r="256" spans="2:12" x14ac:dyDescent="0.3">
      <c r="B256" s="28" t="str">
        <f t="shared" ca="1" si="13"/>
        <v/>
      </c>
      <c r="C256" s="29" t="str">
        <f t="shared" ca="1" si="14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12"/>
        <v>0</v>
      </c>
    </row>
    <row r="257" spans="2:12" x14ac:dyDescent="0.3">
      <c r="B257" s="28" t="str">
        <f t="shared" ca="1" si="13"/>
        <v/>
      </c>
      <c r="C257" s="29" t="str">
        <f t="shared" ca="1" si="14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12"/>
        <v>0</v>
      </c>
    </row>
    <row r="258" spans="2:12" x14ac:dyDescent="0.3">
      <c r="B258" s="28" t="str">
        <f t="shared" ca="1" si="13"/>
        <v/>
      </c>
      <c r="C258" s="29" t="str">
        <f t="shared" ca="1" si="14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12"/>
        <v>0</v>
      </c>
    </row>
    <row r="259" spans="2:12" x14ac:dyDescent="0.3">
      <c r="B259" s="28" t="str">
        <f t="shared" ca="1" si="13"/>
        <v/>
      </c>
      <c r="C259" s="29" t="str">
        <f t="shared" ca="1" si="14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12"/>
        <v>0</v>
      </c>
    </row>
    <row r="260" spans="2:12" x14ac:dyDescent="0.3">
      <c r="B260" s="28" t="str">
        <f t="shared" ca="1" si="13"/>
        <v/>
      </c>
      <c r="C260" s="29" t="str">
        <f t="shared" ca="1" si="14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12"/>
        <v>0</v>
      </c>
    </row>
    <row r="261" spans="2:12" x14ac:dyDescent="0.3">
      <c r="B261" s="28" t="str">
        <f t="shared" ca="1" si="13"/>
        <v/>
      </c>
      <c r="C261" s="29" t="str">
        <f t="shared" ca="1" si="14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12"/>
        <v>0</v>
      </c>
    </row>
    <row r="262" spans="2:12" x14ac:dyDescent="0.3">
      <c r="B262" s="28" t="str">
        <f t="shared" ca="1" si="13"/>
        <v/>
      </c>
      <c r="C262" s="29" t="str">
        <f t="shared" ca="1" si="14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12"/>
        <v>0</v>
      </c>
    </row>
    <row r="263" spans="2:12" x14ac:dyDescent="0.3">
      <c r="B263" s="28" t="str">
        <f t="shared" ca="1" si="13"/>
        <v/>
      </c>
      <c r="C263" s="29" t="str">
        <f t="shared" ca="1" si="14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12"/>
        <v>0</v>
      </c>
    </row>
    <row r="264" spans="2:12" x14ac:dyDescent="0.3">
      <c r="B264" s="28" t="str">
        <f t="shared" ca="1" si="13"/>
        <v/>
      </c>
      <c r="C264" s="29" t="str">
        <f t="shared" ca="1" si="14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12"/>
        <v>0</v>
      </c>
    </row>
    <row r="265" spans="2:12" x14ac:dyDescent="0.3">
      <c r="B265" s="28" t="str">
        <f t="shared" ca="1" si="13"/>
        <v/>
      </c>
      <c r="C265" s="29" t="str">
        <f t="shared" ca="1" si="14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12"/>
        <v>0</v>
      </c>
    </row>
    <row r="266" spans="2:12" x14ac:dyDescent="0.3">
      <c r="B266" s="28" t="str">
        <f t="shared" ca="1" si="13"/>
        <v/>
      </c>
      <c r="C266" s="29" t="str">
        <f t="shared" ca="1" si="14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12"/>
        <v>0</v>
      </c>
    </row>
    <row r="267" spans="2:12" x14ac:dyDescent="0.3">
      <c r="B267" s="28" t="str">
        <f t="shared" ca="1" si="13"/>
        <v/>
      </c>
      <c r="C267" s="29" t="str">
        <f t="shared" ca="1" si="14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ref="L313:L376" si="15">J313-I313-K313</f>
        <v>0</v>
      </c>
    </row>
    <row r="314" spans="2:12" x14ac:dyDescent="0.3">
      <c r="B314" s="28" t="str">
        <f t="shared" ref="B314:B377" ca="1" si="16">IF(D314&lt;&gt;"",DATE(Jahr,_xlfn.SHEET()-2,D314),"")</f>
        <v/>
      </c>
      <c r="C314" s="29" t="str">
        <f t="shared" ref="C314:C377" ca="1" si="17">B314</f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5"/>
        <v>0</v>
      </c>
    </row>
    <row r="315" spans="2:12" x14ac:dyDescent="0.3">
      <c r="B315" s="28" t="str">
        <f t="shared" ca="1" si="16"/>
        <v/>
      </c>
      <c r="C315" s="29" t="str">
        <f t="shared" ca="1" si="17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5"/>
        <v>0</v>
      </c>
    </row>
    <row r="316" spans="2:12" x14ac:dyDescent="0.3">
      <c r="B316" s="28" t="str">
        <f t="shared" ca="1" si="16"/>
        <v/>
      </c>
      <c r="C316" s="29" t="str">
        <f t="shared" ca="1" si="17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5"/>
        <v>0</v>
      </c>
    </row>
    <row r="317" spans="2:12" x14ac:dyDescent="0.3">
      <c r="B317" s="28" t="str">
        <f t="shared" ca="1" si="16"/>
        <v/>
      </c>
      <c r="C317" s="29" t="str">
        <f t="shared" ca="1" si="17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5"/>
        <v>0</v>
      </c>
    </row>
    <row r="318" spans="2:12" x14ac:dyDescent="0.3">
      <c r="B318" s="28" t="str">
        <f t="shared" ca="1" si="16"/>
        <v/>
      </c>
      <c r="C318" s="29" t="str">
        <f t="shared" ca="1" si="17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5"/>
        <v>0</v>
      </c>
    </row>
    <row r="319" spans="2:12" x14ac:dyDescent="0.3">
      <c r="B319" s="28" t="str">
        <f t="shared" ca="1" si="16"/>
        <v/>
      </c>
      <c r="C319" s="29" t="str">
        <f t="shared" ca="1" si="17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5"/>
        <v>0</v>
      </c>
    </row>
    <row r="320" spans="2:12" x14ac:dyDescent="0.3">
      <c r="B320" s="28" t="str">
        <f t="shared" ca="1" si="16"/>
        <v/>
      </c>
      <c r="C320" s="29" t="str">
        <f t="shared" ca="1" si="17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5"/>
        <v>0</v>
      </c>
    </row>
    <row r="321" spans="2:12" x14ac:dyDescent="0.3">
      <c r="B321" s="28" t="str">
        <f t="shared" ca="1" si="16"/>
        <v/>
      </c>
      <c r="C321" s="29" t="str">
        <f t="shared" ca="1" si="17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5"/>
        <v>0</v>
      </c>
    </row>
    <row r="322" spans="2:12" x14ac:dyDescent="0.3">
      <c r="B322" s="28" t="str">
        <f t="shared" ca="1" si="16"/>
        <v/>
      </c>
      <c r="C322" s="29" t="str">
        <f t="shared" ca="1" si="17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5"/>
        <v>0</v>
      </c>
    </row>
    <row r="323" spans="2:12" x14ac:dyDescent="0.3">
      <c r="B323" s="28" t="str">
        <f t="shared" ca="1" si="16"/>
        <v/>
      </c>
      <c r="C323" s="29" t="str">
        <f t="shared" ca="1" si="17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5"/>
        <v>0</v>
      </c>
    </row>
    <row r="324" spans="2:12" x14ac:dyDescent="0.3">
      <c r="B324" s="28" t="str">
        <f t="shared" ca="1" si="16"/>
        <v/>
      </c>
      <c r="C324" s="29" t="str">
        <f t="shared" ca="1" si="17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5"/>
        <v>0</v>
      </c>
    </row>
    <row r="325" spans="2:12" x14ac:dyDescent="0.3">
      <c r="B325" s="28" t="str">
        <f t="shared" ca="1" si="16"/>
        <v/>
      </c>
      <c r="C325" s="29" t="str">
        <f t="shared" ca="1" si="17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5"/>
        <v>0</v>
      </c>
    </row>
    <row r="326" spans="2:12" x14ac:dyDescent="0.3">
      <c r="B326" s="28" t="str">
        <f t="shared" ca="1" si="16"/>
        <v/>
      </c>
      <c r="C326" s="29" t="str">
        <f t="shared" ca="1" si="17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5"/>
        <v>0</v>
      </c>
    </row>
    <row r="327" spans="2:12" x14ac:dyDescent="0.3">
      <c r="B327" s="28" t="str">
        <f t="shared" ca="1" si="16"/>
        <v/>
      </c>
      <c r="C327" s="29" t="str">
        <f t="shared" ca="1" si="17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5"/>
        <v>0</v>
      </c>
    </row>
    <row r="328" spans="2:12" x14ac:dyDescent="0.3">
      <c r="B328" s="28" t="str">
        <f t="shared" ca="1" si="16"/>
        <v/>
      </c>
      <c r="C328" s="29" t="str">
        <f t="shared" ca="1" si="17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5"/>
        <v>0</v>
      </c>
    </row>
    <row r="329" spans="2:12" x14ac:dyDescent="0.3">
      <c r="B329" s="28" t="str">
        <f t="shared" ca="1" si="16"/>
        <v/>
      </c>
      <c r="C329" s="29" t="str">
        <f t="shared" ca="1" si="17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5"/>
        <v>0</v>
      </c>
    </row>
    <row r="330" spans="2:12" x14ac:dyDescent="0.3">
      <c r="B330" s="28" t="str">
        <f t="shared" ca="1" si="16"/>
        <v/>
      </c>
      <c r="C330" s="29" t="str">
        <f t="shared" ca="1" si="17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5"/>
        <v>0</v>
      </c>
    </row>
    <row r="331" spans="2:12" x14ac:dyDescent="0.3">
      <c r="B331" s="28" t="str">
        <f t="shared" ca="1" si="16"/>
        <v/>
      </c>
      <c r="C331" s="29" t="str">
        <f t="shared" ca="1" si="17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ref="L377:L440" si="18">J377-I377-K377</f>
        <v>0</v>
      </c>
    </row>
    <row r="378" spans="2:12" x14ac:dyDescent="0.3">
      <c r="B378" s="28" t="str">
        <f t="shared" ref="B378:B441" ca="1" si="19">IF(D378&lt;&gt;"",DATE(Jahr,_xlfn.SHEET()-2,D378),"")</f>
        <v/>
      </c>
      <c r="C378" s="29" t="str">
        <f t="shared" ref="C378:C441" ca="1" si="20">B378</f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8"/>
        <v>0</v>
      </c>
    </row>
    <row r="379" spans="2:12" x14ac:dyDescent="0.3">
      <c r="B379" s="28" t="str">
        <f t="shared" ca="1" si="19"/>
        <v/>
      </c>
      <c r="C379" s="29" t="str">
        <f t="shared" ca="1" si="20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8"/>
        <v>0</v>
      </c>
    </row>
    <row r="380" spans="2:12" x14ac:dyDescent="0.3">
      <c r="B380" s="28" t="str">
        <f t="shared" ca="1" si="19"/>
        <v/>
      </c>
      <c r="C380" s="29" t="str">
        <f t="shared" ca="1" si="20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8"/>
        <v>0</v>
      </c>
    </row>
    <row r="381" spans="2:12" x14ac:dyDescent="0.3">
      <c r="B381" s="28" t="str">
        <f t="shared" ca="1" si="19"/>
        <v/>
      </c>
      <c r="C381" s="29" t="str">
        <f t="shared" ca="1" si="20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8"/>
        <v>0</v>
      </c>
    </row>
    <row r="382" spans="2:12" x14ac:dyDescent="0.3">
      <c r="B382" s="28" t="str">
        <f t="shared" ca="1" si="19"/>
        <v/>
      </c>
      <c r="C382" s="29" t="str">
        <f t="shared" ca="1" si="20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8"/>
        <v>0</v>
      </c>
    </row>
    <row r="383" spans="2:12" x14ac:dyDescent="0.3">
      <c r="B383" s="28" t="str">
        <f t="shared" ca="1" si="19"/>
        <v/>
      </c>
      <c r="C383" s="29" t="str">
        <f t="shared" ca="1" si="20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8"/>
        <v>0</v>
      </c>
    </row>
    <row r="384" spans="2:12" x14ac:dyDescent="0.3">
      <c r="B384" s="28" t="str">
        <f t="shared" ca="1" si="19"/>
        <v/>
      </c>
      <c r="C384" s="29" t="str">
        <f t="shared" ca="1" si="20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8"/>
        <v>0</v>
      </c>
    </row>
    <row r="385" spans="2:12" x14ac:dyDescent="0.3">
      <c r="B385" s="28" t="str">
        <f t="shared" ca="1" si="19"/>
        <v/>
      </c>
      <c r="C385" s="29" t="str">
        <f t="shared" ca="1" si="20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8"/>
        <v>0</v>
      </c>
    </row>
    <row r="386" spans="2:12" x14ac:dyDescent="0.3">
      <c r="B386" s="28" t="str">
        <f t="shared" ca="1" si="19"/>
        <v/>
      </c>
      <c r="C386" s="29" t="str">
        <f t="shared" ca="1" si="20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8"/>
        <v>0</v>
      </c>
    </row>
    <row r="387" spans="2:12" x14ac:dyDescent="0.3">
      <c r="B387" s="28" t="str">
        <f t="shared" ca="1" si="19"/>
        <v/>
      </c>
      <c r="C387" s="29" t="str">
        <f t="shared" ca="1" si="20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8"/>
        <v>0</v>
      </c>
    </row>
    <row r="388" spans="2:12" x14ac:dyDescent="0.3">
      <c r="B388" s="28" t="str">
        <f t="shared" ca="1" si="19"/>
        <v/>
      </c>
      <c r="C388" s="29" t="str">
        <f t="shared" ca="1" si="20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8"/>
        <v>0</v>
      </c>
    </row>
    <row r="389" spans="2:12" x14ac:dyDescent="0.3">
      <c r="B389" s="28" t="str">
        <f t="shared" ca="1" si="19"/>
        <v/>
      </c>
      <c r="C389" s="29" t="str">
        <f t="shared" ca="1" si="20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8"/>
        <v>0</v>
      </c>
    </row>
    <row r="390" spans="2:12" x14ac:dyDescent="0.3">
      <c r="B390" s="28" t="str">
        <f t="shared" ca="1" si="19"/>
        <v/>
      </c>
      <c r="C390" s="29" t="str">
        <f t="shared" ca="1" si="20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8"/>
        <v>0</v>
      </c>
    </row>
    <row r="391" spans="2:12" x14ac:dyDescent="0.3">
      <c r="B391" s="28" t="str">
        <f t="shared" ca="1" si="19"/>
        <v/>
      </c>
      <c r="C391" s="29" t="str">
        <f t="shared" ca="1" si="20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8"/>
        <v>0</v>
      </c>
    </row>
    <row r="392" spans="2:12" x14ac:dyDescent="0.3">
      <c r="B392" s="28" t="str">
        <f t="shared" ca="1" si="19"/>
        <v/>
      </c>
      <c r="C392" s="29" t="str">
        <f t="shared" ca="1" si="20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8"/>
        <v>0</v>
      </c>
    </row>
    <row r="393" spans="2:12" x14ac:dyDescent="0.3">
      <c r="B393" s="28" t="str">
        <f t="shared" ca="1" si="19"/>
        <v/>
      </c>
      <c r="C393" s="29" t="str">
        <f t="shared" ca="1" si="20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8"/>
        <v>0</v>
      </c>
    </row>
    <row r="394" spans="2:12" x14ac:dyDescent="0.3">
      <c r="B394" s="28" t="str">
        <f t="shared" ca="1" si="19"/>
        <v/>
      </c>
      <c r="C394" s="29" t="str">
        <f t="shared" ca="1" si="20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8"/>
        <v>0</v>
      </c>
    </row>
    <row r="395" spans="2:12" x14ac:dyDescent="0.3">
      <c r="B395" s="28" t="str">
        <f t="shared" ca="1" si="19"/>
        <v/>
      </c>
      <c r="C395" s="29" t="str">
        <f t="shared" ca="1" si="20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ref="L441:L504" si="21">J441-I441-K441</f>
        <v>0</v>
      </c>
    </row>
    <row r="442" spans="2:12" x14ac:dyDescent="0.3">
      <c r="B442" s="28" t="str">
        <f t="shared" ref="B442:B505" ca="1" si="22">IF(D442&lt;&gt;"",DATE(Jahr,_xlfn.SHEET()-2,D442),"")</f>
        <v/>
      </c>
      <c r="C442" s="29" t="str">
        <f t="shared" ref="C442:C505" ca="1" si="23">B442</f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21"/>
        <v>0</v>
      </c>
    </row>
    <row r="443" spans="2:12" x14ac:dyDescent="0.3">
      <c r="B443" s="28" t="str">
        <f t="shared" ca="1" si="22"/>
        <v/>
      </c>
      <c r="C443" s="29" t="str">
        <f t="shared" ca="1" si="23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21"/>
        <v>0</v>
      </c>
    </row>
    <row r="444" spans="2:12" x14ac:dyDescent="0.3">
      <c r="B444" s="28" t="str">
        <f t="shared" ca="1" si="22"/>
        <v/>
      </c>
      <c r="C444" s="29" t="str">
        <f t="shared" ca="1" si="23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21"/>
        <v>0</v>
      </c>
    </row>
    <row r="445" spans="2:12" x14ac:dyDescent="0.3">
      <c r="B445" s="28" t="str">
        <f t="shared" ca="1" si="22"/>
        <v/>
      </c>
      <c r="C445" s="29" t="str">
        <f t="shared" ca="1" si="23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21"/>
        <v>0</v>
      </c>
    </row>
    <row r="446" spans="2:12" x14ac:dyDescent="0.3">
      <c r="B446" s="28" t="str">
        <f t="shared" ca="1" si="22"/>
        <v/>
      </c>
      <c r="C446" s="29" t="str">
        <f t="shared" ca="1" si="23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21"/>
        <v>0</v>
      </c>
    </row>
    <row r="447" spans="2:12" x14ac:dyDescent="0.3">
      <c r="B447" s="28" t="str">
        <f t="shared" ca="1" si="22"/>
        <v/>
      </c>
      <c r="C447" s="29" t="str">
        <f t="shared" ca="1" si="23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21"/>
        <v>0</v>
      </c>
    </row>
    <row r="448" spans="2:12" x14ac:dyDescent="0.3">
      <c r="B448" s="28" t="str">
        <f t="shared" ca="1" si="22"/>
        <v/>
      </c>
      <c r="C448" s="29" t="str">
        <f t="shared" ca="1" si="23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21"/>
        <v>0</v>
      </c>
    </row>
    <row r="449" spans="2:12" x14ac:dyDescent="0.3">
      <c r="B449" s="28" t="str">
        <f t="shared" ca="1" si="22"/>
        <v/>
      </c>
      <c r="C449" s="29" t="str">
        <f t="shared" ca="1" si="23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21"/>
        <v>0</v>
      </c>
    </row>
    <row r="450" spans="2:12" x14ac:dyDescent="0.3">
      <c r="B450" s="28" t="str">
        <f t="shared" ca="1" si="22"/>
        <v/>
      </c>
      <c r="C450" s="29" t="str">
        <f t="shared" ca="1" si="23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21"/>
        <v>0</v>
      </c>
    </row>
    <row r="451" spans="2:12" x14ac:dyDescent="0.3">
      <c r="B451" s="28" t="str">
        <f t="shared" ca="1" si="22"/>
        <v/>
      </c>
      <c r="C451" s="29" t="str">
        <f t="shared" ca="1" si="23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21"/>
        <v>0</v>
      </c>
    </row>
    <row r="452" spans="2:12" x14ac:dyDescent="0.3">
      <c r="B452" s="28" t="str">
        <f t="shared" ca="1" si="22"/>
        <v/>
      </c>
      <c r="C452" s="29" t="str">
        <f t="shared" ca="1" si="23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21"/>
        <v>0</v>
      </c>
    </row>
    <row r="453" spans="2:12" x14ac:dyDescent="0.3">
      <c r="B453" s="28" t="str">
        <f t="shared" ca="1" si="22"/>
        <v/>
      </c>
      <c r="C453" s="29" t="str">
        <f t="shared" ca="1" si="23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21"/>
        <v>0</v>
      </c>
    </row>
    <row r="454" spans="2:12" x14ac:dyDescent="0.3">
      <c r="B454" s="28" t="str">
        <f t="shared" ca="1" si="22"/>
        <v/>
      </c>
      <c r="C454" s="29" t="str">
        <f t="shared" ca="1" si="23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21"/>
        <v>0</v>
      </c>
    </row>
    <row r="455" spans="2:12" x14ac:dyDescent="0.3">
      <c r="B455" s="28" t="str">
        <f t="shared" ca="1" si="22"/>
        <v/>
      </c>
      <c r="C455" s="29" t="str">
        <f t="shared" ca="1" si="23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21"/>
        <v>0</v>
      </c>
    </row>
    <row r="456" spans="2:12" x14ac:dyDescent="0.3">
      <c r="B456" s="28" t="str">
        <f t="shared" ca="1" si="22"/>
        <v/>
      </c>
      <c r="C456" s="29" t="str">
        <f t="shared" ca="1" si="23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21"/>
        <v>0</v>
      </c>
    </row>
    <row r="457" spans="2:12" x14ac:dyDescent="0.3">
      <c r="B457" s="28" t="str">
        <f t="shared" ca="1" si="22"/>
        <v/>
      </c>
      <c r="C457" s="29" t="str">
        <f t="shared" ca="1" si="23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21"/>
        <v>0</v>
      </c>
    </row>
    <row r="458" spans="2:12" x14ac:dyDescent="0.3">
      <c r="B458" s="28" t="str">
        <f t="shared" ca="1" si="22"/>
        <v/>
      </c>
      <c r="C458" s="29" t="str">
        <f t="shared" ca="1" si="23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21"/>
        <v>0</v>
      </c>
    </row>
    <row r="459" spans="2:12" x14ac:dyDescent="0.3">
      <c r="B459" s="28" t="str">
        <f t="shared" ca="1" si="22"/>
        <v/>
      </c>
      <c r="C459" s="29" t="str">
        <f t="shared" ca="1" si="23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ref="L505:L568" si="24">J505-I505-K505</f>
        <v>0</v>
      </c>
    </row>
    <row r="506" spans="2:12" x14ac:dyDescent="0.3">
      <c r="B506" s="28" t="str">
        <f t="shared" ref="B506:B569" ca="1" si="25">IF(D506&lt;&gt;"",DATE(Jahr,_xlfn.SHEET()-2,D506),"")</f>
        <v/>
      </c>
      <c r="C506" s="29" t="str">
        <f t="shared" ref="C506:C569" ca="1" si="26">B506</f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4"/>
        <v>0</v>
      </c>
    </row>
    <row r="507" spans="2:12" x14ac:dyDescent="0.3">
      <c r="B507" s="28" t="str">
        <f t="shared" ca="1" si="25"/>
        <v/>
      </c>
      <c r="C507" s="29" t="str">
        <f t="shared" ca="1" si="26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4"/>
        <v>0</v>
      </c>
    </row>
    <row r="508" spans="2:12" x14ac:dyDescent="0.3">
      <c r="B508" s="28" t="str">
        <f t="shared" ca="1" si="25"/>
        <v/>
      </c>
      <c r="C508" s="29" t="str">
        <f t="shared" ca="1" si="26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4"/>
        <v>0</v>
      </c>
    </row>
    <row r="509" spans="2:12" x14ac:dyDescent="0.3">
      <c r="B509" s="28" t="str">
        <f t="shared" ca="1" si="25"/>
        <v/>
      </c>
      <c r="C509" s="29" t="str">
        <f t="shared" ca="1" si="26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4"/>
        <v>0</v>
      </c>
    </row>
    <row r="510" spans="2:12" x14ac:dyDescent="0.3">
      <c r="B510" s="28" t="str">
        <f t="shared" ca="1" si="25"/>
        <v/>
      </c>
      <c r="C510" s="29" t="str">
        <f t="shared" ca="1" si="26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4"/>
        <v>0</v>
      </c>
    </row>
    <row r="511" spans="2:12" x14ac:dyDescent="0.3">
      <c r="B511" s="28" t="str">
        <f t="shared" ca="1" si="25"/>
        <v/>
      </c>
      <c r="C511" s="29" t="str">
        <f t="shared" ca="1" si="26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4"/>
        <v>0</v>
      </c>
    </row>
    <row r="512" spans="2:12" x14ac:dyDescent="0.3">
      <c r="B512" s="28" t="str">
        <f t="shared" ca="1" si="25"/>
        <v/>
      </c>
      <c r="C512" s="29" t="str">
        <f t="shared" ca="1" si="26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4"/>
        <v>0</v>
      </c>
    </row>
    <row r="513" spans="2:12" x14ac:dyDescent="0.3">
      <c r="B513" s="28" t="str">
        <f t="shared" ca="1" si="25"/>
        <v/>
      </c>
      <c r="C513" s="29" t="str">
        <f t="shared" ca="1" si="26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4"/>
        <v>0</v>
      </c>
    </row>
    <row r="514" spans="2:12" x14ac:dyDescent="0.3">
      <c r="B514" s="28" t="str">
        <f t="shared" ca="1" si="25"/>
        <v/>
      </c>
      <c r="C514" s="29" t="str">
        <f t="shared" ca="1" si="26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4"/>
        <v>0</v>
      </c>
    </row>
    <row r="515" spans="2:12" x14ac:dyDescent="0.3">
      <c r="B515" s="28" t="str">
        <f t="shared" ca="1" si="25"/>
        <v/>
      </c>
      <c r="C515" s="29" t="str">
        <f t="shared" ca="1" si="26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4"/>
        <v>0</v>
      </c>
    </row>
    <row r="516" spans="2:12" x14ac:dyDescent="0.3">
      <c r="B516" s="28" t="str">
        <f t="shared" ca="1" si="25"/>
        <v/>
      </c>
      <c r="C516" s="29" t="str">
        <f t="shared" ca="1" si="26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4"/>
        <v>0</v>
      </c>
    </row>
    <row r="517" spans="2:12" x14ac:dyDescent="0.3">
      <c r="B517" s="28" t="str">
        <f t="shared" ca="1" si="25"/>
        <v/>
      </c>
      <c r="C517" s="29" t="str">
        <f t="shared" ca="1" si="26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4"/>
        <v>0</v>
      </c>
    </row>
    <row r="518" spans="2:12" x14ac:dyDescent="0.3">
      <c r="B518" s="28" t="str">
        <f t="shared" ca="1" si="25"/>
        <v/>
      </c>
      <c r="C518" s="29" t="str">
        <f t="shared" ca="1" si="26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4"/>
        <v>0</v>
      </c>
    </row>
    <row r="519" spans="2:12" x14ac:dyDescent="0.3">
      <c r="B519" s="28" t="str">
        <f t="shared" ca="1" si="25"/>
        <v/>
      </c>
      <c r="C519" s="29" t="str">
        <f t="shared" ca="1" si="26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4"/>
        <v>0</v>
      </c>
    </row>
    <row r="520" spans="2:12" x14ac:dyDescent="0.3">
      <c r="B520" s="28" t="str">
        <f t="shared" ca="1" si="25"/>
        <v/>
      </c>
      <c r="C520" s="29" t="str">
        <f t="shared" ca="1" si="26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4"/>
        <v>0</v>
      </c>
    </row>
    <row r="521" spans="2:12" x14ac:dyDescent="0.3">
      <c r="B521" s="28" t="str">
        <f t="shared" ca="1" si="25"/>
        <v/>
      </c>
      <c r="C521" s="29" t="str">
        <f t="shared" ca="1" si="26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4"/>
        <v>0</v>
      </c>
    </row>
    <row r="522" spans="2:12" x14ac:dyDescent="0.3">
      <c r="B522" s="28" t="str">
        <f t="shared" ca="1" si="25"/>
        <v/>
      </c>
      <c r="C522" s="29" t="str">
        <f t="shared" ca="1" si="26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4"/>
        <v>0</v>
      </c>
    </row>
    <row r="523" spans="2:12" x14ac:dyDescent="0.3">
      <c r="B523" s="28" t="str">
        <f t="shared" ca="1" si="25"/>
        <v/>
      </c>
      <c r="C523" s="29" t="str">
        <f t="shared" ca="1" si="26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ref="L569:L632" si="27">J569-I569-K569</f>
        <v>0</v>
      </c>
    </row>
    <row r="570" spans="2:12" x14ac:dyDescent="0.3">
      <c r="B570" s="28" t="str">
        <f t="shared" ref="B570:B633" ca="1" si="28">IF(D570&lt;&gt;"",DATE(Jahr,_xlfn.SHEET()-2,D570),"")</f>
        <v/>
      </c>
      <c r="C570" s="29" t="str">
        <f t="shared" ref="C570:C633" ca="1" si="29">B570</f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7"/>
        <v>0</v>
      </c>
    </row>
    <row r="571" spans="2:12" x14ac:dyDescent="0.3">
      <c r="B571" s="28" t="str">
        <f t="shared" ca="1" si="28"/>
        <v/>
      </c>
      <c r="C571" s="29" t="str">
        <f t="shared" ca="1" si="29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7"/>
        <v>0</v>
      </c>
    </row>
    <row r="572" spans="2:12" x14ac:dyDescent="0.3">
      <c r="B572" s="28" t="str">
        <f t="shared" ca="1" si="28"/>
        <v/>
      </c>
      <c r="C572" s="29" t="str">
        <f t="shared" ca="1" si="29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7"/>
        <v>0</v>
      </c>
    </row>
    <row r="573" spans="2:12" x14ac:dyDescent="0.3">
      <c r="B573" s="28" t="str">
        <f t="shared" ca="1" si="28"/>
        <v/>
      </c>
      <c r="C573" s="29" t="str">
        <f t="shared" ca="1" si="29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7"/>
        <v>0</v>
      </c>
    </row>
    <row r="574" spans="2:12" x14ac:dyDescent="0.3">
      <c r="B574" s="28" t="str">
        <f t="shared" ca="1" si="28"/>
        <v/>
      </c>
      <c r="C574" s="29" t="str">
        <f t="shared" ca="1" si="29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7"/>
        <v>0</v>
      </c>
    </row>
    <row r="575" spans="2:12" x14ac:dyDescent="0.3">
      <c r="B575" s="28" t="str">
        <f t="shared" ca="1" si="28"/>
        <v/>
      </c>
      <c r="C575" s="29" t="str">
        <f t="shared" ca="1" si="29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7"/>
        <v>0</v>
      </c>
    </row>
    <row r="576" spans="2:12" x14ac:dyDescent="0.3">
      <c r="B576" s="28" t="str">
        <f t="shared" ca="1" si="28"/>
        <v/>
      </c>
      <c r="C576" s="29" t="str">
        <f t="shared" ca="1" si="29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7"/>
        <v>0</v>
      </c>
    </row>
    <row r="577" spans="2:12" x14ac:dyDescent="0.3">
      <c r="B577" s="28" t="str">
        <f t="shared" ca="1" si="28"/>
        <v/>
      </c>
      <c r="C577" s="29" t="str">
        <f t="shared" ca="1" si="29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7"/>
        <v>0</v>
      </c>
    </row>
    <row r="578" spans="2:12" x14ac:dyDescent="0.3">
      <c r="B578" s="28" t="str">
        <f t="shared" ca="1" si="28"/>
        <v/>
      </c>
      <c r="C578" s="29" t="str">
        <f t="shared" ca="1" si="29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7"/>
        <v>0</v>
      </c>
    </row>
    <row r="579" spans="2:12" x14ac:dyDescent="0.3">
      <c r="B579" s="28" t="str">
        <f t="shared" ca="1" si="28"/>
        <v/>
      </c>
      <c r="C579" s="29" t="str">
        <f t="shared" ca="1" si="29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7"/>
        <v>0</v>
      </c>
    </row>
    <row r="580" spans="2:12" x14ac:dyDescent="0.3">
      <c r="B580" s="28" t="str">
        <f t="shared" ca="1" si="28"/>
        <v/>
      </c>
      <c r="C580" s="29" t="str">
        <f t="shared" ca="1" si="29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7"/>
        <v>0</v>
      </c>
    </row>
    <row r="581" spans="2:12" x14ac:dyDescent="0.3">
      <c r="B581" s="28" t="str">
        <f t="shared" ca="1" si="28"/>
        <v/>
      </c>
      <c r="C581" s="29" t="str">
        <f t="shared" ca="1" si="29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7"/>
        <v>0</v>
      </c>
    </row>
    <row r="582" spans="2:12" x14ac:dyDescent="0.3">
      <c r="B582" s="28" t="str">
        <f t="shared" ca="1" si="28"/>
        <v/>
      </c>
      <c r="C582" s="29" t="str">
        <f t="shared" ca="1" si="29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7"/>
        <v>0</v>
      </c>
    </row>
    <row r="583" spans="2:12" x14ac:dyDescent="0.3">
      <c r="B583" s="28" t="str">
        <f t="shared" ca="1" si="28"/>
        <v/>
      </c>
      <c r="C583" s="29" t="str">
        <f t="shared" ca="1" si="29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7"/>
        <v>0</v>
      </c>
    </row>
    <row r="584" spans="2:12" x14ac:dyDescent="0.3">
      <c r="B584" s="28" t="str">
        <f t="shared" ca="1" si="28"/>
        <v/>
      </c>
      <c r="C584" s="29" t="str">
        <f t="shared" ca="1" si="29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7"/>
        <v>0</v>
      </c>
    </row>
    <row r="585" spans="2:12" x14ac:dyDescent="0.3">
      <c r="B585" s="28" t="str">
        <f t="shared" ca="1" si="28"/>
        <v/>
      </c>
      <c r="C585" s="29" t="str">
        <f t="shared" ca="1" si="29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7"/>
        <v>0</v>
      </c>
    </row>
    <row r="586" spans="2:12" x14ac:dyDescent="0.3">
      <c r="B586" s="28" t="str">
        <f t="shared" ca="1" si="28"/>
        <v/>
      </c>
      <c r="C586" s="29" t="str">
        <f t="shared" ca="1" si="29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7"/>
        <v>0</v>
      </c>
    </row>
    <row r="587" spans="2:12" x14ac:dyDescent="0.3">
      <c r="B587" s="28" t="str">
        <f t="shared" ca="1" si="28"/>
        <v/>
      </c>
      <c r="C587" s="29" t="str">
        <f t="shared" ca="1" si="29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ref="L633:L696" si="30">J633-I633-K633</f>
        <v>0</v>
      </c>
    </row>
    <row r="634" spans="2:12" x14ac:dyDescent="0.3">
      <c r="B634" s="28" t="str">
        <f t="shared" ref="B634:B697" ca="1" si="31">IF(D634&lt;&gt;"",DATE(Jahr,_xlfn.SHEET()-2,D634),"")</f>
        <v/>
      </c>
      <c r="C634" s="29" t="str">
        <f t="shared" ref="C634:C697" ca="1" si="32">B634</f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30"/>
        <v>0</v>
      </c>
    </row>
    <row r="635" spans="2:12" x14ac:dyDescent="0.3">
      <c r="B635" s="28" t="str">
        <f t="shared" ca="1" si="31"/>
        <v/>
      </c>
      <c r="C635" s="29" t="str">
        <f t="shared" ca="1" si="32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30"/>
        <v>0</v>
      </c>
    </row>
    <row r="636" spans="2:12" x14ac:dyDescent="0.3">
      <c r="B636" s="28" t="str">
        <f t="shared" ca="1" si="31"/>
        <v/>
      </c>
      <c r="C636" s="29" t="str">
        <f t="shared" ca="1" si="32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30"/>
        <v>0</v>
      </c>
    </row>
    <row r="637" spans="2:12" x14ac:dyDescent="0.3">
      <c r="B637" s="28" t="str">
        <f t="shared" ca="1" si="31"/>
        <v/>
      </c>
      <c r="C637" s="29" t="str">
        <f t="shared" ca="1" si="32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30"/>
        <v>0</v>
      </c>
    </row>
    <row r="638" spans="2:12" x14ac:dyDescent="0.3">
      <c r="B638" s="28" t="str">
        <f t="shared" ca="1" si="31"/>
        <v/>
      </c>
      <c r="C638" s="29" t="str">
        <f t="shared" ca="1" si="32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30"/>
        <v>0</v>
      </c>
    </row>
    <row r="639" spans="2:12" x14ac:dyDescent="0.3">
      <c r="B639" s="28" t="str">
        <f t="shared" ca="1" si="31"/>
        <v/>
      </c>
      <c r="C639" s="29" t="str">
        <f t="shared" ca="1" si="32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30"/>
        <v>0</v>
      </c>
    </row>
    <row r="640" spans="2:12" x14ac:dyDescent="0.3">
      <c r="B640" s="28" t="str">
        <f t="shared" ca="1" si="31"/>
        <v/>
      </c>
      <c r="C640" s="29" t="str">
        <f t="shared" ca="1" si="32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30"/>
        <v>0</v>
      </c>
    </row>
    <row r="641" spans="2:12" x14ac:dyDescent="0.3">
      <c r="B641" s="28" t="str">
        <f t="shared" ca="1" si="31"/>
        <v/>
      </c>
      <c r="C641" s="29" t="str">
        <f t="shared" ca="1" si="32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30"/>
        <v>0</v>
      </c>
    </row>
    <row r="642" spans="2:12" x14ac:dyDescent="0.3">
      <c r="B642" s="28" t="str">
        <f t="shared" ca="1" si="31"/>
        <v/>
      </c>
      <c r="C642" s="29" t="str">
        <f t="shared" ca="1" si="32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30"/>
        <v>0</v>
      </c>
    </row>
    <row r="643" spans="2:12" x14ac:dyDescent="0.3">
      <c r="B643" s="28" t="str">
        <f t="shared" ca="1" si="31"/>
        <v/>
      </c>
      <c r="C643" s="29" t="str">
        <f t="shared" ca="1" si="32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30"/>
        <v>0</v>
      </c>
    </row>
    <row r="644" spans="2:12" x14ac:dyDescent="0.3">
      <c r="B644" s="28" t="str">
        <f t="shared" ca="1" si="31"/>
        <v/>
      </c>
      <c r="C644" s="29" t="str">
        <f t="shared" ca="1" si="32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30"/>
        <v>0</v>
      </c>
    </row>
    <row r="645" spans="2:12" x14ac:dyDescent="0.3">
      <c r="B645" s="28" t="str">
        <f t="shared" ca="1" si="31"/>
        <v/>
      </c>
      <c r="C645" s="29" t="str">
        <f t="shared" ca="1" si="32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30"/>
        <v>0</v>
      </c>
    </row>
    <row r="646" spans="2:12" x14ac:dyDescent="0.3">
      <c r="B646" s="28" t="str">
        <f t="shared" ca="1" si="31"/>
        <v/>
      </c>
      <c r="C646" s="29" t="str">
        <f t="shared" ca="1" si="32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30"/>
        <v>0</v>
      </c>
    </row>
    <row r="647" spans="2:12" x14ac:dyDescent="0.3">
      <c r="B647" s="28" t="str">
        <f t="shared" ca="1" si="31"/>
        <v/>
      </c>
      <c r="C647" s="29" t="str">
        <f t="shared" ca="1" si="32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30"/>
        <v>0</v>
      </c>
    </row>
    <row r="648" spans="2:12" x14ac:dyDescent="0.3">
      <c r="B648" s="28" t="str">
        <f t="shared" ca="1" si="31"/>
        <v/>
      </c>
      <c r="C648" s="29" t="str">
        <f t="shared" ca="1" si="32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30"/>
        <v>0</v>
      </c>
    </row>
    <row r="649" spans="2:12" x14ac:dyDescent="0.3">
      <c r="B649" s="28" t="str">
        <f t="shared" ca="1" si="31"/>
        <v/>
      </c>
      <c r="C649" s="29" t="str">
        <f t="shared" ca="1" si="32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30"/>
        <v>0</v>
      </c>
    </row>
    <row r="650" spans="2:12" x14ac:dyDescent="0.3">
      <c r="B650" s="28" t="str">
        <f t="shared" ca="1" si="31"/>
        <v/>
      </c>
      <c r="C650" s="29" t="str">
        <f t="shared" ca="1" si="32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30"/>
        <v>0</v>
      </c>
    </row>
    <row r="651" spans="2:12" x14ac:dyDescent="0.3">
      <c r="B651" s="28" t="str">
        <f t="shared" ca="1" si="31"/>
        <v/>
      </c>
      <c r="C651" s="29" t="str">
        <f t="shared" ca="1" si="32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ref="L697:L760" si="33">J697-I697-K697</f>
        <v>0</v>
      </c>
    </row>
    <row r="698" spans="2:12" x14ac:dyDescent="0.3">
      <c r="B698" s="28" t="str">
        <f t="shared" ref="B698:B761" ca="1" si="34">IF(D698&lt;&gt;"",DATE(Jahr,_xlfn.SHEET()-2,D698),"")</f>
        <v/>
      </c>
      <c r="C698" s="29" t="str">
        <f t="shared" ref="C698:C761" ca="1" si="35">B698</f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3"/>
        <v>0</v>
      </c>
    </row>
    <row r="699" spans="2:12" x14ac:dyDescent="0.3">
      <c r="B699" s="28" t="str">
        <f t="shared" ca="1" si="34"/>
        <v/>
      </c>
      <c r="C699" s="29" t="str">
        <f t="shared" ca="1" si="35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3"/>
        <v>0</v>
      </c>
    </row>
    <row r="700" spans="2:12" x14ac:dyDescent="0.3">
      <c r="B700" s="28" t="str">
        <f t="shared" ca="1" si="34"/>
        <v/>
      </c>
      <c r="C700" s="29" t="str">
        <f t="shared" ca="1" si="35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3"/>
        <v>0</v>
      </c>
    </row>
    <row r="701" spans="2:12" x14ac:dyDescent="0.3">
      <c r="B701" s="28" t="str">
        <f t="shared" ca="1" si="34"/>
        <v/>
      </c>
      <c r="C701" s="29" t="str">
        <f t="shared" ca="1" si="35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3"/>
        <v>0</v>
      </c>
    </row>
    <row r="702" spans="2:12" x14ac:dyDescent="0.3">
      <c r="B702" s="28" t="str">
        <f t="shared" ca="1" si="34"/>
        <v/>
      </c>
      <c r="C702" s="29" t="str">
        <f t="shared" ca="1" si="35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3"/>
        <v>0</v>
      </c>
    </row>
    <row r="703" spans="2:12" x14ac:dyDescent="0.3">
      <c r="B703" s="28" t="str">
        <f t="shared" ca="1" si="34"/>
        <v/>
      </c>
      <c r="C703" s="29" t="str">
        <f t="shared" ca="1" si="35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3"/>
        <v>0</v>
      </c>
    </row>
    <row r="704" spans="2:12" x14ac:dyDescent="0.3">
      <c r="B704" s="28" t="str">
        <f t="shared" ca="1" si="34"/>
        <v/>
      </c>
      <c r="C704" s="29" t="str">
        <f t="shared" ca="1" si="35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3"/>
        <v>0</v>
      </c>
    </row>
    <row r="705" spans="2:12" x14ac:dyDescent="0.3">
      <c r="B705" s="28" t="str">
        <f t="shared" ca="1" si="34"/>
        <v/>
      </c>
      <c r="C705" s="29" t="str">
        <f t="shared" ca="1" si="35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3"/>
        <v>0</v>
      </c>
    </row>
    <row r="706" spans="2:12" x14ac:dyDescent="0.3">
      <c r="B706" s="28" t="str">
        <f t="shared" ca="1" si="34"/>
        <v/>
      </c>
      <c r="C706" s="29" t="str">
        <f t="shared" ca="1" si="35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3"/>
        <v>0</v>
      </c>
    </row>
    <row r="707" spans="2:12" x14ac:dyDescent="0.3">
      <c r="B707" s="28" t="str">
        <f t="shared" ca="1" si="34"/>
        <v/>
      </c>
      <c r="C707" s="29" t="str">
        <f t="shared" ca="1" si="35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3"/>
        <v>0</v>
      </c>
    </row>
    <row r="708" spans="2:12" x14ac:dyDescent="0.3">
      <c r="B708" s="28" t="str">
        <f t="shared" ca="1" si="34"/>
        <v/>
      </c>
      <c r="C708" s="29" t="str">
        <f t="shared" ca="1" si="35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3"/>
        <v>0</v>
      </c>
    </row>
    <row r="709" spans="2:12" x14ac:dyDescent="0.3">
      <c r="B709" s="28" t="str">
        <f t="shared" ca="1" si="34"/>
        <v/>
      </c>
      <c r="C709" s="29" t="str">
        <f t="shared" ca="1" si="35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3"/>
        <v>0</v>
      </c>
    </row>
    <row r="710" spans="2:12" x14ac:dyDescent="0.3">
      <c r="B710" s="28" t="str">
        <f t="shared" ca="1" si="34"/>
        <v/>
      </c>
      <c r="C710" s="29" t="str">
        <f t="shared" ca="1" si="35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3"/>
        <v>0</v>
      </c>
    </row>
    <row r="711" spans="2:12" x14ac:dyDescent="0.3">
      <c r="B711" s="28" t="str">
        <f t="shared" ca="1" si="34"/>
        <v/>
      </c>
      <c r="C711" s="29" t="str">
        <f t="shared" ca="1" si="35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3"/>
        <v>0</v>
      </c>
    </row>
    <row r="712" spans="2:12" x14ac:dyDescent="0.3">
      <c r="B712" s="28" t="str">
        <f t="shared" ca="1" si="34"/>
        <v/>
      </c>
      <c r="C712" s="29" t="str">
        <f t="shared" ca="1" si="35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3"/>
        <v>0</v>
      </c>
    </row>
    <row r="713" spans="2:12" x14ac:dyDescent="0.3">
      <c r="B713" s="28" t="str">
        <f t="shared" ca="1" si="34"/>
        <v/>
      </c>
      <c r="C713" s="29" t="str">
        <f t="shared" ca="1" si="35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3"/>
        <v>0</v>
      </c>
    </row>
    <row r="714" spans="2:12" x14ac:dyDescent="0.3">
      <c r="B714" s="28" t="str">
        <f t="shared" ca="1" si="34"/>
        <v/>
      </c>
      <c r="C714" s="29" t="str">
        <f t="shared" ca="1" si="35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3"/>
        <v>0</v>
      </c>
    </row>
    <row r="715" spans="2:12" x14ac:dyDescent="0.3">
      <c r="B715" s="28" t="str">
        <f t="shared" ca="1" si="34"/>
        <v/>
      </c>
      <c r="C715" s="29" t="str">
        <f t="shared" ca="1" si="35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ref="L761:L824" si="36">J761-I761-K761</f>
        <v>0</v>
      </c>
    </row>
    <row r="762" spans="2:12" x14ac:dyDescent="0.3">
      <c r="B762" s="28" t="str">
        <f t="shared" ref="B762:B825" ca="1" si="37">IF(D762&lt;&gt;"",DATE(Jahr,_xlfn.SHEET()-2,D762),"")</f>
        <v/>
      </c>
      <c r="C762" s="29" t="str">
        <f t="shared" ref="C762:C825" ca="1" si="38">B762</f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6"/>
        <v>0</v>
      </c>
    </row>
    <row r="763" spans="2:12" x14ac:dyDescent="0.3">
      <c r="B763" s="28" t="str">
        <f t="shared" ca="1" si="37"/>
        <v/>
      </c>
      <c r="C763" s="29" t="str">
        <f t="shared" ca="1" si="38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6"/>
        <v>0</v>
      </c>
    </row>
    <row r="764" spans="2:12" x14ac:dyDescent="0.3">
      <c r="B764" s="28" t="str">
        <f t="shared" ca="1" si="37"/>
        <v/>
      </c>
      <c r="C764" s="29" t="str">
        <f t="shared" ca="1" si="38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6"/>
        <v>0</v>
      </c>
    </row>
    <row r="765" spans="2:12" x14ac:dyDescent="0.3">
      <c r="B765" s="28" t="str">
        <f t="shared" ca="1" si="37"/>
        <v/>
      </c>
      <c r="C765" s="29" t="str">
        <f t="shared" ca="1" si="38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6"/>
        <v>0</v>
      </c>
    </row>
    <row r="766" spans="2:12" x14ac:dyDescent="0.3">
      <c r="B766" s="28" t="str">
        <f t="shared" ca="1" si="37"/>
        <v/>
      </c>
      <c r="C766" s="29" t="str">
        <f t="shared" ca="1" si="38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6"/>
        <v>0</v>
      </c>
    </row>
    <row r="767" spans="2:12" x14ac:dyDescent="0.3">
      <c r="B767" s="28" t="str">
        <f t="shared" ca="1" si="37"/>
        <v/>
      </c>
      <c r="C767" s="29" t="str">
        <f t="shared" ca="1" si="38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6"/>
        <v>0</v>
      </c>
    </row>
    <row r="768" spans="2:12" x14ac:dyDescent="0.3">
      <c r="B768" s="28" t="str">
        <f t="shared" ca="1" si="37"/>
        <v/>
      </c>
      <c r="C768" s="29" t="str">
        <f t="shared" ca="1" si="38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6"/>
        <v>0</v>
      </c>
    </row>
    <row r="769" spans="2:12" x14ac:dyDescent="0.3">
      <c r="B769" s="28" t="str">
        <f t="shared" ca="1" si="37"/>
        <v/>
      </c>
      <c r="C769" s="29" t="str">
        <f t="shared" ca="1" si="38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6"/>
        <v>0</v>
      </c>
    </row>
    <row r="770" spans="2:12" x14ac:dyDescent="0.3">
      <c r="B770" s="28" t="str">
        <f t="shared" ca="1" si="37"/>
        <v/>
      </c>
      <c r="C770" s="29" t="str">
        <f t="shared" ca="1" si="38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6"/>
        <v>0</v>
      </c>
    </row>
    <row r="771" spans="2:12" x14ac:dyDescent="0.3">
      <c r="B771" s="28" t="str">
        <f t="shared" ca="1" si="37"/>
        <v/>
      </c>
      <c r="C771" s="29" t="str">
        <f t="shared" ca="1" si="38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6"/>
        <v>0</v>
      </c>
    </row>
    <row r="772" spans="2:12" x14ac:dyDescent="0.3">
      <c r="B772" s="28" t="str">
        <f t="shared" ca="1" si="37"/>
        <v/>
      </c>
      <c r="C772" s="29" t="str">
        <f t="shared" ca="1" si="38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6"/>
        <v>0</v>
      </c>
    </row>
    <row r="773" spans="2:12" x14ac:dyDescent="0.3">
      <c r="B773" s="28" t="str">
        <f t="shared" ca="1" si="37"/>
        <v/>
      </c>
      <c r="C773" s="29" t="str">
        <f t="shared" ca="1" si="38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6"/>
        <v>0</v>
      </c>
    </row>
    <row r="774" spans="2:12" x14ac:dyDescent="0.3">
      <c r="B774" s="28" t="str">
        <f t="shared" ca="1" si="37"/>
        <v/>
      </c>
      <c r="C774" s="29" t="str">
        <f t="shared" ca="1" si="38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6"/>
        <v>0</v>
      </c>
    </row>
    <row r="775" spans="2:12" x14ac:dyDescent="0.3">
      <c r="B775" s="28" t="str">
        <f t="shared" ca="1" si="37"/>
        <v/>
      </c>
      <c r="C775" s="29" t="str">
        <f t="shared" ca="1" si="38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6"/>
        <v>0</v>
      </c>
    </row>
    <row r="776" spans="2:12" x14ac:dyDescent="0.3">
      <c r="B776" s="28" t="str">
        <f t="shared" ca="1" si="37"/>
        <v/>
      </c>
      <c r="C776" s="29" t="str">
        <f t="shared" ca="1" si="38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6"/>
        <v>0</v>
      </c>
    </row>
    <row r="777" spans="2:12" x14ac:dyDescent="0.3">
      <c r="B777" s="28" t="str">
        <f t="shared" ca="1" si="37"/>
        <v/>
      </c>
      <c r="C777" s="29" t="str">
        <f t="shared" ca="1" si="38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6"/>
        <v>0</v>
      </c>
    </row>
    <row r="778" spans="2:12" x14ac:dyDescent="0.3">
      <c r="B778" s="28" t="str">
        <f t="shared" ca="1" si="37"/>
        <v/>
      </c>
      <c r="C778" s="29" t="str">
        <f t="shared" ca="1" si="38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6"/>
        <v>0</v>
      </c>
    </row>
    <row r="779" spans="2:12" x14ac:dyDescent="0.3">
      <c r="B779" s="28" t="str">
        <f t="shared" ca="1" si="37"/>
        <v/>
      </c>
      <c r="C779" s="29" t="str">
        <f t="shared" ca="1" si="38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ref="L825:L888" si="39">J825-I825-K825</f>
        <v>0</v>
      </c>
    </row>
    <row r="826" spans="2:12" x14ac:dyDescent="0.3">
      <c r="B826" s="28" t="str">
        <f t="shared" ref="B826:B889" ca="1" si="40">IF(D826&lt;&gt;"",DATE(Jahr,_xlfn.SHEET()-2,D826),"")</f>
        <v/>
      </c>
      <c r="C826" s="29" t="str">
        <f t="shared" ref="C826:C889" ca="1" si="41">B826</f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9"/>
        <v>0</v>
      </c>
    </row>
    <row r="827" spans="2:12" x14ac:dyDescent="0.3">
      <c r="B827" s="28" t="str">
        <f t="shared" ca="1" si="40"/>
        <v/>
      </c>
      <c r="C827" s="29" t="str">
        <f t="shared" ca="1" si="41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9"/>
        <v>0</v>
      </c>
    </row>
    <row r="828" spans="2:12" x14ac:dyDescent="0.3">
      <c r="B828" s="28" t="str">
        <f t="shared" ca="1" si="40"/>
        <v/>
      </c>
      <c r="C828" s="29" t="str">
        <f t="shared" ca="1" si="41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9"/>
        <v>0</v>
      </c>
    </row>
    <row r="829" spans="2:12" x14ac:dyDescent="0.3">
      <c r="B829" s="28" t="str">
        <f t="shared" ca="1" si="40"/>
        <v/>
      </c>
      <c r="C829" s="29" t="str">
        <f t="shared" ca="1" si="41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9"/>
        <v>0</v>
      </c>
    </row>
    <row r="830" spans="2:12" x14ac:dyDescent="0.3">
      <c r="B830" s="28" t="str">
        <f t="shared" ca="1" si="40"/>
        <v/>
      </c>
      <c r="C830" s="29" t="str">
        <f t="shared" ca="1" si="41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9"/>
        <v>0</v>
      </c>
    </row>
    <row r="831" spans="2:12" x14ac:dyDescent="0.3">
      <c r="B831" s="28" t="str">
        <f t="shared" ca="1" si="40"/>
        <v/>
      </c>
      <c r="C831" s="29" t="str">
        <f t="shared" ca="1" si="41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9"/>
        <v>0</v>
      </c>
    </row>
    <row r="832" spans="2:12" x14ac:dyDescent="0.3">
      <c r="B832" s="28" t="str">
        <f t="shared" ca="1" si="40"/>
        <v/>
      </c>
      <c r="C832" s="29" t="str">
        <f t="shared" ca="1" si="41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9"/>
        <v>0</v>
      </c>
    </row>
    <row r="833" spans="2:12" x14ac:dyDescent="0.3">
      <c r="B833" s="28" t="str">
        <f t="shared" ca="1" si="40"/>
        <v/>
      </c>
      <c r="C833" s="29" t="str">
        <f t="shared" ca="1" si="41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9"/>
        <v>0</v>
      </c>
    </row>
    <row r="834" spans="2:12" x14ac:dyDescent="0.3">
      <c r="B834" s="28" t="str">
        <f t="shared" ca="1" si="40"/>
        <v/>
      </c>
      <c r="C834" s="29" t="str">
        <f t="shared" ca="1" si="41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9"/>
        <v>0</v>
      </c>
    </row>
    <row r="835" spans="2:12" x14ac:dyDescent="0.3">
      <c r="B835" s="28" t="str">
        <f t="shared" ca="1" si="40"/>
        <v/>
      </c>
      <c r="C835" s="29" t="str">
        <f t="shared" ca="1" si="41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9"/>
        <v>0</v>
      </c>
    </row>
    <row r="836" spans="2:12" x14ac:dyDescent="0.3">
      <c r="B836" s="28" t="str">
        <f t="shared" ca="1" si="40"/>
        <v/>
      </c>
      <c r="C836" s="29" t="str">
        <f t="shared" ca="1" si="41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9"/>
        <v>0</v>
      </c>
    </row>
    <row r="837" spans="2:12" x14ac:dyDescent="0.3">
      <c r="B837" s="28" t="str">
        <f t="shared" ca="1" si="40"/>
        <v/>
      </c>
      <c r="C837" s="29" t="str">
        <f t="shared" ca="1" si="41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9"/>
        <v>0</v>
      </c>
    </row>
    <row r="838" spans="2:12" x14ac:dyDescent="0.3">
      <c r="B838" s="28" t="str">
        <f t="shared" ca="1" si="40"/>
        <v/>
      </c>
      <c r="C838" s="29" t="str">
        <f t="shared" ca="1" si="41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9"/>
        <v>0</v>
      </c>
    </row>
    <row r="839" spans="2:12" x14ac:dyDescent="0.3">
      <c r="B839" s="28" t="str">
        <f t="shared" ca="1" si="40"/>
        <v/>
      </c>
      <c r="C839" s="29" t="str">
        <f t="shared" ca="1" si="41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9"/>
        <v>0</v>
      </c>
    </row>
    <row r="840" spans="2:12" x14ac:dyDescent="0.3">
      <c r="B840" s="28" t="str">
        <f t="shared" ca="1" si="40"/>
        <v/>
      </c>
      <c r="C840" s="29" t="str">
        <f t="shared" ca="1" si="41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9"/>
        <v>0</v>
      </c>
    </row>
    <row r="841" spans="2:12" x14ac:dyDescent="0.3">
      <c r="B841" s="28" t="str">
        <f t="shared" ca="1" si="40"/>
        <v/>
      </c>
      <c r="C841" s="29" t="str">
        <f t="shared" ca="1" si="41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9"/>
        <v>0</v>
      </c>
    </row>
    <row r="842" spans="2:12" x14ac:dyDescent="0.3">
      <c r="B842" s="28" t="str">
        <f t="shared" ca="1" si="40"/>
        <v/>
      </c>
      <c r="C842" s="29" t="str">
        <f t="shared" ca="1" si="41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39"/>
        <v>0</v>
      </c>
    </row>
    <row r="843" spans="2:12" x14ac:dyDescent="0.3">
      <c r="B843" s="28" t="str">
        <f t="shared" ca="1" si="40"/>
        <v/>
      </c>
      <c r="C843" s="29" t="str">
        <f t="shared" ca="1" si="41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ref="L889:L952" si="42">J889-I889-K889</f>
        <v>0</v>
      </c>
    </row>
    <row r="890" spans="2:12" x14ac:dyDescent="0.3">
      <c r="B890" s="28" t="str">
        <f t="shared" ref="B890:B953" ca="1" si="43">IF(D890&lt;&gt;"",DATE(Jahr,_xlfn.SHEET()-2,D890),"")</f>
        <v/>
      </c>
      <c r="C890" s="29" t="str">
        <f t="shared" ref="C890:C953" ca="1" si="44">B890</f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42"/>
        <v>0</v>
      </c>
    </row>
    <row r="891" spans="2:12" x14ac:dyDescent="0.3">
      <c r="B891" s="28" t="str">
        <f t="shared" ca="1" si="43"/>
        <v/>
      </c>
      <c r="C891" s="29" t="str">
        <f t="shared" ca="1" si="44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42"/>
        <v>0</v>
      </c>
    </row>
    <row r="892" spans="2:12" x14ac:dyDescent="0.3">
      <c r="B892" s="28" t="str">
        <f t="shared" ca="1" si="43"/>
        <v/>
      </c>
      <c r="C892" s="29" t="str">
        <f t="shared" ca="1" si="44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42"/>
        <v>0</v>
      </c>
    </row>
    <row r="893" spans="2:12" x14ac:dyDescent="0.3">
      <c r="B893" s="28" t="str">
        <f t="shared" ca="1" si="43"/>
        <v/>
      </c>
      <c r="C893" s="29" t="str">
        <f t="shared" ca="1" si="44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42"/>
        <v>0</v>
      </c>
    </row>
    <row r="894" spans="2:12" x14ac:dyDescent="0.3">
      <c r="B894" s="28" t="str">
        <f t="shared" ca="1" si="43"/>
        <v/>
      </c>
      <c r="C894" s="29" t="str">
        <f t="shared" ca="1" si="44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42"/>
        <v>0</v>
      </c>
    </row>
    <row r="895" spans="2:12" x14ac:dyDescent="0.3">
      <c r="B895" s="28" t="str">
        <f t="shared" ca="1" si="43"/>
        <v/>
      </c>
      <c r="C895" s="29" t="str">
        <f t="shared" ca="1" si="44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42"/>
        <v>0</v>
      </c>
    </row>
    <row r="896" spans="2:12" x14ac:dyDescent="0.3">
      <c r="B896" s="28" t="str">
        <f t="shared" ca="1" si="43"/>
        <v/>
      </c>
      <c r="C896" s="29" t="str">
        <f t="shared" ca="1" si="44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42"/>
        <v>0</v>
      </c>
    </row>
    <row r="897" spans="2:12" x14ac:dyDescent="0.3">
      <c r="B897" s="28" t="str">
        <f t="shared" ca="1" si="43"/>
        <v/>
      </c>
      <c r="C897" s="29" t="str">
        <f t="shared" ca="1" si="44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42"/>
        <v>0</v>
      </c>
    </row>
    <row r="898" spans="2:12" x14ac:dyDescent="0.3">
      <c r="B898" s="28" t="str">
        <f t="shared" ca="1" si="43"/>
        <v/>
      </c>
      <c r="C898" s="29" t="str">
        <f t="shared" ca="1" si="44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42"/>
        <v>0</v>
      </c>
    </row>
    <row r="899" spans="2:12" x14ac:dyDescent="0.3">
      <c r="B899" s="28" t="str">
        <f t="shared" ca="1" si="43"/>
        <v/>
      </c>
      <c r="C899" s="29" t="str">
        <f t="shared" ca="1" si="44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42"/>
        <v>0</v>
      </c>
    </row>
    <row r="900" spans="2:12" x14ac:dyDescent="0.3">
      <c r="B900" s="28" t="str">
        <f t="shared" ca="1" si="43"/>
        <v/>
      </c>
      <c r="C900" s="29" t="str">
        <f t="shared" ca="1" si="44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42"/>
        <v>0</v>
      </c>
    </row>
    <row r="901" spans="2:12" x14ac:dyDescent="0.3">
      <c r="B901" s="28" t="str">
        <f t="shared" ca="1" si="43"/>
        <v/>
      </c>
      <c r="C901" s="29" t="str">
        <f t="shared" ca="1" si="44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42"/>
        <v>0</v>
      </c>
    </row>
    <row r="902" spans="2:12" x14ac:dyDescent="0.3">
      <c r="B902" s="28" t="str">
        <f t="shared" ca="1" si="43"/>
        <v/>
      </c>
      <c r="C902" s="29" t="str">
        <f t="shared" ca="1" si="44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42"/>
        <v>0</v>
      </c>
    </row>
    <row r="903" spans="2:12" x14ac:dyDescent="0.3">
      <c r="B903" s="28" t="str">
        <f t="shared" ca="1" si="43"/>
        <v/>
      </c>
      <c r="C903" s="29" t="str">
        <f t="shared" ca="1" si="44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42"/>
        <v>0</v>
      </c>
    </row>
    <row r="904" spans="2:12" x14ac:dyDescent="0.3">
      <c r="B904" s="28" t="str">
        <f t="shared" ca="1" si="43"/>
        <v/>
      </c>
      <c r="C904" s="29" t="str">
        <f t="shared" ca="1" si="44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42"/>
        <v>0</v>
      </c>
    </row>
    <row r="905" spans="2:12" x14ac:dyDescent="0.3">
      <c r="B905" s="28" t="str">
        <f t="shared" ca="1" si="43"/>
        <v/>
      </c>
      <c r="C905" s="29" t="str">
        <f t="shared" ca="1" si="44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42"/>
        <v>0</v>
      </c>
    </row>
    <row r="906" spans="2:12" x14ac:dyDescent="0.3">
      <c r="B906" s="28" t="str">
        <f t="shared" ca="1" si="43"/>
        <v/>
      </c>
      <c r="C906" s="29" t="str">
        <f t="shared" ca="1" si="44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42"/>
        <v>0</v>
      </c>
    </row>
    <row r="907" spans="2:12" x14ac:dyDescent="0.3">
      <c r="B907" s="28" t="str">
        <f t="shared" ca="1" si="43"/>
        <v/>
      </c>
      <c r="C907" s="29" t="str">
        <f t="shared" ca="1" si="44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ref="L953:L982" si="45">J953-I953-K953</f>
        <v>0</v>
      </c>
    </row>
    <row r="954" spans="2:12" x14ac:dyDescent="0.3">
      <c r="B954" s="28" t="str">
        <f t="shared" ref="B954:B982" ca="1" si="46">IF(D954&lt;&gt;"",DATE(Jahr,_xlfn.SHEET()-2,D954),"")</f>
        <v/>
      </c>
      <c r="C954" s="29" t="str">
        <f t="shared" ref="C954:C982" ca="1" si="47">B954</f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5"/>
        <v>0</v>
      </c>
    </row>
    <row r="955" spans="2:12" x14ac:dyDescent="0.3">
      <c r="B955" s="28" t="str">
        <f t="shared" ca="1" si="46"/>
        <v/>
      </c>
      <c r="C955" s="29" t="str">
        <f t="shared" ca="1" si="47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5"/>
        <v>0</v>
      </c>
    </row>
    <row r="956" spans="2:12" x14ac:dyDescent="0.3">
      <c r="B956" s="28" t="str">
        <f t="shared" ca="1" si="46"/>
        <v/>
      </c>
      <c r="C956" s="29" t="str">
        <f t="shared" ca="1" si="47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5"/>
        <v>0</v>
      </c>
    </row>
    <row r="957" spans="2:12" x14ac:dyDescent="0.3">
      <c r="B957" s="28" t="str">
        <f t="shared" ca="1" si="46"/>
        <v/>
      </c>
      <c r="C957" s="29" t="str">
        <f t="shared" ca="1" si="47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5"/>
        <v>0</v>
      </c>
    </row>
    <row r="958" spans="2:12" x14ac:dyDescent="0.3">
      <c r="B958" s="28" t="str">
        <f t="shared" ca="1" si="46"/>
        <v/>
      </c>
      <c r="C958" s="29" t="str">
        <f t="shared" ca="1" si="47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5"/>
        <v>0</v>
      </c>
    </row>
    <row r="959" spans="2:12" x14ac:dyDescent="0.3">
      <c r="B959" s="28" t="str">
        <f t="shared" ca="1" si="46"/>
        <v/>
      </c>
      <c r="C959" s="29" t="str">
        <f t="shared" ca="1" si="47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5"/>
        <v>0</v>
      </c>
    </row>
    <row r="960" spans="2:12" x14ac:dyDescent="0.3">
      <c r="B960" s="28" t="str">
        <f t="shared" ca="1" si="46"/>
        <v/>
      </c>
      <c r="C960" s="29" t="str">
        <f t="shared" ca="1" si="47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5"/>
        <v>0</v>
      </c>
    </row>
    <row r="961" spans="2:12" x14ac:dyDescent="0.3">
      <c r="B961" s="28" t="str">
        <f t="shared" ca="1" si="46"/>
        <v/>
      </c>
      <c r="C961" s="29" t="str">
        <f t="shared" ca="1" si="47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5"/>
        <v>0</v>
      </c>
    </row>
    <row r="962" spans="2:12" x14ac:dyDescent="0.3">
      <c r="B962" s="28" t="str">
        <f t="shared" ca="1" si="46"/>
        <v/>
      </c>
      <c r="C962" s="29" t="str">
        <f t="shared" ca="1" si="47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5"/>
        <v>0</v>
      </c>
    </row>
    <row r="963" spans="2:12" x14ac:dyDescent="0.3">
      <c r="B963" s="28" t="str">
        <f t="shared" ca="1" si="46"/>
        <v/>
      </c>
      <c r="C963" s="29" t="str">
        <f t="shared" ca="1" si="47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5"/>
        <v>0</v>
      </c>
    </row>
    <row r="964" spans="2:12" x14ac:dyDescent="0.3">
      <c r="B964" s="28" t="str">
        <f t="shared" ca="1" si="46"/>
        <v/>
      </c>
      <c r="C964" s="29" t="str">
        <f t="shared" ca="1" si="47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5"/>
        <v>0</v>
      </c>
    </row>
    <row r="965" spans="2:12" x14ac:dyDescent="0.3">
      <c r="B965" s="28" t="str">
        <f t="shared" ca="1" si="46"/>
        <v/>
      </c>
      <c r="C965" s="29" t="str">
        <f t="shared" ca="1" si="47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5"/>
        <v>0</v>
      </c>
    </row>
    <row r="966" spans="2:12" x14ac:dyDescent="0.3">
      <c r="B966" s="28" t="str">
        <f t="shared" ca="1" si="46"/>
        <v/>
      </c>
      <c r="C966" s="29" t="str">
        <f t="shared" ca="1" si="47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5"/>
        <v>0</v>
      </c>
    </row>
    <row r="967" spans="2:12" x14ac:dyDescent="0.3">
      <c r="B967" s="28" t="str">
        <f t="shared" ca="1" si="46"/>
        <v/>
      </c>
      <c r="C967" s="29" t="str">
        <f t="shared" ca="1" si="47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5"/>
        <v>0</v>
      </c>
    </row>
    <row r="968" spans="2:12" x14ac:dyDescent="0.3">
      <c r="B968" s="28" t="str">
        <f t="shared" ca="1" si="46"/>
        <v/>
      </c>
      <c r="C968" s="29" t="str">
        <f t="shared" ca="1" si="47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5"/>
        <v>0</v>
      </c>
    </row>
    <row r="969" spans="2:12" x14ac:dyDescent="0.3">
      <c r="B969" s="28" t="str">
        <f t="shared" ca="1" si="46"/>
        <v/>
      </c>
      <c r="C969" s="29" t="str">
        <f t="shared" ca="1" si="47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5"/>
        <v>0</v>
      </c>
    </row>
    <row r="970" spans="2:12" x14ac:dyDescent="0.3">
      <c r="B970" s="28" t="str">
        <f t="shared" ca="1" si="46"/>
        <v/>
      </c>
      <c r="C970" s="29" t="str">
        <f t="shared" ca="1" si="47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si="45"/>
        <v>0</v>
      </c>
    </row>
    <row r="971" spans="2:12" x14ac:dyDescent="0.3">
      <c r="B971" s="28" t="str">
        <f t="shared" ca="1" si="46"/>
        <v/>
      </c>
      <c r="C971" s="29" t="str">
        <f t="shared" ca="1" si="47"/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5"/>
        <v>0</v>
      </c>
    </row>
    <row r="972" spans="2:12" x14ac:dyDescent="0.3">
      <c r="B972" s="28" t="str">
        <f t="shared" ca="1" si="46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5"/>
        <v>0</v>
      </c>
    </row>
    <row r="973" spans="2:12" x14ac:dyDescent="0.3">
      <c r="B973" s="28" t="str">
        <f t="shared" ca="1" si="46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5"/>
        <v>0</v>
      </c>
    </row>
    <row r="974" spans="2:12" x14ac:dyDescent="0.3">
      <c r="B974" s="28" t="str">
        <f t="shared" ca="1" si="46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5"/>
        <v>0</v>
      </c>
    </row>
    <row r="975" spans="2:12" x14ac:dyDescent="0.3">
      <c r="B975" s="28" t="str">
        <f t="shared" ca="1" si="46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5"/>
        <v>0</v>
      </c>
    </row>
    <row r="976" spans="2:12" x14ac:dyDescent="0.3">
      <c r="B976" s="28" t="str">
        <f t="shared" ca="1" si="46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5"/>
        <v>0</v>
      </c>
    </row>
    <row r="977" spans="2:12" x14ac:dyDescent="0.3">
      <c r="B977" s="28" t="str">
        <f t="shared" ca="1" si="46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4" spans="2:12" x14ac:dyDescent="0.3">
      <c r="L984" s="109"/>
    </row>
  </sheetData>
  <autoFilter ref="B8:L983" xr:uid="{00000000-0009-0000-0000-000005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82">
    <cfRule type="expression" dxfId="57" priority="1">
      <formula>AND($D9&lt;&gt;"",NOT(ISNUMBER($D9)))</formula>
    </cfRule>
    <cfRule type="expression" dxfId="56" priority="2">
      <formula>OR($D9&lt;=0,DAY(DATE(YEAR($C9),MONTH($C9)+1,1)-1) &lt;$D9)</formula>
    </cfRule>
    <cfRule type="expression" dxfId="54" priority="4">
      <formula>AND($D9&lt;&gt;"",WEEKDAY($B9,2)=6)</formula>
    </cfRule>
    <cfRule type="expression" dxfId="53" priority="5">
      <formula>AND($D9&lt;&gt;"",WEEKDAY($B9,2)=7)</formula>
    </cfRule>
    <cfRule type="expression" dxfId="52" priority="6">
      <formula>AND($D9&lt;&gt;"",WEEKDAY($B9,2)&lt;6)</formula>
    </cfRule>
  </conditionalFormatting>
  <dataValidations count="2">
    <dataValidation type="list" allowBlank="1" showInputMessage="1" showErrorMessage="1" sqref="G9:G982" xr:uid="{E9E6CCE3-A5BA-4924-9FF9-3DE11E686584}">
      <formula1>Arbeitspakete</formula1>
    </dataValidation>
    <dataValidation type="list" allowBlank="1" showInputMessage="1" showErrorMessage="1" sqref="F9:F982" xr:uid="{132F2BB0-73AE-4588-91A6-255060628E96}">
      <formula1>Projektnamen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9EB5862A-EF4A-45F0-95D1-6C5A9B225D2A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B9:B982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T1012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SUM(L9:L1011)*24</f>
        <v>0</v>
      </c>
    </row>
    <row r="5" spans="2:12" x14ac:dyDescent="0.3">
      <c r="B5" t="s">
        <v>67</v>
      </c>
      <c r="D5" t="str">
        <f ca="1">TEXT("1. "&amp;_xlfn.SHEET()-2,"MMMM")</f>
        <v>Mai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0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83" si="0">J9-I9-K9</f>
        <v>0</v>
      </c>
    </row>
    <row r="10" spans="2:12" x14ac:dyDescent="0.3">
      <c r="B10" s="28" t="str">
        <f t="shared" ref="B10:B83" ca="1" si="1">IF(D10&lt;&gt;"",DATE(Jahr,_xlfn.SHEET()-2,D10),"")</f>
        <v/>
      </c>
      <c r="C10" s="29" t="str">
        <f t="shared" ref="C10:C83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ca="1">IF(D11&lt;&gt;"",DATE(Jahr,_xlfn.SHEET()-2,D11),"")</f>
        <v/>
      </c>
      <c r="C11" s="29" t="str">
        <f ca="1">B11</f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ca="1">IF(D22&lt;&gt;"",DATE(Jahr,_xlfn.SHEET()-2,D22),"")</f>
        <v/>
      </c>
      <c r="C22" s="29" t="str">
        <f ca="1">B22</f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ca="1">IF(D23&lt;&gt;"",DATE(Jahr,_xlfn.SHEET()-2,D23),"")</f>
        <v/>
      </c>
      <c r="C23" s="29" t="str">
        <f ca="1">B23</f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ca="1">IF(D24&lt;&gt;"",DATE(Jahr,_xlfn.SHEET()-2,D24),"")</f>
        <v/>
      </c>
      <c r="C24" s="29" t="str">
        <f ca="1">B24</f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  <c r="T32" s="88"/>
    </row>
    <row r="33" spans="2:20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  <c r="T33" s="89"/>
    </row>
    <row r="34" spans="2:20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  <c r="T34" s="89"/>
    </row>
    <row r="35" spans="2:20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  <c r="T35" s="89"/>
    </row>
    <row r="36" spans="2:20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  <c r="T36" s="89"/>
    </row>
    <row r="37" spans="2:20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  <c r="T37" s="89"/>
    </row>
    <row r="38" spans="2:20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  <c r="T38" s="89"/>
    </row>
    <row r="39" spans="2:20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  <c r="T39" s="89"/>
    </row>
    <row r="40" spans="2:20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0"/>
        <v>0</v>
      </c>
      <c r="T40" s="90"/>
    </row>
    <row r="41" spans="2:20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20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0"/>
        <v>0</v>
      </c>
      <c r="T42" s="91"/>
    </row>
    <row r="43" spans="2:20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20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20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20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20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20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t="shared" ca="1" si="1"/>
        <v/>
      </c>
      <c r="C63" s="29" t="str">
        <f t="shared" ca="1" si="2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0"/>
        <v>0</v>
      </c>
    </row>
    <row r="64" spans="2:12" x14ac:dyDescent="0.3">
      <c r="B64" s="28" t="str">
        <f t="shared" ca="1" si="1"/>
        <v/>
      </c>
      <c r="C64" s="29" t="str">
        <f t="shared" ca="1" si="2"/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0"/>
        <v>0</v>
      </c>
    </row>
    <row r="65" spans="2:12" x14ac:dyDescent="0.3">
      <c r="B65" s="28" t="str">
        <f t="shared" ca="1" si="1"/>
        <v/>
      </c>
      <c r="C65" s="29" t="str">
        <f t="shared" ca="1" si="2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0"/>
        <v>0</v>
      </c>
    </row>
    <row r="66" spans="2:12" x14ac:dyDescent="0.3">
      <c r="B66" s="28" t="str">
        <f t="shared" ca="1" si="1"/>
        <v/>
      </c>
      <c r="C66" s="29" t="str">
        <f t="shared" ca="1" si="2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0"/>
        <v>0</v>
      </c>
    </row>
    <row r="67" spans="2:12" x14ac:dyDescent="0.3">
      <c r="B67" s="28" t="str">
        <f t="shared" ca="1" si="1"/>
        <v/>
      </c>
      <c r="C67" s="29" t="str">
        <f t="shared" ca="1" si="2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0"/>
        <v>0</v>
      </c>
    </row>
    <row r="68" spans="2:12" x14ac:dyDescent="0.3">
      <c r="B68" s="28" t="str">
        <f t="shared" ca="1" si="1"/>
        <v/>
      </c>
      <c r="C68" s="29" t="str">
        <f t="shared" ca="1" si="2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0"/>
        <v>0</v>
      </c>
    </row>
    <row r="69" spans="2:12" x14ac:dyDescent="0.3">
      <c r="B69" s="28" t="str">
        <f t="shared" ca="1" si="1"/>
        <v/>
      </c>
      <c r="C69" s="29" t="str">
        <f t="shared" ca="1" si="2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0"/>
        <v>0</v>
      </c>
    </row>
    <row r="70" spans="2:12" x14ac:dyDescent="0.3">
      <c r="B70" s="28" t="str">
        <f t="shared" ca="1" si="1"/>
        <v/>
      </c>
      <c r="C70" s="29" t="str">
        <f t="shared" ca="1" si="2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0"/>
        <v>0</v>
      </c>
    </row>
    <row r="71" spans="2:12" x14ac:dyDescent="0.3">
      <c r="B71" s="28" t="str">
        <f t="shared" ca="1" si="1"/>
        <v/>
      </c>
      <c r="C71" s="29" t="str">
        <f t="shared" ca="1" si="2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0"/>
        <v>0</v>
      </c>
    </row>
    <row r="72" spans="2:12" x14ac:dyDescent="0.3">
      <c r="B72" s="28" t="str">
        <f t="shared" ca="1" si="1"/>
        <v/>
      </c>
      <c r="C72" s="29" t="str">
        <f t="shared" ca="1" si="2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0"/>
        <v>0</v>
      </c>
    </row>
    <row r="73" spans="2:12" x14ac:dyDescent="0.3">
      <c r="B73" s="28" t="str">
        <f t="shared" ca="1" si="1"/>
        <v/>
      </c>
      <c r="C73" s="29" t="str">
        <f t="shared" ca="1" si="2"/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0"/>
        <v>0</v>
      </c>
    </row>
    <row r="74" spans="2:12" x14ac:dyDescent="0.3">
      <c r="B74" s="28" t="str">
        <f t="shared" ca="1" si="1"/>
        <v/>
      </c>
      <c r="C74" s="29" t="str">
        <f t="shared" ca="1" si="2"/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0"/>
        <v>0</v>
      </c>
    </row>
    <row r="75" spans="2:12" x14ac:dyDescent="0.3">
      <c r="B75" s="28" t="str">
        <f t="shared" ca="1" si="1"/>
        <v/>
      </c>
      <c r="C75" s="29" t="str">
        <f t="shared" ca="1" si="2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0"/>
        <v>0</v>
      </c>
    </row>
    <row r="76" spans="2:12" x14ac:dyDescent="0.3">
      <c r="B76" s="28" t="str">
        <f t="shared" ca="1" si="1"/>
        <v/>
      </c>
      <c r="C76" s="29" t="str">
        <f t="shared" ca="1" si="2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0"/>
        <v>0</v>
      </c>
    </row>
    <row r="77" spans="2:12" x14ac:dyDescent="0.3">
      <c r="B77" s="28" t="str">
        <f t="shared" ca="1" si="1"/>
        <v/>
      </c>
      <c r="C77" s="29" t="str">
        <f t="shared" ca="1" si="2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0"/>
        <v>0</v>
      </c>
    </row>
    <row r="78" spans="2:12" x14ac:dyDescent="0.3">
      <c r="B78" s="28" t="str">
        <f t="shared" ca="1" si="1"/>
        <v/>
      </c>
      <c r="C78" s="29" t="str">
        <f t="shared" ca="1" si="2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0"/>
        <v>0</v>
      </c>
    </row>
    <row r="79" spans="2:12" x14ac:dyDescent="0.3">
      <c r="B79" s="28" t="str">
        <f t="shared" ca="1" si="1"/>
        <v/>
      </c>
      <c r="C79" s="29" t="str">
        <f t="shared" ca="1" si="2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0"/>
        <v>0</v>
      </c>
    </row>
    <row r="80" spans="2:12" x14ac:dyDescent="0.3">
      <c r="B80" s="28" t="str">
        <f t="shared" ca="1" si="1"/>
        <v/>
      </c>
      <c r="C80" s="29" t="str">
        <f t="shared" ca="1" si="2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0"/>
        <v>0</v>
      </c>
    </row>
    <row r="81" spans="2:12" x14ac:dyDescent="0.3">
      <c r="B81" s="28" t="str">
        <f t="shared" ca="1" si="1"/>
        <v/>
      </c>
      <c r="C81" s="29" t="str">
        <f t="shared" ca="1" si="2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0"/>
        <v>0</v>
      </c>
    </row>
    <row r="82" spans="2:12" x14ac:dyDescent="0.3">
      <c r="B82" s="28" t="str">
        <f t="shared" ca="1" si="1"/>
        <v/>
      </c>
      <c r="C82" s="29" t="str">
        <f t="shared" ca="1" si="2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0"/>
        <v>0</v>
      </c>
    </row>
    <row r="83" spans="2:12" x14ac:dyDescent="0.3">
      <c r="B83" s="28" t="str">
        <f t="shared" ca="1" si="1"/>
        <v/>
      </c>
      <c r="C83" s="29" t="str">
        <f t="shared" ca="1" si="2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0"/>
        <v>0</v>
      </c>
    </row>
    <row r="84" spans="2:12" x14ac:dyDescent="0.3">
      <c r="B84" s="28" t="str">
        <f ca="1">IF(D84&lt;&gt;"",DATE(Jahr,_xlfn.SHEET()-2,D84),"")</f>
        <v/>
      </c>
      <c r="C84" s="29" t="str">
        <f ca="1">B84</f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ref="L84:L149" si="3">J84-I84-K84</f>
        <v>0</v>
      </c>
    </row>
    <row r="85" spans="2:12" x14ac:dyDescent="0.3">
      <c r="B85" s="28" t="str">
        <f t="shared" ref="B85:B150" ca="1" si="4">IF(D85&lt;&gt;"",DATE(Jahr,_xlfn.SHEET()-2,D85),"")</f>
        <v/>
      </c>
      <c r="C85" s="29" t="str">
        <f t="shared" ref="C85:C150" ca="1" si="5">B85</f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t="shared" ca="1" si="4"/>
        <v/>
      </c>
      <c r="C86" s="29" t="str">
        <f t="shared" ca="1" si="5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ca="1">IF(D98&lt;&gt;"",DATE(Jahr,_xlfn.SHEET()-2,D98),"")</f>
        <v/>
      </c>
      <c r="C98" s="29" t="str">
        <f ca="1">B98</f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3"/>
        <v>0</v>
      </c>
    </row>
    <row r="123" spans="2:12" x14ac:dyDescent="0.3">
      <c r="B123" s="28" t="str">
        <f t="shared" ca="1" si="4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3"/>
        <v>0</v>
      </c>
    </row>
    <row r="124" spans="2:12" x14ac:dyDescent="0.3">
      <c r="B124" s="28" t="str">
        <f t="shared" ca="1" si="4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3"/>
        <v>0</v>
      </c>
    </row>
    <row r="125" spans="2:12" x14ac:dyDescent="0.3">
      <c r="B125" s="28" t="str">
        <f t="shared" ca="1" si="4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3"/>
        <v>0</v>
      </c>
    </row>
    <row r="126" spans="2:12" x14ac:dyDescent="0.3">
      <c r="B126" s="28" t="str">
        <f t="shared" ca="1" si="4"/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3"/>
        <v>0</v>
      </c>
    </row>
    <row r="127" spans="2:12" x14ac:dyDescent="0.3">
      <c r="B127" s="28" t="str">
        <f t="shared" ca="1" si="4"/>
        <v/>
      </c>
      <c r="C127" s="29" t="str">
        <f t="shared" ca="1" si="5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3"/>
        <v>0</v>
      </c>
    </row>
    <row r="128" spans="2:12" x14ac:dyDescent="0.3">
      <c r="B128" s="28" t="str">
        <f t="shared" ca="1" si="4"/>
        <v/>
      </c>
      <c r="C128" s="29" t="str">
        <f t="shared" ca="1" si="5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3"/>
        <v>0</v>
      </c>
    </row>
    <row r="129" spans="2:12" x14ac:dyDescent="0.3">
      <c r="B129" s="28" t="str">
        <f t="shared" ca="1" si="4"/>
        <v/>
      </c>
      <c r="C129" s="29" t="str">
        <f t="shared" ca="1" si="5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3"/>
        <v>0</v>
      </c>
    </row>
    <row r="130" spans="2:12" x14ac:dyDescent="0.3">
      <c r="B130" s="28" t="str">
        <f t="shared" ca="1" si="4"/>
        <v/>
      </c>
      <c r="C130" s="29" t="str">
        <f t="shared" ca="1" si="5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3"/>
        <v>0</v>
      </c>
    </row>
    <row r="131" spans="2:12" x14ac:dyDescent="0.3">
      <c r="B131" s="28" t="str">
        <f t="shared" ca="1" si="4"/>
        <v/>
      </c>
      <c r="C131" s="29" t="str">
        <f t="shared" ca="1" si="5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3"/>
        <v>0</v>
      </c>
    </row>
    <row r="132" spans="2:12" x14ac:dyDescent="0.3">
      <c r="B132" s="28" t="str">
        <f t="shared" ca="1" si="4"/>
        <v/>
      </c>
      <c r="C132" s="29" t="str">
        <f t="shared" ca="1" si="5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3"/>
        <v>0</v>
      </c>
    </row>
    <row r="133" spans="2:12" x14ac:dyDescent="0.3">
      <c r="B133" s="28" t="str">
        <f t="shared" ca="1" si="4"/>
        <v/>
      </c>
      <c r="C133" s="29" t="str">
        <f t="shared" ca="1" si="5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3"/>
        <v>0</v>
      </c>
    </row>
    <row r="134" spans="2:12" x14ac:dyDescent="0.3">
      <c r="B134" s="28" t="str">
        <f t="shared" ca="1" si="4"/>
        <v/>
      </c>
      <c r="C134" s="29" t="str">
        <f t="shared" ca="1" si="5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3"/>
        <v>0</v>
      </c>
    </row>
    <row r="135" spans="2:12" x14ac:dyDescent="0.3">
      <c r="B135" s="28" t="str">
        <f t="shared" ca="1" si="4"/>
        <v/>
      </c>
      <c r="C135" s="29" t="str">
        <f t="shared" ca="1" si="5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3"/>
        <v>0</v>
      </c>
    </row>
    <row r="136" spans="2:12" x14ac:dyDescent="0.3">
      <c r="B136" s="28" t="str">
        <f t="shared" ca="1" si="4"/>
        <v/>
      </c>
      <c r="C136" s="29" t="str">
        <f t="shared" ca="1" si="5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3"/>
        <v>0</v>
      </c>
    </row>
    <row r="137" spans="2:12" x14ac:dyDescent="0.3">
      <c r="B137" s="28" t="str">
        <f t="shared" ca="1" si="4"/>
        <v/>
      </c>
      <c r="C137" s="29" t="str">
        <f t="shared" ca="1" si="5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3"/>
        <v>0</v>
      </c>
    </row>
    <row r="138" spans="2:12" x14ac:dyDescent="0.3">
      <c r="B138" s="28" t="str">
        <f t="shared" ca="1" si="4"/>
        <v/>
      </c>
      <c r="C138" s="29" t="str">
        <f t="shared" ca="1" si="5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3"/>
        <v>0</v>
      </c>
    </row>
    <row r="139" spans="2:12" x14ac:dyDescent="0.3">
      <c r="B139" s="28" t="str">
        <f t="shared" ca="1" si="4"/>
        <v/>
      </c>
      <c r="C139" s="29" t="str">
        <f t="shared" ca="1" si="5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3"/>
        <v>0</v>
      </c>
    </row>
    <row r="140" spans="2:12" x14ac:dyDescent="0.3">
      <c r="B140" s="28" t="str">
        <f t="shared" ca="1" si="4"/>
        <v/>
      </c>
      <c r="C140" s="29" t="str">
        <f t="shared" ca="1" si="5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3"/>
        <v>0</v>
      </c>
    </row>
    <row r="141" spans="2:12" x14ac:dyDescent="0.3">
      <c r="B141" s="28" t="str">
        <f t="shared" ca="1" si="4"/>
        <v/>
      </c>
      <c r="C141" s="29" t="str">
        <f t="shared" ca="1" si="5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3"/>
        <v>0</v>
      </c>
    </row>
    <row r="142" spans="2:12" x14ac:dyDescent="0.3">
      <c r="B142" s="28" t="str">
        <f t="shared" ca="1" si="4"/>
        <v/>
      </c>
      <c r="C142" s="29" t="str">
        <f t="shared" ca="1" si="5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3"/>
        <v>0</v>
      </c>
    </row>
    <row r="143" spans="2:12" x14ac:dyDescent="0.3">
      <c r="B143" s="28" t="str">
        <f t="shared" ca="1" si="4"/>
        <v/>
      </c>
      <c r="C143" s="29" t="str">
        <f t="shared" ca="1" si="5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3"/>
        <v>0</v>
      </c>
    </row>
    <row r="144" spans="2:12" x14ac:dyDescent="0.3">
      <c r="B144" s="28" t="str">
        <f t="shared" ca="1" si="4"/>
        <v/>
      </c>
      <c r="C144" s="29" t="str">
        <f t="shared" ca="1" si="5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3"/>
        <v>0</v>
      </c>
    </row>
    <row r="145" spans="2:12" x14ac:dyDescent="0.3">
      <c r="B145" s="28" t="str">
        <f t="shared" ca="1" si="4"/>
        <v/>
      </c>
      <c r="C145" s="29" t="str">
        <f t="shared" ca="1" si="5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3"/>
        <v>0</v>
      </c>
    </row>
    <row r="146" spans="2:12" x14ac:dyDescent="0.3">
      <c r="B146" s="28" t="str">
        <f t="shared" ca="1" si="4"/>
        <v/>
      </c>
      <c r="C146" s="29" t="str">
        <f t="shared" ca="1" si="5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3"/>
        <v>0</v>
      </c>
    </row>
    <row r="147" spans="2:12" x14ac:dyDescent="0.3">
      <c r="B147" s="28" t="str">
        <f t="shared" ca="1" si="4"/>
        <v/>
      </c>
      <c r="C147" s="29" t="str">
        <f t="shared" ca="1" si="5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3"/>
        <v>0</v>
      </c>
    </row>
    <row r="148" spans="2:12" x14ac:dyDescent="0.3">
      <c r="B148" s="28" t="str">
        <f t="shared" ca="1" si="4"/>
        <v/>
      </c>
      <c r="C148" s="29" t="str">
        <f t="shared" ca="1" si="5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3"/>
        <v>0</v>
      </c>
    </row>
    <row r="149" spans="2:12" x14ac:dyDescent="0.3">
      <c r="B149" s="28" t="str">
        <f t="shared" ca="1" si="4"/>
        <v/>
      </c>
      <c r="C149" s="29" t="str">
        <f t="shared" ca="1" si="5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3"/>
        <v>0</v>
      </c>
    </row>
    <row r="150" spans="2:12" x14ac:dyDescent="0.3">
      <c r="B150" s="28" t="str">
        <f t="shared" ca="1" si="4"/>
        <v/>
      </c>
      <c r="C150" s="29" t="str">
        <f t="shared" ca="1" si="5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ref="L150:L213" si="6">J150-I150-K150</f>
        <v>0</v>
      </c>
    </row>
    <row r="151" spans="2:12" x14ac:dyDescent="0.3">
      <c r="B151" s="28" t="str">
        <f t="shared" ref="B151:B214" ca="1" si="7">IF(D151&lt;&gt;"",DATE(Jahr,_xlfn.SHEET()-2,D151),"")</f>
        <v/>
      </c>
      <c r="C151" s="29" t="str">
        <f t="shared" ref="C151:C214" ca="1" si="8">B151</f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6"/>
        <v>0</v>
      </c>
    </row>
    <row r="187" spans="2:12" x14ac:dyDescent="0.3">
      <c r="B187" s="28" t="str">
        <f t="shared" ca="1" si="7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6"/>
        <v>0</v>
      </c>
    </row>
    <row r="188" spans="2:12" x14ac:dyDescent="0.3">
      <c r="B188" s="28" t="str">
        <f t="shared" ca="1" si="7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6"/>
        <v>0</v>
      </c>
    </row>
    <row r="189" spans="2:12" x14ac:dyDescent="0.3">
      <c r="B189" s="28" t="str">
        <f t="shared" ca="1" si="7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6"/>
        <v>0</v>
      </c>
    </row>
    <row r="190" spans="2:12" x14ac:dyDescent="0.3">
      <c r="B190" s="28" t="str">
        <f t="shared" ca="1" si="7"/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6"/>
        <v>0</v>
      </c>
    </row>
    <row r="191" spans="2:12" x14ac:dyDescent="0.3">
      <c r="B191" s="28" t="str">
        <f t="shared" ca="1" si="7"/>
        <v/>
      </c>
      <c r="C191" s="29" t="str">
        <f t="shared" ca="1" si="8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6"/>
        <v>0</v>
      </c>
    </row>
    <row r="192" spans="2:12" x14ac:dyDescent="0.3">
      <c r="B192" s="28" t="str">
        <f t="shared" ca="1" si="7"/>
        <v/>
      </c>
      <c r="C192" s="29" t="str">
        <f t="shared" ca="1" si="8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6"/>
        <v>0</v>
      </c>
    </row>
    <row r="193" spans="2:12" x14ac:dyDescent="0.3">
      <c r="B193" s="28" t="str">
        <f t="shared" ca="1" si="7"/>
        <v/>
      </c>
      <c r="C193" s="29" t="str">
        <f t="shared" ca="1" si="8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6"/>
        <v>0</v>
      </c>
    </row>
    <row r="194" spans="2:12" x14ac:dyDescent="0.3">
      <c r="B194" s="28" t="str">
        <f t="shared" ca="1" si="7"/>
        <v/>
      </c>
      <c r="C194" s="29" t="str">
        <f t="shared" ca="1" si="8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6"/>
        <v>0</v>
      </c>
    </row>
    <row r="195" spans="2:12" x14ac:dyDescent="0.3">
      <c r="B195" s="28" t="str">
        <f t="shared" ca="1" si="7"/>
        <v/>
      </c>
      <c r="C195" s="29" t="str">
        <f t="shared" ca="1" si="8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6"/>
        <v>0</v>
      </c>
    </row>
    <row r="196" spans="2:12" x14ac:dyDescent="0.3">
      <c r="B196" s="28" t="str">
        <f t="shared" ca="1" si="7"/>
        <v/>
      </c>
      <c r="C196" s="29" t="str">
        <f t="shared" ca="1" si="8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6"/>
        <v>0</v>
      </c>
    </row>
    <row r="197" spans="2:12" x14ac:dyDescent="0.3">
      <c r="B197" s="28" t="str">
        <f t="shared" ca="1" si="7"/>
        <v/>
      </c>
      <c r="C197" s="29" t="str">
        <f t="shared" ca="1" si="8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6"/>
        <v>0</v>
      </c>
    </row>
    <row r="198" spans="2:12" x14ac:dyDescent="0.3">
      <c r="B198" s="28" t="str">
        <f t="shared" ca="1" si="7"/>
        <v/>
      </c>
      <c r="C198" s="29" t="str">
        <f t="shared" ca="1" si="8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6"/>
        <v>0</v>
      </c>
    </row>
    <row r="199" spans="2:12" x14ac:dyDescent="0.3">
      <c r="B199" s="28" t="str">
        <f t="shared" ca="1" si="7"/>
        <v/>
      </c>
      <c r="C199" s="29" t="str">
        <f t="shared" ca="1" si="8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6"/>
        <v>0</v>
      </c>
    </row>
    <row r="200" spans="2:12" x14ac:dyDescent="0.3">
      <c r="B200" s="28" t="str">
        <f t="shared" ca="1" si="7"/>
        <v/>
      </c>
      <c r="C200" s="29" t="str">
        <f t="shared" ca="1" si="8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6"/>
        <v>0</v>
      </c>
    </row>
    <row r="201" spans="2:12" x14ac:dyDescent="0.3">
      <c r="B201" s="28" t="str">
        <f t="shared" ca="1" si="7"/>
        <v/>
      </c>
      <c r="C201" s="29" t="str">
        <f t="shared" ca="1" si="8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6"/>
        <v>0</v>
      </c>
    </row>
    <row r="202" spans="2:12" x14ac:dyDescent="0.3">
      <c r="B202" s="28" t="str">
        <f t="shared" ca="1" si="7"/>
        <v/>
      </c>
      <c r="C202" s="29" t="str">
        <f t="shared" ca="1" si="8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6"/>
        <v>0</v>
      </c>
    </row>
    <row r="203" spans="2:12" x14ac:dyDescent="0.3">
      <c r="B203" s="28" t="str">
        <f t="shared" ca="1" si="7"/>
        <v/>
      </c>
      <c r="C203" s="29" t="str">
        <f t="shared" ca="1" si="8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6"/>
        <v>0</v>
      </c>
    </row>
    <row r="204" spans="2:12" x14ac:dyDescent="0.3">
      <c r="B204" s="28" t="str">
        <f t="shared" ca="1" si="7"/>
        <v/>
      </c>
      <c r="C204" s="29" t="str">
        <f t="shared" ca="1" si="8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6"/>
        <v>0</v>
      </c>
    </row>
    <row r="205" spans="2:12" x14ac:dyDescent="0.3">
      <c r="B205" s="28" t="str">
        <f t="shared" ca="1" si="7"/>
        <v/>
      </c>
      <c r="C205" s="29" t="str">
        <f t="shared" ca="1" si="8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6"/>
        <v>0</v>
      </c>
    </row>
    <row r="206" spans="2:12" x14ac:dyDescent="0.3">
      <c r="B206" s="28" t="str">
        <f t="shared" ca="1" si="7"/>
        <v/>
      </c>
      <c r="C206" s="29" t="str">
        <f t="shared" ca="1" si="8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6"/>
        <v>0</v>
      </c>
    </row>
    <row r="207" spans="2:12" x14ac:dyDescent="0.3">
      <c r="B207" s="28" t="str">
        <f t="shared" ca="1" si="7"/>
        <v/>
      </c>
      <c r="C207" s="29" t="str">
        <f t="shared" ca="1" si="8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6"/>
        <v>0</v>
      </c>
    </row>
    <row r="208" spans="2:12" x14ac:dyDescent="0.3">
      <c r="B208" s="28" t="str">
        <f t="shared" ca="1" si="7"/>
        <v/>
      </c>
      <c r="C208" s="29" t="str">
        <f t="shared" ca="1" si="8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6"/>
        <v>0</v>
      </c>
    </row>
    <row r="209" spans="2:12" x14ac:dyDescent="0.3">
      <c r="B209" s="28" t="str">
        <f t="shared" ca="1" si="7"/>
        <v/>
      </c>
      <c r="C209" s="29" t="str">
        <f t="shared" ca="1" si="8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6"/>
        <v>0</v>
      </c>
    </row>
    <row r="210" spans="2:12" x14ac:dyDescent="0.3">
      <c r="B210" s="28" t="str">
        <f t="shared" ca="1" si="7"/>
        <v/>
      </c>
      <c r="C210" s="29" t="str">
        <f t="shared" ca="1" si="8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6"/>
        <v>0</v>
      </c>
    </row>
    <row r="211" spans="2:12" x14ac:dyDescent="0.3">
      <c r="B211" s="28" t="str">
        <f t="shared" ca="1" si="7"/>
        <v/>
      </c>
      <c r="C211" s="29" t="str">
        <f t="shared" ca="1" si="8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6"/>
        <v>0</v>
      </c>
    </row>
    <row r="212" spans="2:12" x14ac:dyDescent="0.3">
      <c r="B212" s="28" t="str">
        <f t="shared" ca="1" si="7"/>
        <v/>
      </c>
      <c r="C212" s="29" t="str">
        <f t="shared" ca="1" si="8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6"/>
        <v>0</v>
      </c>
    </row>
    <row r="213" spans="2:12" x14ac:dyDescent="0.3">
      <c r="B213" s="28" t="str">
        <f t="shared" ca="1" si="7"/>
        <v/>
      </c>
      <c r="C213" s="29" t="str">
        <f t="shared" ca="1" si="8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6"/>
        <v>0</v>
      </c>
    </row>
    <row r="214" spans="2:12" x14ac:dyDescent="0.3">
      <c r="B214" s="28" t="str">
        <f t="shared" ca="1" si="7"/>
        <v/>
      </c>
      <c r="C214" s="29" t="str">
        <f t="shared" ca="1" si="8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ref="L214:L277" si="9">J214-I214-K214</f>
        <v>0</v>
      </c>
    </row>
    <row r="215" spans="2:12" x14ac:dyDescent="0.3">
      <c r="B215" s="28" t="str">
        <f t="shared" ref="B215:B278" ca="1" si="10">IF(D215&lt;&gt;"",DATE(Jahr,_xlfn.SHEET()-2,D215),"")</f>
        <v/>
      </c>
      <c r="C215" s="29" t="str">
        <f t="shared" ref="C215:C278" ca="1" si="11">B215</f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9"/>
        <v>0</v>
      </c>
    </row>
    <row r="251" spans="2:12" x14ac:dyDescent="0.3">
      <c r="B251" s="28" t="str">
        <f t="shared" ca="1" si="10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9"/>
        <v>0</v>
      </c>
    </row>
    <row r="252" spans="2:12" x14ac:dyDescent="0.3">
      <c r="B252" s="28" t="str">
        <f t="shared" ca="1" si="10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9"/>
        <v>0</v>
      </c>
    </row>
    <row r="253" spans="2:12" x14ac:dyDescent="0.3">
      <c r="B253" s="28" t="str">
        <f t="shared" ca="1" si="10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9"/>
        <v>0</v>
      </c>
    </row>
    <row r="254" spans="2:12" x14ac:dyDescent="0.3">
      <c r="B254" s="28" t="str">
        <f t="shared" ca="1" si="10"/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9"/>
        <v>0</v>
      </c>
    </row>
    <row r="255" spans="2:12" x14ac:dyDescent="0.3">
      <c r="B255" s="28" t="str">
        <f t="shared" ca="1" si="10"/>
        <v/>
      </c>
      <c r="C255" s="29" t="str">
        <f t="shared" ca="1" si="11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9"/>
        <v>0</v>
      </c>
    </row>
    <row r="256" spans="2:12" x14ac:dyDescent="0.3">
      <c r="B256" s="28" t="str">
        <f t="shared" ca="1" si="10"/>
        <v/>
      </c>
      <c r="C256" s="29" t="str">
        <f t="shared" ca="1" si="11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9"/>
        <v>0</v>
      </c>
    </row>
    <row r="257" spans="2:12" x14ac:dyDescent="0.3">
      <c r="B257" s="28" t="str">
        <f t="shared" ca="1" si="10"/>
        <v/>
      </c>
      <c r="C257" s="29" t="str">
        <f t="shared" ca="1" si="11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9"/>
        <v>0</v>
      </c>
    </row>
    <row r="258" spans="2:12" x14ac:dyDescent="0.3">
      <c r="B258" s="28" t="str">
        <f t="shared" ca="1" si="10"/>
        <v/>
      </c>
      <c r="C258" s="29" t="str">
        <f t="shared" ca="1" si="11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9"/>
        <v>0</v>
      </c>
    </row>
    <row r="259" spans="2:12" x14ac:dyDescent="0.3">
      <c r="B259" s="28" t="str">
        <f t="shared" ca="1" si="10"/>
        <v/>
      </c>
      <c r="C259" s="29" t="str">
        <f t="shared" ca="1" si="11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9"/>
        <v>0</v>
      </c>
    </row>
    <row r="260" spans="2:12" x14ac:dyDescent="0.3">
      <c r="B260" s="28" t="str">
        <f t="shared" ca="1" si="10"/>
        <v/>
      </c>
      <c r="C260" s="29" t="str">
        <f t="shared" ca="1" si="11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9"/>
        <v>0</v>
      </c>
    </row>
    <row r="261" spans="2:12" x14ac:dyDescent="0.3">
      <c r="B261" s="28" t="str">
        <f t="shared" ca="1" si="10"/>
        <v/>
      </c>
      <c r="C261" s="29" t="str">
        <f t="shared" ca="1" si="11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9"/>
        <v>0</v>
      </c>
    </row>
    <row r="262" spans="2:12" x14ac:dyDescent="0.3">
      <c r="B262" s="28" t="str">
        <f t="shared" ca="1" si="10"/>
        <v/>
      </c>
      <c r="C262" s="29" t="str">
        <f t="shared" ca="1" si="11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9"/>
        <v>0</v>
      </c>
    </row>
    <row r="263" spans="2:12" x14ac:dyDescent="0.3">
      <c r="B263" s="28" t="str">
        <f t="shared" ca="1" si="10"/>
        <v/>
      </c>
      <c r="C263" s="29" t="str">
        <f t="shared" ca="1" si="11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9"/>
        <v>0</v>
      </c>
    </row>
    <row r="264" spans="2:12" x14ac:dyDescent="0.3">
      <c r="B264" s="28" t="str">
        <f t="shared" ca="1" si="10"/>
        <v/>
      </c>
      <c r="C264" s="29" t="str">
        <f t="shared" ca="1" si="11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9"/>
        <v>0</v>
      </c>
    </row>
    <row r="265" spans="2:12" x14ac:dyDescent="0.3">
      <c r="B265" s="28" t="str">
        <f t="shared" ca="1" si="10"/>
        <v/>
      </c>
      <c r="C265" s="29" t="str">
        <f t="shared" ca="1" si="11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9"/>
        <v>0</v>
      </c>
    </row>
    <row r="266" spans="2:12" x14ac:dyDescent="0.3">
      <c r="B266" s="28" t="str">
        <f t="shared" ca="1" si="10"/>
        <v/>
      </c>
      <c r="C266" s="29" t="str">
        <f t="shared" ca="1" si="11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9"/>
        <v>0</v>
      </c>
    </row>
    <row r="267" spans="2:12" x14ac:dyDescent="0.3">
      <c r="B267" s="28" t="str">
        <f t="shared" ca="1" si="10"/>
        <v/>
      </c>
      <c r="C267" s="29" t="str">
        <f t="shared" ca="1" si="11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9"/>
        <v>0</v>
      </c>
    </row>
    <row r="268" spans="2:12" x14ac:dyDescent="0.3">
      <c r="B268" s="28" t="str">
        <f t="shared" ca="1" si="10"/>
        <v/>
      </c>
      <c r="C268" s="29" t="str">
        <f t="shared" ca="1" si="11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9"/>
        <v>0</v>
      </c>
    </row>
    <row r="269" spans="2:12" x14ac:dyDescent="0.3">
      <c r="B269" s="28" t="str">
        <f t="shared" ca="1" si="10"/>
        <v/>
      </c>
      <c r="C269" s="29" t="str">
        <f t="shared" ca="1" si="11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9"/>
        <v>0</v>
      </c>
    </row>
    <row r="270" spans="2:12" x14ac:dyDescent="0.3">
      <c r="B270" s="28" t="str">
        <f t="shared" ca="1" si="10"/>
        <v/>
      </c>
      <c r="C270" s="29" t="str">
        <f t="shared" ca="1" si="11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9"/>
        <v>0</v>
      </c>
    </row>
    <row r="271" spans="2:12" x14ac:dyDescent="0.3">
      <c r="B271" s="28" t="str">
        <f t="shared" ca="1" si="10"/>
        <v/>
      </c>
      <c r="C271" s="29" t="str">
        <f t="shared" ca="1" si="11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9"/>
        <v>0</v>
      </c>
    </row>
    <row r="272" spans="2:12" x14ac:dyDescent="0.3">
      <c r="B272" s="28" t="str">
        <f t="shared" ca="1" si="10"/>
        <v/>
      </c>
      <c r="C272" s="29" t="str">
        <f t="shared" ca="1" si="11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9"/>
        <v>0</v>
      </c>
    </row>
    <row r="273" spans="2:12" x14ac:dyDescent="0.3">
      <c r="B273" s="28" t="str">
        <f t="shared" ca="1" si="10"/>
        <v/>
      </c>
      <c r="C273" s="29" t="str">
        <f t="shared" ca="1" si="11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9"/>
        <v>0</v>
      </c>
    </row>
    <row r="274" spans="2:12" x14ac:dyDescent="0.3">
      <c r="B274" s="28" t="str">
        <f t="shared" ca="1" si="10"/>
        <v/>
      </c>
      <c r="C274" s="29" t="str">
        <f t="shared" ca="1" si="11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9"/>
        <v>0</v>
      </c>
    </row>
    <row r="275" spans="2:12" x14ac:dyDescent="0.3">
      <c r="B275" s="28" t="str">
        <f t="shared" ca="1" si="10"/>
        <v/>
      </c>
      <c r="C275" s="29" t="str">
        <f t="shared" ca="1" si="11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9"/>
        <v>0</v>
      </c>
    </row>
    <row r="276" spans="2:12" x14ac:dyDescent="0.3">
      <c r="B276" s="28" t="str">
        <f t="shared" ca="1" si="10"/>
        <v/>
      </c>
      <c r="C276" s="29" t="str">
        <f t="shared" ca="1" si="11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9"/>
        <v>0</v>
      </c>
    </row>
    <row r="277" spans="2:12" x14ac:dyDescent="0.3">
      <c r="B277" s="28" t="str">
        <f t="shared" ca="1" si="10"/>
        <v/>
      </c>
      <c r="C277" s="29" t="str">
        <f t="shared" ca="1" si="11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9"/>
        <v>0</v>
      </c>
    </row>
    <row r="278" spans="2:12" x14ac:dyDescent="0.3">
      <c r="B278" s="28" t="str">
        <f t="shared" ca="1" si="10"/>
        <v/>
      </c>
      <c r="C278" s="29" t="str">
        <f t="shared" ca="1" si="11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ref="L278:L341" si="12">J278-I278-K278</f>
        <v>0</v>
      </c>
    </row>
    <row r="279" spans="2:12" x14ac:dyDescent="0.3">
      <c r="B279" s="28" t="str">
        <f t="shared" ref="B279:B342" ca="1" si="13">IF(D279&lt;&gt;"",DATE(Jahr,_xlfn.SHEET()-2,D279),"")</f>
        <v/>
      </c>
      <c r="C279" s="29" t="str">
        <f t="shared" ref="C279:C342" ca="1" si="14">B279</f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2"/>
        <v>0</v>
      </c>
    </row>
    <row r="315" spans="2:12" x14ac:dyDescent="0.3">
      <c r="B315" s="28" t="str">
        <f t="shared" ca="1" si="13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2"/>
        <v>0</v>
      </c>
    </row>
    <row r="316" spans="2:12" x14ac:dyDescent="0.3">
      <c r="B316" s="28" t="str">
        <f t="shared" ca="1" si="13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2"/>
        <v>0</v>
      </c>
    </row>
    <row r="317" spans="2:12" x14ac:dyDescent="0.3">
      <c r="B317" s="28" t="str">
        <f t="shared" ca="1" si="13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2"/>
        <v>0</v>
      </c>
    </row>
    <row r="318" spans="2:12" x14ac:dyDescent="0.3">
      <c r="B318" s="28" t="str">
        <f t="shared" ca="1" si="13"/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2"/>
        <v>0</v>
      </c>
    </row>
    <row r="319" spans="2:12" x14ac:dyDescent="0.3">
      <c r="B319" s="28" t="str">
        <f t="shared" ca="1" si="13"/>
        <v/>
      </c>
      <c r="C319" s="29" t="str">
        <f t="shared" ca="1" si="14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2"/>
        <v>0</v>
      </c>
    </row>
    <row r="320" spans="2:12" x14ac:dyDescent="0.3">
      <c r="B320" s="28" t="str">
        <f t="shared" ca="1" si="13"/>
        <v/>
      </c>
      <c r="C320" s="29" t="str">
        <f t="shared" ca="1" si="14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2"/>
        <v>0</v>
      </c>
    </row>
    <row r="321" spans="2:12" x14ac:dyDescent="0.3">
      <c r="B321" s="28" t="str">
        <f t="shared" ca="1" si="13"/>
        <v/>
      </c>
      <c r="C321" s="29" t="str">
        <f t="shared" ca="1" si="14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2"/>
        <v>0</v>
      </c>
    </row>
    <row r="322" spans="2:12" x14ac:dyDescent="0.3">
      <c r="B322" s="28" t="str">
        <f t="shared" ca="1" si="13"/>
        <v/>
      </c>
      <c r="C322" s="29" t="str">
        <f t="shared" ca="1" si="14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2"/>
        <v>0</v>
      </c>
    </row>
    <row r="323" spans="2:12" x14ac:dyDescent="0.3">
      <c r="B323" s="28" t="str">
        <f t="shared" ca="1" si="13"/>
        <v/>
      </c>
      <c r="C323" s="29" t="str">
        <f t="shared" ca="1" si="14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2"/>
        <v>0</v>
      </c>
    </row>
    <row r="324" spans="2:12" x14ac:dyDescent="0.3">
      <c r="B324" s="28" t="str">
        <f t="shared" ca="1" si="13"/>
        <v/>
      </c>
      <c r="C324" s="29" t="str">
        <f t="shared" ca="1" si="14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2"/>
        <v>0</v>
      </c>
    </row>
    <row r="325" spans="2:12" x14ac:dyDescent="0.3">
      <c r="B325" s="28" t="str">
        <f t="shared" ca="1" si="13"/>
        <v/>
      </c>
      <c r="C325" s="29" t="str">
        <f t="shared" ca="1" si="14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2"/>
        <v>0</v>
      </c>
    </row>
    <row r="326" spans="2:12" x14ac:dyDescent="0.3">
      <c r="B326" s="28" t="str">
        <f t="shared" ca="1" si="13"/>
        <v/>
      </c>
      <c r="C326" s="29" t="str">
        <f t="shared" ca="1" si="14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2"/>
        <v>0</v>
      </c>
    </row>
    <row r="327" spans="2:12" x14ac:dyDescent="0.3">
      <c r="B327" s="28" t="str">
        <f t="shared" ca="1" si="13"/>
        <v/>
      </c>
      <c r="C327" s="29" t="str">
        <f t="shared" ca="1" si="14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2"/>
        <v>0</v>
      </c>
    </row>
    <row r="328" spans="2:12" x14ac:dyDescent="0.3">
      <c r="B328" s="28" t="str">
        <f t="shared" ca="1" si="13"/>
        <v/>
      </c>
      <c r="C328" s="29" t="str">
        <f t="shared" ca="1" si="14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2"/>
        <v>0</v>
      </c>
    </row>
    <row r="329" spans="2:12" x14ac:dyDescent="0.3">
      <c r="B329" s="28" t="str">
        <f t="shared" ca="1" si="13"/>
        <v/>
      </c>
      <c r="C329" s="29" t="str">
        <f t="shared" ca="1" si="14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2"/>
        <v>0</v>
      </c>
    </row>
    <row r="330" spans="2:12" x14ac:dyDescent="0.3">
      <c r="B330" s="28" t="str">
        <f t="shared" ca="1" si="13"/>
        <v/>
      </c>
      <c r="C330" s="29" t="str">
        <f t="shared" ca="1" si="14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2"/>
        <v>0</v>
      </c>
    </row>
    <row r="331" spans="2:12" x14ac:dyDescent="0.3">
      <c r="B331" s="28" t="str">
        <f t="shared" ca="1" si="13"/>
        <v/>
      </c>
      <c r="C331" s="29" t="str">
        <f t="shared" ca="1" si="14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2"/>
        <v>0</v>
      </c>
    </row>
    <row r="332" spans="2:12" x14ac:dyDescent="0.3">
      <c r="B332" s="28" t="str">
        <f t="shared" ca="1" si="13"/>
        <v/>
      </c>
      <c r="C332" s="29" t="str">
        <f t="shared" ca="1" si="14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2"/>
        <v>0</v>
      </c>
    </row>
    <row r="333" spans="2:12" x14ac:dyDescent="0.3">
      <c r="B333" s="28" t="str">
        <f t="shared" ca="1" si="13"/>
        <v/>
      </c>
      <c r="C333" s="29" t="str">
        <f t="shared" ca="1" si="14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2"/>
        <v>0</v>
      </c>
    </row>
    <row r="334" spans="2:12" x14ac:dyDescent="0.3">
      <c r="B334" s="28" t="str">
        <f t="shared" ca="1" si="13"/>
        <v/>
      </c>
      <c r="C334" s="29" t="str">
        <f t="shared" ca="1" si="14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2"/>
        <v>0</v>
      </c>
    </row>
    <row r="335" spans="2:12" x14ac:dyDescent="0.3">
      <c r="B335" s="28" t="str">
        <f t="shared" ca="1" si="13"/>
        <v/>
      </c>
      <c r="C335" s="29" t="str">
        <f t="shared" ca="1" si="14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2"/>
        <v>0</v>
      </c>
    </row>
    <row r="336" spans="2:12" x14ac:dyDescent="0.3">
      <c r="B336" s="28" t="str">
        <f t="shared" ca="1" si="13"/>
        <v/>
      </c>
      <c r="C336" s="29" t="str">
        <f t="shared" ca="1" si="14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2"/>
        <v>0</v>
      </c>
    </row>
    <row r="337" spans="2:12" x14ac:dyDescent="0.3">
      <c r="B337" s="28" t="str">
        <f t="shared" ca="1" si="13"/>
        <v/>
      </c>
      <c r="C337" s="29" t="str">
        <f t="shared" ca="1" si="14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2"/>
        <v>0</v>
      </c>
    </row>
    <row r="338" spans="2:12" x14ac:dyDescent="0.3">
      <c r="B338" s="28" t="str">
        <f t="shared" ca="1" si="13"/>
        <v/>
      </c>
      <c r="C338" s="29" t="str">
        <f t="shared" ca="1" si="14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2"/>
        <v>0</v>
      </c>
    </row>
    <row r="339" spans="2:12" x14ac:dyDescent="0.3">
      <c r="B339" s="28" t="str">
        <f t="shared" ca="1" si="13"/>
        <v/>
      </c>
      <c r="C339" s="29" t="str">
        <f t="shared" ca="1" si="14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2"/>
        <v>0</v>
      </c>
    </row>
    <row r="340" spans="2:12" x14ac:dyDescent="0.3">
      <c r="B340" s="28" t="str">
        <f t="shared" ca="1" si="13"/>
        <v/>
      </c>
      <c r="C340" s="29" t="str">
        <f t="shared" ca="1" si="14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2"/>
        <v>0</v>
      </c>
    </row>
    <row r="341" spans="2:12" x14ac:dyDescent="0.3">
      <c r="B341" s="28" t="str">
        <f t="shared" ca="1" si="13"/>
        <v/>
      </c>
      <c r="C341" s="29" t="str">
        <f t="shared" ca="1" si="14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2"/>
        <v>0</v>
      </c>
    </row>
    <row r="342" spans="2:12" x14ac:dyDescent="0.3">
      <c r="B342" s="28" t="str">
        <f t="shared" ca="1" si="13"/>
        <v/>
      </c>
      <c r="C342" s="29" t="str">
        <f t="shared" ca="1" si="14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ref="L342:L405" si="15">J342-I342-K342</f>
        <v>0</v>
      </c>
    </row>
    <row r="343" spans="2:12" x14ac:dyDescent="0.3">
      <c r="B343" s="28" t="str">
        <f t="shared" ref="B343:B406" ca="1" si="16">IF(D343&lt;&gt;"",DATE(Jahr,_xlfn.SHEET()-2,D343),"")</f>
        <v/>
      </c>
      <c r="C343" s="29" t="str">
        <f t="shared" ref="C343:C406" ca="1" si="17">B343</f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5"/>
        <v>0</v>
      </c>
    </row>
    <row r="379" spans="2:12" x14ac:dyDescent="0.3">
      <c r="B379" s="28" t="str">
        <f t="shared" ca="1" si="16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5"/>
        <v>0</v>
      </c>
    </row>
    <row r="380" spans="2:12" x14ac:dyDescent="0.3">
      <c r="B380" s="28" t="str">
        <f t="shared" ca="1" si="16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5"/>
        <v>0</v>
      </c>
    </row>
    <row r="381" spans="2:12" x14ac:dyDescent="0.3">
      <c r="B381" s="28" t="str">
        <f t="shared" ca="1" si="16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5"/>
        <v>0</v>
      </c>
    </row>
    <row r="382" spans="2:12" x14ac:dyDescent="0.3">
      <c r="B382" s="28" t="str">
        <f t="shared" ca="1" si="16"/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5"/>
        <v>0</v>
      </c>
    </row>
    <row r="383" spans="2:12" x14ac:dyDescent="0.3">
      <c r="B383" s="28" t="str">
        <f t="shared" ca="1" si="16"/>
        <v/>
      </c>
      <c r="C383" s="29" t="str">
        <f t="shared" ca="1" si="17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5"/>
        <v>0</v>
      </c>
    </row>
    <row r="384" spans="2:12" x14ac:dyDescent="0.3">
      <c r="B384" s="28" t="str">
        <f t="shared" ca="1" si="16"/>
        <v/>
      </c>
      <c r="C384" s="29" t="str">
        <f t="shared" ca="1" si="17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5"/>
        <v>0</v>
      </c>
    </row>
    <row r="385" spans="2:12" x14ac:dyDescent="0.3">
      <c r="B385" s="28" t="str">
        <f t="shared" ca="1" si="16"/>
        <v/>
      </c>
      <c r="C385" s="29" t="str">
        <f t="shared" ca="1" si="17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5"/>
        <v>0</v>
      </c>
    </row>
    <row r="386" spans="2:12" x14ac:dyDescent="0.3">
      <c r="B386" s="28" t="str">
        <f t="shared" ca="1" si="16"/>
        <v/>
      </c>
      <c r="C386" s="29" t="str">
        <f t="shared" ca="1" si="17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5"/>
        <v>0</v>
      </c>
    </row>
    <row r="387" spans="2:12" x14ac:dyDescent="0.3">
      <c r="B387" s="28" t="str">
        <f t="shared" ca="1" si="16"/>
        <v/>
      </c>
      <c r="C387" s="29" t="str">
        <f t="shared" ca="1" si="17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5"/>
        <v>0</v>
      </c>
    </row>
    <row r="388" spans="2:12" x14ac:dyDescent="0.3">
      <c r="B388" s="28" t="str">
        <f t="shared" ca="1" si="16"/>
        <v/>
      </c>
      <c r="C388" s="29" t="str">
        <f t="shared" ca="1" si="17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5"/>
        <v>0</v>
      </c>
    </row>
    <row r="389" spans="2:12" x14ac:dyDescent="0.3">
      <c r="B389" s="28" t="str">
        <f t="shared" ca="1" si="16"/>
        <v/>
      </c>
      <c r="C389" s="29" t="str">
        <f t="shared" ca="1" si="17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5"/>
        <v>0</v>
      </c>
    </row>
    <row r="390" spans="2:12" x14ac:dyDescent="0.3">
      <c r="B390" s="28" t="str">
        <f t="shared" ca="1" si="16"/>
        <v/>
      </c>
      <c r="C390" s="29" t="str">
        <f t="shared" ca="1" si="17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5"/>
        <v>0</v>
      </c>
    </row>
    <row r="391" spans="2:12" x14ac:dyDescent="0.3">
      <c r="B391" s="28" t="str">
        <f t="shared" ca="1" si="16"/>
        <v/>
      </c>
      <c r="C391" s="29" t="str">
        <f t="shared" ca="1" si="17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5"/>
        <v>0</v>
      </c>
    </row>
    <row r="392" spans="2:12" x14ac:dyDescent="0.3">
      <c r="B392" s="28" t="str">
        <f t="shared" ca="1" si="16"/>
        <v/>
      </c>
      <c r="C392" s="29" t="str">
        <f t="shared" ca="1" si="17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5"/>
        <v>0</v>
      </c>
    </row>
    <row r="393" spans="2:12" x14ac:dyDescent="0.3">
      <c r="B393" s="28" t="str">
        <f t="shared" ca="1" si="16"/>
        <v/>
      </c>
      <c r="C393" s="29" t="str">
        <f t="shared" ca="1" si="17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5"/>
        <v>0</v>
      </c>
    </row>
    <row r="394" spans="2:12" x14ac:dyDescent="0.3">
      <c r="B394" s="28" t="str">
        <f t="shared" ca="1" si="16"/>
        <v/>
      </c>
      <c r="C394" s="29" t="str">
        <f t="shared" ca="1" si="17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5"/>
        <v>0</v>
      </c>
    </row>
    <row r="395" spans="2:12" x14ac:dyDescent="0.3">
      <c r="B395" s="28" t="str">
        <f t="shared" ca="1" si="16"/>
        <v/>
      </c>
      <c r="C395" s="29" t="str">
        <f t="shared" ca="1" si="17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5"/>
        <v>0</v>
      </c>
    </row>
    <row r="396" spans="2:12" x14ac:dyDescent="0.3">
      <c r="B396" s="28" t="str">
        <f t="shared" ca="1" si="16"/>
        <v/>
      </c>
      <c r="C396" s="29" t="str">
        <f t="shared" ca="1" si="17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5"/>
        <v>0</v>
      </c>
    </row>
    <row r="397" spans="2:12" x14ac:dyDescent="0.3">
      <c r="B397" s="28" t="str">
        <f t="shared" ca="1" si="16"/>
        <v/>
      </c>
      <c r="C397" s="29" t="str">
        <f t="shared" ca="1" si="17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5"/>
        <v>0</v>
      </c>
    </row>
    <row r="398" spans="2:12" x14ac:dyDescent="0.3">
      <c r="B398" s="28" t="str">
        <f t="shared" ca="1" si="16"/>
        <v/>
      </c>
      <c r="C398" s="29" t="str">
        <f t="shared" ca="1" si="17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5"/>
        <v>0</v>
      </c>
    </row>
    <row r="399" spans="2:12" x14ac:dyDescent="0.3">
      <c r="B399" s="28" t="str">
        <f t="shared" ca="1" si="16"/>
        <v/>
      </c>
      <c r="C399" s="29" t="str">
        <f t="shared" ca="1" si="17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5"/>
        <v>0</v>
      </c>
    </row>
    <row r="400" spans="2:12" x14ac:dyDescent="0.3">
      <c r="B400" s="28" t="str">
        <f t="shared" ca="1" si="16"/>
        <v/>
      </c>
      <c r="C400" s="29" t="str">
        <f t="shared" ca="1" si="17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5"/>
        <v>0</v>
      </c>
    </row>
    <row r="401" spans="2:12" x14ac:dyDescent="0.3">
      <c r="B401" s="28" t="str">
        <f t="shared" ca="1" si="16"/>
        <v/>
      </c>
      <c r="C401" s="29" t="str">
        <f t="shared" ca="1" si="17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5"/>
        <v>0</v>
      </c>
    </row>
    <row r="402" spans="2:12" x14ac:dyDescent="0.3">
      <c r="B402" s="28" t="str">
        <f t="shared" ca="1" si="16"/>
        <v/>
      </c>
      <c r="C402" s="29" t="str">
        <f t="shared" ca="1" si="17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5"/>
        <v>0</v>
      </c>
    </row>
    <row r="403" spans="2:12" x14ac:dyDescent="0.3">
      <c r="B403" s="28" t="str">
        <f t="shared" ca="1" si="16"/>
        <v/>
      </c>
      <c r="C403" s="29" t="str">
        <f t="shared" ca="1" si="17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5"/>
        <v>0</v>
      </c>
    </row>
    <row r="404" spans="2:12" x14ac:dyDescent="0.3">
      <c r="B404" s="28" t="str">
        <f t="shared" ca="1" si="16"/>
        <v/>
      </c>
      <c r="C404" s="29" t="str">
        <f t="shared" ca="1" si="17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5"/>
        <v>0</v>
      </c>
    </row>
    <row r="405" spans="2:12" x14ac:dyDescent="0.3">
      <c r="B405" s="28" t="str">
        <f t="shared" ca="1" si="16"/>
        <v/>
      </c>
      <c r="C405" s="29" t="str">
        <f t="shared" ca="1" si="17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5"/>
        <v>0</v>
      </c>
    </row>
    <row r="406" spans="2:12" x14ac:dyDescent="0.3">
      <c r="B406" s="28" t="str">
        <f t="shared" ca="1" si="16"/>
        <v/>
      </c>
      <c r="C406" s="29" t="str">
        <f t="shared" ca="1" si="17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ref="L406:L469" si="18">J406-I406-K406</f>
        <v>0</v>
      </c>
    </row>
    <row r="407" spans="2:12" x14ac:dyDescent="0.3">
      <c r="B407" s="28" t="str">
        <f t="shared" ref="B407:B470" ca="1" si="19">IF(D407&lt;&gt;"",DATE(Jahr,_xlfn.SHEET()-2,D407),"")</f>
        <v/>
      </c>
      <c r="C407" s="29" t="str">
        <f t="shared" ref="C407:C470" ca="1" si="20">B407</f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8"/>
        <v>0</v>
      </c>
    </row>
    <row r="443" spans="2:12" x14ac:dyDescent="0.3">
      <c r="B443" s="28" t="str">
        <f t="shared" ca="1" si="19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8"/>
        <v>0</v>
      </c>
    </row>
    <row r="444" spans="2:12" x14ac:dyDescent="0.3">
      <c r="B444" s="28" t="str">
        <f t="shared" ca="1" si="19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8"/>
        <v>0</v>
      </c>
    </row>
    <row r="445" spans="2:12" x14ac:dyDescent="0.3">
      <c r="B445" s="28" t="str">
        <f t="shared" ca="1" si="19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8"/>
        <v>0</v>
      </c>
    </row>
    <row r="446" spans="2:12" x14ac:dyDescent="0.3">
      <c r="B446" s="28" t="str">
        <f t="shared" ca="1" si="19"/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18"/>
        <v>0</v>
      </c>
    </row>
    <row r="447" spans="2:12" x14ac:dyDescent="0.3">
      <c r="B447" s="28" t="str">
        <f t="shared" ca="1" si="19"/>
        <v/>
      </c>
      <c r="C447" s="29" t="str">
        <f t="shared" ca="1" si="20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18"/>
        <v>0</v>
      </c>
    </row>
    <row r="448" spans="2:12" x14ac:dyDescent="0.3">
      <c r="B448" s="28" t="str">
        <f t="shared" ca="1" si="19"/>
        <v/>
      </c>
      <c r="C448" s="29" t="str">
        <f t="shared" ca="1" si="20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18"/>
        <v>0</v>
      </c>
    </row>
    <row r="449" spans="2:12" x14ac:dyDescent="0.3">
      <c r="B449" s="28" t="str">
        <f t="shared" ca="1" si="19"/>
        <v/>
      </c>
      <c r="C449" s="29" t="str">
        <f t="shared" ca="1" si="20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18"/>
        <v>0</v>
      </c>
    </row>
    <row r="450" spans="2:12" x14ac:dyDescent="0.3">
      <c r="B450" s="28" t="str">
        <f t="shared" ca="1" si="19"/>
        <v/>
      </c>
      <c r="C450" s="29" t="str">
        <f t="shared" ca="1" si="20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18"/>
        <v>0</v>
      </c>
    </row>
    <row r="451" spans="2:12" x14ac:dyDescent="0.3">
      <c r="B451" s="28" t="str">
        <f t="shared" ca="1" si="19"/>
        <v/>
      </c>
      <c r="C451" s="29" t="str">
        <f t="shared" ca="1" si="20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18"/>
        <v>0</v>
      </c>
    </row>
    <row r="452" spans="2:12" x14ac:dyDescent="0.3">
      <c r="B452" s="28" t="str">
        <f t="shared" ca="1" si="19"/>
        <v/>
      </c>
      <c r="C452" s="29" t="str">
        <f t="shared" ca="1" si="20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18"/>
        <v>0</v>
      </c>
    </row>
    <row r="453" spans="2:12" x14ac:dyDescent="0.3">
      <c r="B453" s="28" t="str">
        <f t="shared" ca="1" si="19"/>
        <v/>
      </c>
      <c r="C453" s="29" t="str">
        <f t="shared" ca="1" si="20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18"/>
        <v>0</v>
      </c>
    </row>
    <row r="454" spans="2:12" x14ac:dyDescent="0.3">
      <c r="B454" s="28" t="str">
        <f t="shared" ca="1" si="19"/>
        <v/>
      </c>
      <c r="C454" s="29" t="str">
        <f t="shared" ca="1" si="20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18"/>
        <v>0</v>
      </c>
    </row>
    <row r="455" spans="2:12" x14ac:dyDescent="0.3">
      <c r="B455" s="28" t="str">
        <f t="shared" ca="1" si="19"/>
        <v/>
      </c>
      <c r="C455" s="29" t="str">
        <f t="shared" ca="1" si="20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18"/>
        <v>0</v>
      </c>
    </row>
    <row r="456" spans="2:12" x14ac:dyDescent="0.3">
      <c r="B456" s="28" t="str">
        <f t="shared" ca="1" si="19"/>
        <v/>
      </c>
      <c r="C456" s="29" t="str">
        <f t="shared" ca="1" si="20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18"/>
        <v>0</v>
      </c>
    </row>
    <row r="457" spans="2:12" x14ac:dyDescent="0.3">
      <c r="B457" s="28" t="str">
        <f t="shared" ca="1" si="19"/>
        <v/>
      </c>
      <c r="C457" s="29" t="str">
        <f t="shared" ca="1" si="20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18"/>
        <v>0</v>
      </c>
    </row>
    <row r="458" spans="2:12" x14ac:dyDescent="0.3">
      <c r="B458" s="28" t="str">
        <f t="shared" ca="1" si="19"/>
        <v/>
      </c>
      <c r="C458" s="29" t="str">
        <f t="shared" ca="1" si="20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18"/>
        <v>0</v>
      </c>
    </row>
    <row r="459" spans="2:12" x14ac:dyDescent="0.3">
      <c r="B459" s="28" t="str">
        <f t="shared" ca="1" si="19"/>
        <v/>
      </c>
      <c r="C459" s="29" t="str">
        <f t="shared" ca="1" si="20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18"/>
        <v>0</v>
      </c>
    </row>
    <row r="460" spans="2:12" x14ac:dyDescent="0.3">
      <c r="B460" s="28" t="str">
        <f t="shared" ca="1" si="19"/>
        <v/>
      </c>
      <c r="C460" s="29" t="str">
        <f t="shared" ca="1" si="20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18"/>
        <v>0</v>
      </c>
    </row>
    <row r="461" spans="2:12" x14ac:dyDescent="0.3">
      <c r="B461" s="28" t="str">
        <f t="shared" ca="1" si="19"/>
        <v/>
      </c>
      <c r="C461" s="29" t="str">
        <f t="shared" ca="1" si="20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18"/>
        <v>0</v>
      </c>
    </row>
    <row r="462" spans="2:12" x14ac:dyDescent="0.3">
      <c r="B462" s="28" t="str">
        <f t="shared" ca="1" si="19"/>
        <v/>
      </c>
      <c r="C462" s="29" t="str">
        <f t="shared" ca="1" si="20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18"/>
        <v>0</v>
      </c>
    </row>
    <row r="463" spans="2:12" x14ac:dyDescent="0.3">
      <c r="B463" s="28" t="str">
        <f t="shared" ca="1" si="19"/>
        <v/>
      </c>
      <c r="C463" s="29" t="str">
        <f t="shared" ca="1" si="20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18"/>
        <v>0</v>
      </c>
    </row>
    <row r="464" spans="2:12" x14ac:dyDescent="0.3">
      <c r="B464" s="28" t="str">
        <f t="shared" ca="1" si="19"/>
        <v/>
      </c>
      <c r="C464" s="29" t="str">
        <f t="shared" ca="1" si="20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18"/>
        <v>0</v>
      </c>
    </row>
    <row r="465" spans="2:12" x14ac:dyDescent="0.3">
      <c r="B465" s="28" t="str">
        <f t="shared" ca="1" si="19"/>
        <v/>
      </c>
      <c r="C465" s="29" t="str">
        <f t="shared" ca="1" si="20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18"/>
        <v>0</v>
      </c>
    </row>
    <row r="466" spans="2:12" x14ac:dyDescent="0.3">
      <c r="B466" s="28" t="str">
        <f t="shared" ca="1" si="19"/>
        <v/>
      </c>
      <c r="C466" s="29" t="str">
        <f t="shared" ca="1" si="20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18"/>
        <v>0</v>
      </c>
    </row>
    <row r="467" spans="2:12" x14ac:dyDescent="0.3">
      <c r="B467" s="28" t="str">
        <f t="shared" ca="1" si="19"/>
        <v/>
      </c>
      <c r="C467" s="29" t="str">
        <f t="shared" ca="1" si="20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18"/>
        <v>0</v>
      </c>
    </row>
    <row r="468" spans="2:12" x14ac:dyDescent="0.3">
      <c r="B468" s="28" t="str">
        <f t="shared" ca="1" si="19"/>
        <v/>
      </c>
      <c r="C468" s="29" t="str">
        <f t="shared" ca="1" si="20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18"/>
        <v>0</v>
      </c>
    </row>
    <row r="469" spans="2:12" x14ac:dyDescent="0.3">
      <c r="B469" s="28" t="str">
        <f t="shared" ca="1" si="19"/>
        <v/>
      </c>
      <c r="C469" s="29" t="str">
        <f t="shared" ca="1" si="20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18"/>
        <v>0</v>
      </c>
    </row>
    <row r="470" spans="2:12" x14ac:dyDescent="0.3">
      <c r="B470" s="28" t="str">
        <f t="shared" ca="1" si="19"/>
        <v/>
      </c>
      <c r="C470" s="29" t="str">
        <f t="shared" ca="1" si="20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ref="L470:L533" si="21">J470-I470-K470</f>
        <v>0</v>
      </c>
    </row>
    <row r="471" spans="2:12" x14ac:dyDescent="0.3">
      <c r="B471" s="28" t="str">
        <f t="shared" ref="B471:B534" ca="1" si="22">IF(D471&lt;&gt;"",DATE(Jahr,_xlfn.SHEET()-2,D471),"")</f>
        <v/>
      </c>
      <c r="C471" s="29" t="str">
        <f t="shared" ref="C471:C534" ca="1" si="23">B471</f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1"/>
        <v>0</v>
      </c>
    </row>
    <row r="507" spans="2:12" x14ac:dyDescent="0.3">
      <c r="B507" s="28" t="str">
        <f t="shared" ca="1" si="22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1"/>
        <v>0</v>
      </c>
    </row>
    <row r="508" spans="2:12" x14ac:dyDescent="0.3">
      <c r="B508" s="28" t="str">
        <f t="shared" ca="1" si="22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1"/>
        <v>0</v>
      </c>
    </row>
    <row r="509" spans="2:12" x14ac:dyDescent="0.3">
      <c r="B509" s="28" t="str">
        <f t="shared" ca="1" si="22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1"/>
        <v>0</v>
      </c>
    </row>
    <row r="510" spans="2:12" x14ac:dyDescent="0.3">
      <c r="B510" s="28" t="str">
        <f t="shared" ca="1" si="22"/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1"/>
        <v>0</v>
      </c>
    </row>
    <row r="511" spans="2:12" x14ac:dyDescent="0.3">
      <c r="B511" s="28" t="str">
        <f t="shared" ca="1" si="22"/>
        <v/>
      </c>
      <c r="C511" s="29" t="str">
        <f t="shared" ca="1" si="23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1"/>
        <v>0</v>
      </c>
    </row>
    <row r="512" spans="2:12" x14ac:dyDescent="0.3">
      <c r="B512" s="28" t="str">
        <f t="shared" ca="1" si="22"/>
        <v/>
      </c>
      <c r="C512" s="29" t="str">
        <f t="shared" ca="1" si="23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1"/>
        <v>0</v>
      </c>
    </row>
    <row r="513" spans="2:12" x14ac:dyDescent="0.3">
      <c r="B513" s="28" t="str">
        <f t="shared" ca="1" si="22"/>
        <v/>
      </c>
      <c r="C513" s="29" t="str">
        <f t="shared" ca="1" si="23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1"/>
        <v>0</v>
      </c>
    </row>
    <row r="514" spans="2:12" x14ac:dyDescent="0.3">
      <c r="B514" s="28" t="str">
        <f t="shared" ca="1" si="22"/>
        <v/>
      </c>
      <c r="C514" s="29" t="str">
        <f t="shared" ca="1" si="23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1"/>
        <v>0</v>
      </c>
    </row>
    <row r="515" spans="2:12" x14ac:dyDescent="0.3">
      <c r="B515" s="28" t="str">
        <f t="shared" ca="1" si="22"/>
        <v/>
      </c>
      <c r="C515" s="29" t="str">
        <f t="shared" ca="1" si="23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1"/>
        <v>0</v>
      </c>
    </row>
    <row r="516" spans="2:12" x14ac:dyDescent="0.3">
      <c r="B516" s="28" t="str">
        <f t="shared" ca="1" si="22"/>
        <v/>
      </c>
      <c r="C516" s="29" t="str">
        <f t="shared" ca="1" si="23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1"/>
        <v>0</v>
      </c>
    </row>
    <row r="517" spans="2:12" x14ac:dyDescent="0.3">
      <c r="B517" s="28" t="str">
        <f t="shared" ca="1" si="22"/>
        <v/>
      </c>
      <c r="C517" s="29" t="str">
        <f t="shared" ca="1" si="23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1"/>
        <v>0</v>
      </c>
    </row>
    <row r="518" spans="2:12" x14ac:dyDescent="0.3">
      <c r="B518" s="28" t="str">
        <f t="shared" ca="1" si="22"/>
        <v/>
      </c>
      <c r="C518" s="29" t="str">
        <f t="shared" ca="1" si="23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1"/>
        <v>0</v>
      </c>
    </row>
    <row r="519" spans="2:12" x14ac:dyDescent="0.3">
      <c r="B519" s="28" t="str">
        <f t="shared" ca="1" si="22"/>
        <v/>
      </c>
      <c r="C519" s="29" t="str">
        <f t="shared" ca="1" si="23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1"/>
        <v>0</v>
      </c>
    </row>
    <row r="520" spans="2:12" x14ac:dyDescent="0.3">
      <c r="B520" s="28" t="str">
        <f t="shared" ca="1" si="22"/>
        <v/>
      </c>
      <c r="C520" s="29" t="str">
        <f t="shared" ca="1" si="23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1"/>
        <v>0</v>
      </c>
    </row>
    <row r="521" spans="2:12" x14ac:dyDescent="0.3">
      <c r="B521" s="28" t="str">
        <f t="shared" ca="1" si="22"/>
        <v/>
      </c>
      <c r="C521" s="29" t="str">
        <f t="shared" ca="1" si="23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1"/>
        <v>0</v>
      </c>
    </row>
    <row r="522" spans="2:12" x14ac:dyDescent="0.3">
      <c r="B522" s="28" t="str">
        <f t="shared" ca="1" si="22"/>
        <v/>
      </c>
      <c r="C522" s="29" t="str">
        <f t="shared" ca="1" si="23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1"/>
        <v>0</v>
      </c>
    </row>
    <row r="523" spans="2:12" x14ac:dyDescent="0.3">
      <c r="B523" s="28" t="str">
        <f t="shared" ca="1" si="22"/>
        <v/>
      </c>
      <c r="C523" s="29" t="str">
        <f t="shared" ca="1" si="23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1"/>
        <v>0</v>
      </c>
    </row>
    <row r="524" spans="2:12" x14ac:dyDescent="0.3">
      <c r="B524" s="28" t="str">
        <f t="shared" ca="1" si="22"/>
        <v/>
      </c>
      <c r="C524" s="29" t="str">
        <f t="shared" ca="1" si="23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1"/>
        <v>0</v>
      </c>
    </row>
    <row r="525" spans="2:12" x14ac:dyDescent="0.3">
      <c r="B525" s="28" t="str">
        <f t="shared" ca="1" si="22"/>
        <v/>
      </c>
      <c r="C525" s="29" t="str">
        <f t="shared" ca="1" si="23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1"/>
        <v>0</v>
      </c>
    </row>
    <row r="526" spans="2:12" x14ac:dyDescent="0.3">
      <c r="B526" s="28" t="str">
        <f t="shared" ca="1" si="22"/>
        <v/>
      </c>
      <c r="C526" s="29" t="str">
        <f t="shared" ca="1" si="23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1"/>
        <v>0</v>
      </c>
    </row>
    <row r="527" spans="2:12" x14ac:dyDescent="0.3">
      <c r="B527" s="28" t="str">
        <f t="shared" ca="1" si="22"/>
        <v/>
      </c>
      <c r="C527" s="29" t="str">
        <f t="shared" ca="1" si="23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1"/>
        <v>0</v>
      </c>
    </row>
    <row r="528" spans="2:12" x14ac:dyDescent="0.3">
      <c r="B528" s="28" t="str">
        <f t="shared" ca="1" si="22"/>
        <v/>
      </c>
      <c r="C528" s="29" t="str">
        <f t="shared" ca="1" si="23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1"/>
        <v>0</v>
      </c>
    </row>
    <row r="529" spans="2:12" x14ac:dyDescent="0.3">
      <c r="B529" s="28" t="str">
        <f t="shared" ca="1" si="22"/>
        <v/>
      </c>
      <c r="C529" s="29" t="str">
        <f t="shared" ca="1" si="23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1"/>
        <v>0</v>
      </c>
    </row>
    <row r="530" spans="2:12" x14ac:dyDescent="0.3">
      <c r="B530" s="28" t="str">
        <f t="shared" ca="1" si="22"/>
        <v/>
      </c>
      <c r="C530" s="29" t="str">
        <f t="shared" ca="1" si="23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1"/>
        <v>0</v>
      </c>
    </row>
    <row r="531" spans="2:12" x14ac:dyDescent="0.3">
      <c r="B531" s="28" t="str">
        <f t="shared" ca="1" si="22"/>
        <v/>
      </c>
      <c r="C531" s="29" t="str">
        <f t="shared" ca="1" si="23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1"/>
        <v>0</v>
      </c>
    </row>
    <row r="532" spans="2:12" x14ac:dyDescent="0.3">
      <c r="B532" s="28" t="str">
        <f t="shared" ca="1" si="22"/>
        <v/>
      </c>
      <c r="C532" s="29" t="str">
        <f t="shared" ca="1" si="23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1"/>
        <v>0</v>
      </c>
    </row>
    <row r="533" spans="2:12" x14ac:dyDescent="0.3">
      <c r="B533" s="28" t="str">
        <f t="shared" ca="1" si="22"/>
        <v/>
      </c>
      <c r="C533" s="29" t="str">
        <f t="shared" ca="1" si="23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1"/>
        <v>0</v>
      </c>
    </row>
    <row r="534" spans="2:12" x14ac:dyDescent="0.3">
      <c r="B534" s="28" t="str">
        <f t="shared" ca="1" si="22"/>
        <v/>
      </c>
      <c r="C534" s="29" t="str">
        <f t="shared" ca="1" si="23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ref="L534:L597" si="24">J534-I534-K534</f>
        <v>0</v>
      </c>
    </row>
    <row r="535" spans="2:12" x14ac:dyDescent="0.3">
      <c r="B535" s="28" t="str">
        <f t="shared" ref="B535:B598" ca="1" si="25">IF(D535&lt;&gt;"",DATE(Jahr,_xlfn.SHEET()-2,D535),"")</f>
        <v/>
      </c>
      <c r="C535" s="29" t="str">
        <f t="shared" ref="C535:C598" ca="1" si="26">B535</f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4"/>
        <v>0</v>
      </c>
    </row>
    <row r="571" spans="2:12" x14ac:dyDescent="0.3">
      <c r="B571" s="28" t="str">
        <f t="shared" ca="1" si="25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4"/>
        <v>0</v>
      </c>
    </row>
    <row r="572" spans="2:12" x14ac:dyDescent="0.3">
      <c r="B572" s="28" t="str">
        <f t="shared" ca="1" si="25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4"/>
        <v>0</v>
      </c>
    </row>
    <row r="573" spans="2:12" x14ac:dyDescent="0.3">
      <c r="B573" s="28" t="str">
        <f t="shared" ca="1" si="25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4"/>
        <v>0</v>
      </c>
    </row>
    <row r="574" spans="2:12" x14ac:dyDescent="0.3">
      <c r="B574" s="28" t="str">
        <f t="shared" ca="1" si="25"/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4"/>
        <v>0</v>
      </c>
    </row>
    <row r="575" spans="2:12" x14ac:dyDescent="0.3">
      <c r="B575" s="28" t="str">
        <f t="shared" ca="1" si="25"/>
        <v/>
      </c>
      <c r="C575" s="29" t="str">
        <f t="shared" ca="1" si="26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4"/>
        <v>0</v>
      </c>
    </row>
    <row r="576" spans="2:12" x14ac:dyDescent="0.3">
      <c r="B576" s="28" t="str">
        <f t="shared" ca="1" si="25"/>
        <v/>
      </c>
      <c r="C576" s="29" t="str">
        <f t="shared" ca="1" si="26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4"/>
        <v>0</v>
      </c>
    </row>
    <row r="577" spans="2:12" x14ac:dyDescent="0.3">
      <c r="B577" s="28" t="str">
        <f t="shared" ca="1" si="25"/>
        <v/>
      </c>
      <c r="C577" s="29" t="str">
        <f t="shared" ca="1" si="26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4"/>
        <v>0</v>
      </c>
    </row>
    <row r="578" spans="2:12" x14ac:dyDescent="0.3">
      <c r="B578" s="28" t="str">
        <f t="shared" ca="1" si="25"/>
        <v/>
      </c>
      <c r="C578" s="29" t="str">
        <f t="shared" ca="1" si="26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4"/>
        <v>0</v>
      </c>
    </row>
    <row r="579" spans="2:12" x14ac:dyDescent="0.3">
      <c r="B579" s="28" t="str">
        <f t="shared" ca="1" si="25"/>
        <v/>
      </c>
      <c r="C579" s="29" t="str">
        <f t="shared" ca="1" si="26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4"/>
        <v>0</v>
      </c>
    </row>
    <row r="580" spans="2:12" x14ac:dyDescent="0.3">
      <c r="B580" s="28" t="str">
        <f t="shared" ca="1" si="25"/>
        <v/>
      </c>
      <c r="C580" s="29" t="str">
        <f t="shared" ca="1" si="26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4"/>
        <v>0</v>
      </c>
    </row>
    <row r="581" spans="2:12" x14ac:dyDescent="0.3">
      <c r="B581" s="28" t="str">
        <f t="shared" ca="1" si="25"/>
        <v/>
      </c>
      <c r="C581" s="29" t="str">
        <f t="shared" ca="1" si="26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4"/>
        <v>0</v>
      </c>
    </row>
    <row r="582" spans="2:12" x14ac:dyDescent="0.3">
      <c r="B582" s="28" t="str">
        <f t="shared" ca="1" si="25"/>
        <v/>
      </c>
      <c r="C582" s="29" t="str">
        <f t="shared" ca="1" si="26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4"/>
        <v>0</v>
      </c>
    </row>
    <row r="583" spans="2:12" x14ac:dyDescent="0.3">
      <c r="B583" s="28" t="str">
        <f t="shared" ca="1" si="25"/>
        <v/>
      </c>
      <c r="C583" s="29" t="str">
        <f t="shared" ca="1" si="26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4"/>
        <v>0</v>
      </c>
    </row>
    <row r="584" spans="2:12" x14ac:dyDescent="0.3">
      <c r="B584" s="28" t="str">
        <f t="shared" ca="1" si="25"/>
        <v/>
      </c>
      <c r="C584" s="29" t="str">
        <f t="shared" ca="1" si="26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4"/>
        <v>0</v>
      </c>
    </row>
    <row r="585" spans="2:12" x14ac:dyDescent="0.3">
      <c r="B585" s="28" t="str">
        <f t="shared" ca="1" si="25"/>
        <v/>
      </c>
      <c r="C585" s="29" t="str">
        <f t="shared" ca="1" si="26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4"/>
        <v>0</v>
      </c>
    </row>
    <row r="586" spans="2:12" x14ac:dyDescent="0.3">
      <c r="B586" s="28" t="str">
        <f t="shared" ca="1" si="25"/>
        <v/>
      </c>
      <c r="C586" s="29" t="str">
        <f t="shared" ca="1" si="26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4"/>
        <v>0</v>
      </c>
    </row>
    <row r="587" spans="2:12" x14ac:dyDescent="0.3">
      <c r="B587" s="28" t="str">
        <f t="shared" ca="1" si="25"/>
        <v/>
      </c>
      <c r="C587" s="29" t="str">
        <f t="shared" ca="1" si="26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4"/>
        <v>0</v>
      </c>
    </row>
    <row r="588" spans="2:12" x14ac:dyDescent="0.3">
      <c r="B588" s="28" t="str">
        <f t="shared" ca="1" si="25"/>
        <v/>
      </c>
      <c r="C588" s="29" t="str">
        <f t="shared" ca="1" si="26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4"/>
        <v>0</v>
      </c>
    </row>
    <row r="589" spans="2:12" x14ac:dyDescent="0.3">
      <c r="B589" s="28" t="str">
        <f t="shared" ca="1" si="25"/>
        <v/>
      </c>
      <c r="C589" s="29" t="str">
        <f t="shared" ca="1" si="26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4"/>
        <v>0</v>
      </c>
    </row>
    <row r="590" spans="2:12" x14ac:dyDescent="0.3">
      <c r="B590" s="28" t="str">
        <f t="shared" ca="1" si="25"/>
        <v/>
      </c>
      <c r="C590" s="29" t="str">
        <f t="shared" ca="1" si="26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4"/>
        <v>0</v>
      </c>
    </row>
    <row r="591" spans="2:12" x14ac:dyDescent="0.3">
      <c r="B591" s="28" t="str">
        <f t="shared" ca="1" si="25"/>
        <v/>
      </c>
      <c r="C591" s="29" t="str">
        <f t="shared" ca="1" si="26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4"/>
        <v>0</v>
      </c>
    </row>
    <row r="592" spans="2:12" x14ac:dyDescent="0.3">
      <c r="B592" s="28" t="str">
        <f t="shared" ca="1" si="25"/>
        <v/>
      </c>
      <c r="C592" s="29" t="str">
        <f t="shared" ca="1" si="26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4"/>
        <v>0</v>
      </c>
    </row>
    <row r="593" spans="2:12" x14ac:dyDescent="0.3">
      <c r="B593" s="28" t="str">
        <f t="shared" ca="1" si="25"/>
        <v/>
      </c>
      <c r="C593" s="29" t="str">
        <f t="shared" ca="1" si="26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4"/>
        <v>0</v>
      </c>
    </row>
    <row r="594" spans="2:12" x14ac:dyDescent="0.3">
      <c r="B594" s="28" t="str">
        <f t="shared" ca="1" si="25"/>
        <v/>
      </c>
      <c r="C594" s="29" t="str">
        <f t="shared" ca="1" si="26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4"/>
        <v>0</v>
      </c>
    </row>
    <row r="595" spans="2:12" x14ac:dyDescent="0.3">
      <c r="B595" s="28" t="str">
        <f t="shared" ca="1" si="25"/>
        <v/>
      </c>
      <c r="C595" s="29" t="str">
        <f t="shared" ca="1" si="26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4"/>
        <v>0</v>
      </c>
    </row>
    <row r="596" spans="2:12" x14ac:dyDescent="0.3">
      <c r="B596" s="28" t="str">
        <f t="shared" ca="1" si="25"/>
        <v/>
      </c>
      <c r="C596" s="29" t="str">
        <f t="shared" ca="1" si="26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4"/>
        <v>0</v>
      </c>
    </row>
    <row r="597" spans="2:12" x14ac:dyDescent="0.3">
      <c r="B597" s="28" t="str">
        <f t="shared" ca="1" si="25"/>
        <v/>
      </c>
      <c r="C597" s="29" t="str">
        <f t="shared" ca="1" si="26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4"/>
        <v>0</v>
      </c>
    </row>
    <row r="598" spans="2:12" x14ac:dyDescent="0.3">
      <c r="B598" s="28" t="str">
        <f t="shared" ca="1" si="25"/>
        <v/>
      </c>
      <c r="C598" s="29" t="str">
        <f t="shared" ca="1" si="26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ref="L598:L661" si="27">J598-I598-K598</f>
        <v>0</v>
      </c>
    </row>
    <row r="599" spans="2:12" x14ac:dyDescent="0.3">
      <c r="B599" s="28" t="str">
        <f t="shared" ref="B599:B662" ca="1" si="28">IF(D599&lt;&gt;"",DATE(Jahr,_xlfn.SHEET()-2,D599),"")</f>
        <v/>
      </c>
      <c r="C599" s="29" t="str">
        <f t="shared" ref="C599:C662" ca="1" si="29">B599</f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7"/>
        <v>0</v>
      </c>
    </row>
    <row r="635" spans="2:12" x14ac:dyDescent="0.3">
      <c r="B635" s="28" t="str">
        <f t="shared" ca="1" si="28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7"/>
        <v>0</v>
      </c>
    </row>
    <row r="636" spans="2:12" x14ac:dyDescent="0.3">
      <c r="B636" s="28" t="str">
        <f t="shared" ca="1" si="28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7"/>
        <v>0</v>
      </c>
    </row>
    <row r="637" spans="2:12" x14ac:dyDescent="0.3">
      <c r="B637" s="28" t="str">
        <f t="shared" ca="1" si="28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7"/>
        <v>0</v>
      </c>
    </row>
    <row r="638" spans="2:12" x14ac:dyDescent="0.3">
      <c r="B638" s="28" t="str">
        <f t="shared" ca="1" si="28"/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27"/>
        <v>0</v>
      </c>
    </row>
    <row r="639" spans="2:12" x14ac:dyDescent="0.3">
      <c r="B639" s="28" t="str">
        <f t="shared" ca="1" si="28"/>
        <v/>
      </c>
      <c r="C639" s="29" t="str">
        <f t="shared" ca="1" si="29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27"/>
        <v>0</v>
      </c>
    </row>
    <row r="640" spans="2:12" x14ac:dyDescent="0.3">
      <c r="B640" s="28" t="str">
        <f t="shared" ca="1" si="28"/>
        <v/>
      </c>
      <c r="C640" s="29" t="str">
        <f t="shared" ca="1" si="29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27"/>
        <v>0</v>
      </c>
    </row>
    <row r="641" spans="2:12" x14ac:dyDescent="0.3">
      <c r="B641" s="28" t="str">
        <f t="shared" ca="1" si="28"/>
        <v/>
      </c>
      <c r="C641" s="29" t="str">
        <f t="shared" ca="1" si="29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27"/>
        <v>0</v>
      </c>
    </row>
    <row r="642" spans="2:12" x14ac:dyDescent="0.3">
      <c r="B642" s="28" t="str">
        <f t="shared" ca="1" si="28"/>
        <v/>
      </c>
      <c r="C642" s="29" t="str">
        <f t="shared" ca="1" si="29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27"/>
        <v>0</v>
      </c>
    </row>
    <row r="643" spans="2:12" x14ac:dyDescent="0.3">
      <c r="B643" s="28" t="str">
        <f t="shared" ca="1" si="28"/>
        <v/>
      </c>
      <c r="C643" s="29" t="str">
        <f t="shared" ca="1" si="29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27"/>
        <v>0</v>
      </c>
    </row>
    <row r="644" spans="2:12" x14ac:dyDescent="0.3">
      <c r="B644" s="28" t="str">
        <f t="shared" ca="1" si="28"/>
        <v/>
      </c>
      <c r="C644" s="29" t="str">
        <f t="shared" ca="1" si="29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27"/>
        <v>0</v>
      </c>
    </row>
    <row r="645" spans="2:12" x14ac:dyDescent="0.3">
      <c r="B645" s="28" t="str">
        <f t="shared" ca="1" si="28"/>
        <v/>
      </c>
      <c r="C645" s="29" t="str">
        <f t="shared" ca="1" si="29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27"/>
        <v>0</v>
      </c>
    </row>
    <row r="646" spans="2:12" x14ac:dyDescent="0.3">
      <c r="B646" s="28" t="str">
        <f t="shared" ca="1" si="28"/>
        <v/>
      </c>
      <c r="C646" s="29" t="str">
        <f t="shared" ca="1" si="29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27"/>
        <v>0</v>
      </c>
    </row>
    <row r="647" spans="2:12" x14ac:dyDescent="0.3">
      <c r="B647" s="28" t="str">
        <f t="shared" ca="1" si="28"/>
        <v/>
      </c>
      <c r="C647" s="29" t="str">
        <f t="shared" ca="1" si="29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27"/>
        <v>0</v>
      </c>
    </row>
    <row r="648" spans="2:12" x14ac:dyDescent="0.3">
      <c r="B648" s="28" t="str">
        <f t="shared" ca="1" si="28"/>
        <v/>
      </c>
      <c r="C648" s="29" t="str">
        <f t="shared" ca="1" si="29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27"/>
        <v>0</v>
      </c>
    </row>
    <row r="649" spans="2:12" x14ac:dyDescent="0.3">
      <c r="B649" s="28" t="str">
        <f t="shared" ca="1" si="28"/>
        <v/>
      </c>
      <c r="C649" s="29" t="str">
        <f t="shared" ca="1" si="29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27"/>
        <v>0</v>
      </c>
    </row>
    <row r="650" spans="2:12" x14ac:dyDescent="0.3">
      <c r="B650" s="28" t="str">
        <f t="shared" ca="1" si="28"/>
        <v/>
      </c>
      <c r="C650" s="29" t="str">
        <f t="shared" ca="1" si="29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27"/>
        <v>0</v>
      </c>
    </row>
    <row r="651" spans="2:12" x14ac:dyDescent="0.3">
      <c r="B651" s="28" t="str">
        <f t="shared" ca="1" si="28"/>
        <v/>
      </c>
      <c r="C651" s="29" t="str">
        <f t="shared" ca="1" si="29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27"/>
        <v>0</v>
      </c>
    </row>
    <row r="652" spans="2:12" x14ac:dyDescent="0.3">
      <c r="B652" s="28" t="str">
        <f t="shared" ca="1" si="28"/>
        <v/>
      </c>
      <c r="C652" s="29" t="str">
        <f t="shared" ca="1" si="29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27"/>
        <v>0</v>
      </c>
    </row>
    <row r="653" spans="2:12" x14ac:dyDescent="0.3">
      <c r="B653" s="28" t="str">
        <f t="shared" ca="1" si="28"/>
        <v/>
      </c>
      <c r="C653" s="29" t="str">
        <f t="shared" ca="1" si="29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27"/>
        <v>0</v>
      </c>
    </row>
    <row r="654" spans="2:12" x14ac:dyDescent="0.3">
      <c r="B654" s="28" t="str">
        <f t="shared" ca="1" si="28"/>
        <v/>
      </c>
      <c r="C654" s="29" t="str">
        <f t="shared" ca="1" si="29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27"/>
        <v>0</v>
      </c>
    </row>
    <row r="655" spans="2:12" x14ac:dyDescent="0.3">
      <c r="B655" s="28" t="str">
        <f t="shared" ca="1" si="28"/>
        <v/>
      </c>
      <c r="C655" s="29" t="str">
        <f t="shared" ca="1" si="29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27"/>
        <v>0</v>
      </c>
    </row>
    <row r="656" spans="2:12" x14ac:dyDescent="0.3">
      <c r="B656" s="28" t="str">
        <f t="shared" ca="1" si="28"/>
        <v/>
      </c>
      <c r="C656" s="29" t="str">
        <f t="shared" ca="1" si="29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27"/>
        <v>0</v>
      </c>
    </row>
    <row r="657" spans="2:12" x14ac:dyDescent="0.3">
      <c r="B657" s="28" t="str">
        <f t="shared" ca="1" si="28"/>
        <v/>
      </c>
      <c r="C657" s="29" t="str">
        <f t="shared" ca="1" si="29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27"/>
        <v>0</v>
      </c>
    </row>
    <row r="658" spans="2:12" x14ac:dyDescent="0.3">
      <c r="B658" s="28" t="str">
        <f t="shared" ca="1" si="28"/>
        <v/>
      </c>
      <c r="C658" s="29" t="str">
        <f t="shared" ca="1" si="29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27"/>
        <v>0</v>
      </c>
    </row>
    <row r="659" spans="2:12" x14ac:dyDescent="0.3">
      <c r="B659" s="28" t="str">
        <f t="shared" ca="1" si="28"/>
        <v/>
      </c>
      <c r="C659" s="29" t="str">
        <f t="shared" ca="1" si="29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27"/>
        <v>0</v>
      </c>
    </row>
    <row r="660" spans="2:12" x14ac:dyDescent="0.3">
      <c r="B660" s="28" t="str">
        <f t="shared" ca="1" si="28"/>
        <v/>
      </c>
      <c r="C660" s="29" t="str">
        <f t="shared" ca="1" si="29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27"/>
        <v>0</v>
      </c>
    </row>
    <row r="661" spans="2:12" x14ac:dyDescent="0.3">
      <c r="B661" s="28" t="str">
        <f t="shared" ca="1" si="28"/>
        <v/>
      </c>
      <c r="C661" s="29" t="str">
        <f t="shared" ca="1" si="29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27"/>
        <v>0</v>
      </c>
    </row>
    <row r="662" spans="2:12" x14ac:dyDescent="0.3">
      <c r="B662" s="28" t="str">
        <f t="shared" ca="1" si="28"/>
        <v/>
      </c>
      <c r="C662" s="29" t="str">
        <f t="shared" ca="1" si="29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ref="L662:L725" si="30">J662-I662-K662</f>
        <v>0</v>
      </c>
    </row>
    <row r="663" spans="2:12" x14ac:dyDescent="0.3">
      <c r="B663" s="28" t="str">
        <f t="shared" ref="B663:B726" ca="1" si="31">IF(D663&lt;&gt;"",DATE(Jahr,_xlfn.SHEET()-2,D663),"")</f>
        <v/>
      </c>
      <c r="C663" s="29" t="str">
        <f t="shared" ref="C663:C726" ca="1" si="32">B663</f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0"/>
        <v>0</v>
      </c>
    </row>
    <row r="699" spans="2:12" x14ac:dyDescent="0.3">
      <c r="B699" s="28" t="str">
        <f t="shared" ca="1" si="31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0"/>
        <v>0</v>
      </c>
    </row>
    <row r="700" spans="2:12" x14ac:dyDescent="0.3">
      <c r="B700" s="28" t="str">
        <f t="shared" ca="1" si="31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0"/>
        <v>0</v>
      </c>
    </row>
    <row r="701" spans="2:12" x14ac:dyDescent="0.3">
      <c r="B701" s="28" t="str">
        <f t="shared" ca="1" si="31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0"/>
        <v>0</v>
      </c>
    </row>
    <row r="702" spans="2:12" x14ac:dyDescent="0.3">
      <c r="B702" s="28" t="str">
        <f t="shared" ca="1" si="31"/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0"/>
        <v>0</v>
      </c>
    </row>
    <row r="703" spans="2:12" x14ac:dyDescent="0.3">
      <c r="B703" s="28" t="str">
        <f t="shared" ca="1" si="31"/>
        <v/>
      </c>
      <c r="C703" s="29" t="str">
        <f t="shared" ca="1" si="32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0"/>
        <v>0</v>
      </c>
    </row>
    <row r="704" spans="2:12" x14ac:dyDescent="0.3">
      <c r="B704" s="28" t="str">
        <f t="shared" ca="1" si="31"/>
        <v/>
      </c>
      <c r="C704" s="29" t="str">
        <f t="shared" ca="1" si="32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0"/>
        <v>0</v>
      </c>
    </row>
    <row r="705" spans="2:12" x14ac:dyDescent="0.3">
      <c r="B705" s="28" t="str">
        <f t="shared" ca="1" si="31"/>
        <v/>
      </c>
      <c r="C705" s="29" t="str">
        <f t="shared" ca="1" si="32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0"/>
        <v>0</v>
      </c>
    </row>
    <row r="706" spans="2:12" x14ac:dyDescent="0.3">
      <c r="B706" s="28" t="str">
        <f t="shared" ca="1" si="31"/>
        <v/>
      </c>
      <c r="C706" s="29" t="str">
        <f t="shared" ca="1" si="32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0"/>
        <v>0</v>
      </c>
    </row>
    <row r="707" spans="2:12" x14ac:dyDescent="0.3">
      <c r="B707" s="28" t="str">
        <f t="shared" ca="1" si="31"/>
        <v/>
      </c>
      <c r="C707" s="29" t="str">
        <f t="shared" ca="1" si="32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0"/>
        <v>0</v>
      </c>
    </row>
    <row r="708" spans="2:12" x14ac:dyDescent="0.3">
      <c r="B708" s="28" t="str">
        <f t="shared" ca="1" si="31"/>
        <v/>
      </c>
      <c r="C708" s="29" t="str">
        <f t="shared" ca="1" si="32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0"/>
        <v>0</v>
      </c>
    </row>
    <row r="709" spans="2:12" x14ac:dyDescent="0.3">
      <c r="B709" s="28" t="str">
        <f t="shared" ca="1" si="31"/>
        <v/>
      </c>
      <c r="C709" s="29" t="str">
        <f t="shared" ca="1" si="32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0"/>
        <v>0</v>
      </c>
    </row>
    <row r="710" spans="2:12" x14ac:dyDescent="0.3">
      <c r="B710" s="28" t="str">
        <f t="shared" ca="1" si="31"/>
        <v/>
      </c>
      <c r="C710" s="29" t="str">
        <f t="shared" ca="1" si="32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0"/>
        <v>0</v>
      </c>
    </row>
    <row r="711" spans="2:12" x14ac:dyDescent="0.3">
      <c r="B711" s="28" t="str">
        <f t="shared" ca="1" si="31"/>
        <v/>
      </c>
      <c r="C711" s="29" t="str">
        <f t="shared" ca="1" si="32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0"/>
        <v>0</v>
      </c>
    </row>
    <row r="712" spans="2:12" x14ac:dyDescent="0.3">
      <c r="B712" s="28" t="str">
        <f t="shared" ca="1" si="31"/>
        <v/>
      </c>
      <c r="C712" s="29" t="str">
        <f t="shared" ca="1" si="32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0"/>
        <v>0</v>
      </c>
    </row>
    <row r="713" spans="2:12" x14ac:dyDescent="0.3">
      <c r="B713" s="28" t="str">
        <f t="shared" ca="1" si="31"/>
        <v/>
      </c>
      <c r="C713" s="29" t="str">
        <f t="shared" ca="1" si="32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0"/>
        <v>0</v>
      </c>
    </row>
    <row r="714" spans="2:12" x14ac:dyDescent="0.3">
      <c r="B714" s="28" t="str">
        <f t="shared" ca="1" si="31"/>
        <v/>
      </c>
      <c r="C714" s="29" t="str">
        <f t="shared" ca="1" si="32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0"/>
        <v>0</v>
      </c>
    </row>
    <row r="715" spans="2:12" x14ac:dyDescent="0.3">
      <c r="B715" s="28" t="str">
        <f t="shared" ca="1" si="31"/>
        <v/>
      </c>
      <c r="C715" s="29" t="str">
        <f t="shared" ca="1" si="32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0"/>
        <v>0</v>
      </c>
    </row>
    <row r="716" spans="2:12" x14ac:dyDescent="0.3">
      <c r="B716" s="28" t="str">
        <f t="shared" ca="1" si="31"/>
        <v/>
      </c>
      <c r="C716" s="29" t="str">
        <f t="shared" ca="1" si="32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0"/>
        <v>0</v>
      </c>
    </row>
    <row r="717" spans="2:12" x14ac:dyDescent="0.3">
      <c r="B717" s="28" t="str">
        <f t="shared" ca="1" si="31"/>
        <v/>
      </c>
      <c r="C717" s="29" t="str">
        <f t="shared" ca="1" si="32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0"/>
        <v>0</v>
      </c>
    </row>
    <row r="718" spans="2:12" x14ac:dyDescent="0.3">
      <c r="B718" s="28" t="str">
        <f t="shared" ca="1" si="31"/>
        <v/>
      </c>
      <c r="C718" s="29" t="str">
        <f t="shared" ca="1" si="32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0"/>
        <v>0</v>
      </c>
    </row>
    <row r="719" spans="2:12" x14ac:dyDescent="0.3">
      <c r="B719" s="28" t="str">
        <f t="shared" ca="1" si="31"/>
        <v/>
      </c>
      <c r="C719" s="29" t="str">
        <f t="shared" ca="1" si="32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0"/>
        <v>0</v>
      </c>
    </row>
    <row r="720" spans="2:12" x14ac:dyDescent="0.3">
      <c r="B720" s="28" t="str">
        <f t="shared" ca="1" si="31"/>
        <v/>
      </c>
      <c r="C720" s="29" t="str">
        <f t="shared" ca="1" si="32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0"/>
        <v>0</v>
      </c>
    </row>
    <row r="721" spans="2:12" x14ac:dyDescent="0.3">
      <c r="B721" s="28" t="str">
        <f t="shared" ca="1" si="31"/>
        <v/>
      </c>
      <c r="C721" s="29" t="str">
        <f t="shared" ca="1" si="32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0"/>
        <v>0</v>
      </c>
    </row>
    <row r="722" spans="2:12" x14ac:dyDescent="0.3">
      <c r="B722" s="28" t="str">
        <f t="shared" ca="1" si="31"/>
        <v/>
      </c>
      <c r="C722" s="29" t="str">
        <f t="shared" ca="1" si="32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0"/>
        <v>0</v>
      </c>
    </row>
    <row r="723" spans="2:12" x14ac:dyDescent="0.3">
      <c r="B723" s="28" t="str">
        <f t="shared" ca="1" si="31"/>
        <v/>
      </c>
      <c r="C723" s="29" t="str">
        <f t="shared" ca="1" si="32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0"/>
        <v>0</v>
      </c>
    </row>
    <row r="724" spans="2:12" x14ac:dyDescent="0.3">
      <c r="B724" s="28" t="str">
        <f t="shared" ca="1" si="31"/>
        <v/>
      </c>
      <c r="C724" s="29" t="str">
        <f t="shared" ca="1" si="32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0"/>
        <v>0</v>
      </c>
    </row>
    <row r="725" spans="2:12" x14ac:dyDescent="0.3">
      <c r="B725" s="28" t="str">
        <f t="shared" ca="1" si="31"/>
        <v/>
      </c>
      <c r="C725" s="29" t="str">
        <f t="shared" ca="1" si="32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0"/>
        <v>0</v>
      </c>
    </row>
    <row r="726" spans="2:12" x14ac:dyDescent="0.3">
      <c r="B726" s="28" t="str">
        <f t="shared" ca="1" si="31"/>
        <v/>
      </c>
      <c r="C726" s="29" t="str">
        <f t="shared" ca="1" si="32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ref="L726:L789" si="33">J726-I726-K726</f>
        <v>0</v>
      </c>
    </row>
    <row r="727" spans="2:12" x14ac:dyDescent="0.3">
      <c r="B727" s="28" t="str">
        <f t="shared" ref="B727:B790" ca="1" si="34">IF(D727&lt;&gt;"",DATE(Jahr,_xlfn.SHEET()-2,D727),"")</f>
        <v/>
      </c>
      <c r="C727" s="29" t="str">
        <f t="shared" ref="C727:C790" ca="1" si="35">B727</f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3"/>
        <v>0</v>
      </c>
    </row>
    <row r="763" spans="2:12" x14ac:dyDescent="0.3">
      <c r="B763" s="28" t="str">
        <f t="shared" ca="1" si="34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3"/>
        <v>0</v>
      </c>
    </row>
    <row r="764" spans="2:12" x14ac:dyDescent="0.3">
      <c r="B764" s="28" t="str">
        <f t="shared" ca="1" si="34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3"/>
        <v>0</v>
      </c>
    </row>
    <row r="765" spans="2:12" x14ac:dyDescent="0.3">
      <c r="B765" s="28" t="str">
        <f t="shared" ca="1" si="34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3"/>
        <v>0</v>
      </c>
    </row>
    <row r="766" spans="2:12" x14ac:dyDescent="0.3">
      <c r="B766" s="28" t="str">
        <f t="shared" ca="1" si="34"/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3"/>
        <v>0</v>
      </c>
    </row>
    <row r="767" spans="2:12" x14ac:dyDescent="0.3">
      <c r="B767" s="28" t="str">
        <f t="shared" ca="1" si="34"/>
        <v/>
      </c>
      <c r="C767" s="29" t="str">
        <f t="shared" ca="1" si="35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3"/>
        <v>0</v>
      </c>
    </row>
    <row r="768" spans="2:12" x14ac:dyDescent="0.3">
      <c r="B768" s="28" t="str">
        <f t="shared" ca="1" si="34"/>
        <v/>
      </c>
      <c r="C768" s="29" t="str">
        <f t="shared" ca="1" si="35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3"/>
        <v>0</v>
      </c>
    </row>
    <row r="769" spans="2:12" x14ac:dyDescent="0.3">
      <c r="B769" s="28" t="str">
        <f t="shared" ca="1" si="34"/>
        <v/>
      </c>
      <c r="C769" s="29" t="str">
        <f t="shared" ca="1" si="35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3"/>
        <v>0</v>
      </c>
    </row>
    <row r="770" spans="2:12" x14ac:dyDescent="0.3">
      <c r="B770" s="28" t="str">
        <f t="shared" ca="1" si="34"/>
        <v/>
      </c>
      <c r="C770" s="29" t="str">
        <f t="shared" ca="1" si="35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3"/>
        <v>0</v>
      </c>
    </row>
    <row r="771" spans="2:12" x14ac:dyDescent="0.3">
      <c r="B771" s="28" t="str">
        <f t="shared" ca="1" si="34"/>
        <v/>
      </c>
      <c r="C771" s="29" t="str">
        <f t="shared" ca="1" si="35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3"/>
        <v>0</v>
      </c>
    </row>
    <row r="772" spans="2:12" x14ac:dyDescent="0.3">
      <c r="B772" s="28" t="str">
        <f t="shared" ca="1" si="34"/>
        <v/>
      </c>
      <c r="C772" s="29" t="str">
        <f t="shared" ca="1" si="35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3"/>
        <v>0</v>
      </c>
    </row>
    <row r="773" spans="2:12" x14ac:dyDescent="0.3">
      <c r="B773" s="28" t="str">
        <f t="shared" ca="1" si="34"/>
        <v/>
      </c>
      <c r="C773" s="29" t="str">
        <f t="shared" ca="1" si="35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3"/>
        <v>0</v>
      </c>
    </row>
    <row r="774" spans="2:12" x14ac:dyDescent="0.3">
      <c r="B774" s="28" t="str">
        <f t="shared" ca="1" si="34"/>
        <v/>
      </c>
      <c r="C774" s="29" t="str">
        <f t="shared" ca="1" si="35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3"/>
        <v>0</v>
      </c>
    </row>
    <row r="775" spans="2:12" x14ac:dyDescent="0.3">
      <c r="B775" s="28" t="str">
        <f t="shared" ca="1" si="34"/>
        <v/>
      </c>
      <c r="C775" s="29" t="str">
        <f t="shared" ca="1" si="35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3"/>
        <v>0</v>
      </c>
    </row>
    <row r="776" spans="2:12" x14ac:dyDescent="0.3">
      <c r="B776" s="28" t="str">
        <f t="shared" ca="1" si="34"/>
        <v/>
      </c>
      <c r="C776" s="29" t="str">
        <f t="shared" ca="1" si="35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3"/>
        <v>0</v>
      </c>
    </row>
    <row r="777" spans="2:12" x14ac:dyDescent="0.3">
      <c r="B777" s="28" t="str">
        <f t="shared" ca="1" si="34"/>
        <v/>
      </c>
      <c r="C777" s="29" t="str">
        <f t="shared" ca="1" si="35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3"/>
        <v>0</v>
      </c>
    </row>
    <row r="778" spans="2:12" x14ac:dyDescent="0.3">
      <c r="B778" s="28" t="str">
        <f t="shared" ca="1" si="34"/>
        <v/>
      </c>
      <c r="C778" s="29" t="str">
        <f t="shared" ca="1" si="35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3"/>
        <v>0</v>
      </c>
    </row>
    <row r="779" spans="2:12" x14ac:dyDescent="0.3">
      <c r="B779" s="28" t="str">
        <f t="shared" ca="1" si="34"/>
        <v/>
      </c>
      <c r="C779" s="29" t="str">
        <f t="shared" ca="1" si="35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3"/>
        <v>0</v>
      </c>
    </row>
    <row r="780" spans="2:12" x14ac:dyDescent="0.3">
      <c r="B780" s="28" t="str">
        <f t="shared" ca="1" si="34"/>
        <v/>
      </c>
      <c r="C780" s="29" t="str">
        <f t="shared" ca="1" si="35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3"/>
        <v>0</v>
      </c>
    </row>
    <row r="781" spans="2:12" x14ac:dyDescent="0.3">
      <c r="B781" s="28" t="str">
        <f t="shared" ca="1" si="34"/>
        <v/>
      </c>
      <c r="C781" s="29" t="str">
        <f t="shared" ca="1" si="35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3"/>
        <v>0</v>
      </c>
    </row>
    <row r="782" spans="2:12" x14ac:dyDescent="0.3">
      <c r="B782" s="28" t="str">
        <f t="shared" ca="1" si="34"/>
        <v/>
      </c>
      <c r="C782" s="29" t="str">
        <f t="shared" ca="1" si="35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3"/>
        <v>0</v>
      </c>
    </row>
    <row r="783" spans="2:12" x14ac:dyDescent="0.3">
      <c r="B783" s="28" t="str">
        <f t="shared" ca="1" si="34"/>
        <v/>
      </c>
      <c r="C783" s="29" t="str">
        <f t="shared" ca="1" si="35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3"/>
        <v>0</v>
      </c>
    </row>
    <row r="784" spans="2:12" x14ac:dyDescent="0.3">
      <c r="B784" s="28" t="str">
        <f t="shared" ca="1" si="34"/>
        <v/>
      </c>
      <c r="C784" s="29" t="str">
        <f t="shared" ca="1" si="35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3"/>
        <v>0</v>
      </c>
    </row>
    <row r="785" spans="2:12" x14ac:dyDescent="0.3">
      <c r="B785" s="28" t="str">
        <f t="shared" ca="1" si="34"/>
        <v/>
      </c>
      <c r="C785" s="29" t="str">
        <f t="shared" ca="1" si="35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3"/>
        <v>0</v>
      </c>
    </row>
    <row r="786" spans="2:12" x14ac:dyDescent="0.3">
      <c r="B786" s="28" t="str">
        <f t="shared" ca="1" si="34"/>
        <v/>
      </c>
      <c r="C786" s="29" t="str">
        <f t="shared" ca="1" si="35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3"/>
        <v>0</v>
      </c>
    </row>
    <row r="787" spans="2:12" x14ac:dyDescent="0.3">
      <c r="B787" s="28" t="str">
        <f t="shared" ca="1" si="34"/>
        <v/>
      </c>
      <c r="C787" s="29" t="str">
        <f t="shared" ca="1" si="35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3"/>
        <v>0</v>
      </c>
    </row>
    <row r="788" spans="2:12" x14ac:dyDescent="0.3">
      <c r="B788" s="28" t="str">
        <f t="shared" ca="1" si="34"/>
        <v/>
      </c>
      <c r="C788" s="29" t="str">
        <f t="shared" ca="1" si="35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3"/>
        <v>0</v>
      </c>
    </row>
    <row r="789" spans="2:12" x14ac:dyDescent="0.3">
      <c r="B789" s="28" t="str">
        <f t="shared" ca="1" si="34"/>
        <v/>
      </c>
      <c r="C789" s="29" t="str">
        <f t="shared" ca="1" si="35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3"/>
        <v>0</v>
      </c>
    </row>
    <row r="790" spans="2:12" x14ac:dyDescent="0.3">
      <c r="B790" s="28" t="str">
        <f t="shared" ca="1" si="34"/>
        <v/>
      </c>
      <c r="C790" s="29" t="str">
        <f t="shared" ca="1" si="35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ref="L790:L853" si="36">J790-I790-K790</f>
        <v>0</v>
      </c>
    </row>
    <row r="791" spans="2:12" x14ac:dyDescent="0.3">
      <c r="B791" s="28" t="str">
        <f t="shared" ref="B791:B854" ca="1" si="37">IF(D791&lt;&gt;"",DATE(Jahr,_xlfn.SHEET()-2,D791),"")</f>
        <v/>
      </c>
      <c r="C791" s="29" t="str">
        <f t="shared" ref="C791:C854" ca="1" si="38">B791</f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6"/>
        <v>0</v>
      </c>
    </row>
    <row r="827" spans="2:12" x14ac:dyDescent="0.3">
      <c r="B827" s="28" t="str">
        <f t="shared" ca="1" si="37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6"/>
        <v>0</v>
      </c>
    </row>
    <row r="828" spans="2:12" x14ac:dyDescent="0.3">
      <c r="B828" s="28" t="str">
        <f t="shared" ca="1" si="37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6"/>
        <v>0</v>
      </c>
    </row>
    <row r="829" spans="2:12" x14ac:dyDescent="0.3">
      <c r="B829" s="28" t="str">
        <f t="shared" ca="1" si="37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6"/>
        <v>0</v>
      </c>
    </row>
    <row r="830" spans="2:12" x14ac:dyDescent="0.3">
      <c r="B830" s="28" t="str">
        <f t="shared" ca="1" si="37"/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6"/>
        <v>0</v>
      </c>
    </row>
    <row r="831" spans="2:12" x14ac:dyDescent="0.3">
      <c r="B831" s="28" t="str">
        <f t="shared" ca="1" si="37"/>
        <v/>
      </c>
      <c r="C831" s="29" t="str">
        <f t="shared" ca="1" si="38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6"/>
        <v>0</v>
      </c>
    </row>
    <row r="832" spans="2:12" x14ac:dyDescent="0.3">
      <c r="B832" s="28" t="str">
        <f t="shared" ca="1" si="37"/>
        <v/>
      </c>
      <c r="C832" s="29" t="str">
        <f t="shared" ca="1" si="38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6"/>
        <v>0</v>
      </c>
    </row>
    <row r="833" spans="2:12" x14ac:dyDescent="0.3">
      <c r="B833" s="28" t="str">
        <f t="shared" ca="1" si="37"/>
        <v/>
      </c>
      <c r="C833" s="29" t="str">
        <f t="shared" ca="1" si="38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6"/>
        <v>0</v>
      </c>
    </row>
    <row r="834" spans="2:12" x14ac:dyDescent="0.3">
      <c r="B834" s="28" t="str">
        <f t="shared" ca="1" si="37"/>
        <v/>
      </c>
      <c r="C834" s="29" t="str">
        <f t="shared" ca="1" si="38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6"/>
        <v>0</v>
      </c>
    </row>
    <row r="835" spans="2:12" x14ac:dyDescent="0.3">
      <c r="B835" s="28" t="str">
        <f t="shared" ca="1" si="37"/>
        <v/>
      </c>
      <c r="C835" s="29" t="str">
        <f t="shared" ca="1" si="38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6"/>
        <v>0</v>
      </c>
    </row>
    <row r="836" spans="2:12" x14ac:dyDescent="0.3">
      <c r="B836" s="28" t="str">
        <f t="shared" ca="1" si="37"/>
        <v/>
      </c>
      <c r="C836" s="29" t="str">
        <f t="shared" ca="1" si="38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6"/>
        <v>0</v>
      </c>
    </row>
    <row r="837" spans="2:12" x14ac:dyDescent="0.3">
      <c r="B837" s="28" t="str">
        <f t="shared" ca="1" si="37"/>
        <v/>
      </c>
      <c r="C837" s="29" t="str">
        <f t="shared" ca="1" si="38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6"/>
        <v>0</v>
      </c>
    </row>
    <row r="838" spans="2:12" x14ac:dyDescent="0.3">
      <c r="B838" s="28" t="str">
        <f t="shared" ca="1" si="37"/>
        <v/>
      </c>
      <c r="C838" s="29" t="str">
        <f t="shared" ca="1" si="38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6"/>
        <v>0</v>
      </c>
    </row>
    <row r="839" spans="2:12" x14ac:dyDescent="0.3">
      <c r="B839" s="28" t="str">
        <f t="shared" ca="1" si="37"/>
        <v/>
      </c>
      <c r="C839" s="29" t="str">
        <f t="shared" ca="1" si="38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6"/>
        <v>0</v>
      </c>
    </row>
    <row r="840" spans="2:12" x14ac:dyDescent="0.3">
      <c r="B840" s="28" t="str">
        <f t="shared" ca="1" si="37"/>
        <v/>
      </c>
      <c r="C840" s="29" t="str">
        <f t="shared" ca="1" si="38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6"/>
        <v>0</v>
      </c>
    </row>
    <row r="841" spans="2:12" x14ac:dyDescent="0.3">
      <c r="B841" s="28" t="str">
        <f t="shared" ca="1" si="37"/>
        <v/>
      </c>
      <c r="C841" s="29" t="str">
        <f t="shared" ca="1" si="38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6"/>
        <v>0</v>
      </c>
    </row>
    <row r="842" spans="2:12" x14ac:dyDescent="0.3">
      <c r="B842" s="28" t="str">
        <f t="shared" ca="1" si="37"/>
        <v/>
      </c>
      <c r="C842" s="29" t="str">
        <f t="shared" ca="1" si="38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36"/>
        <v>0</v>
      </c>
    </row>
    <row r="843" spans="2:12" x14ac:dyDescent="0.3">
      <c r="B843" s="28" t="str">
        <f t="shared" ca="1" si="37"/>
        <v/>
      </c>
      <c r="C843" s="29" t="str">
        <f t="shared" ca="1" si="38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6"/>
        <v>0</v>
      </c>
    </row>
    <row r="844" spans="2:12" x14ac:dyDescent="0.3">
      <c r="B844" s="28" t="str">
        <f t="shared" ca="1" si="37"/>
        <v/>
      </c>
      <c r="C844" s="29" t="str">
        <f t="shared" ca="1" si="38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6"/>
        <v>0</v>
      </c>
    </row>
    <row r="845" spans="2:12" x14ac:dyDescent="0.3">
      <c r="B845" s="28" t="str">
        <f t="shared" ca="1" si="37"/>
        <v/>
      </c>
      <c r="C845" s="29" t="str">
        <f t="shared" ca="1" si="38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6"/>
        <v>0</v>
      </c>
    </row>
    <row r="846" spans="2:12" x14ac:dyDescent="0.3">
      <c r="B846" s="28" t="str">
        <f t="shared" ca="1" si="37"/>
        <v/>
      </c>
      <c r="C846" s="29" t="str">
        <f t="shared" ca="1" si="38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6"/>
        <v>0</v>
      </c>
    </row>
    <row r="847" spans="2:12" x14ac:dyDescent="0.3">
      <c r="B847" s="28" t="str">
        <f t="shared" ca="1" si="37"/>
        <v/>
      </c>
      <c r="C847" s="29" t="str">
        <f t="shared" ca="1" si="38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6"/>
        <v>0</v>
      </c>
    </row>
    <row r="848" spans="2:12" x14ac:dyDescent="0.3">
      <c r="B848" s="28" t="str">
        <f t="shared" ca="1" si="37"/>
        <v/>
      </c>
      <c r="C848" s="29" t="str">
        <f t="shared" ca="1" si="38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6"/>
        <v>0</v>
      </c>
    </row>
    <row r="849" spans="2:12" x14ac:dyDescent="0.3">
      <c r="B849" s="28" t="str">
        <f t="shared" ca="1" si="37"/>
        <v/>
      </c>
      <c r="C849" s="29" t="str">
        <f t="shared" ca="1" si="38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6"/>
        <v>0</v>
      </c>
    </row>
    <row r="850" spans="2:12" x14ac:dyDescent="0.3">
      <c r="B850" s="28" t="str">
        <f t="shared" ca="1" si="37"/>
        <v/>
      </c>
      <c r="C850" s="29" t="str">
        <f t="shared" ca="1" si="38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6"/>
        <v>0</v>
      </c>
    </row>
    <row r="851" spans="2:12" x14ac:dyDescent="0.3">
      <c r="B851" s="28" t="str">
        <f t="shared" ca="1" si="37"/>
        <v/>
      </c>
      <c r="C851" s="29" t="str">
        <f t="shared" ca="1" si="38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6"/>
        <v>0</v>
      </c>
    </row>
    <row r="852" spans="2:12" x14ac:dyDescent="0.3">
      <c r="B852" s="28" t="str">
        <f t="shared" ca="1" si="37"/>
        <v/>
      </c>
      <c r="C852" s="29" t="str">
        <f t="shared" ca="1" si="38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6"/>
        <v>0</v>
      </c>
    </row>
    <row r="853" spans="2:12" x14ac:dyDescent="0.3">
      <c r="B853" s="28" t="str">
        <f t="shared" ca="1" si="37"/>
        <v/>
      </c>
      <c r="C853" s="29" t="str">
        <f t="shared" ca="1" si="38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6"/>
        <v>0</v>
      </c>
    </row>
    <row r="854" spans="2:12" x14ac:dyDescent="0.3">
      <c r="B854" s="28" t="str">
        <f t="shared" ca="1" si="37"/>
        <v/>
      </c>
      <c r="C854" s="29" t="str">
        <f t="shared" ca="1" si="38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ref="L854:L917" si="39">J854-I854-K854</f>
        <v>0</v>
      </c>
    </row>
    <row r="855" spans="2:12" x14ac:dyDescent="0.3">
      <c r="B855" s="28" t="str">
        <f t="shared" ref="B855:B918" ca="1" si="40">IF(D855&lt;&gt;"",DATE(Jahr,_xlfn.SHEET()-2,D855),"")</f>
        <v/>
      </c>
      <c r="C855" s="29" t="str">
        <f t="shared" ref="C855:C918" ca="1" si="41">B855</f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39"/>
        <v>0</v>
      </c>
    </row>
    <row r="891" spans="2:12" x14ac:dyDescent="0.3">
      <c r="B891" s="28" t="str">
        <f t="shared" ca="1" si="40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39"/>
        <v>0</v>
      </c>
    </row>
    <row r="892" spans="2:12" x14ac:dyDescent="0.3">
      <c r="B892" s="28" t="str">
        <f t="shared" ca="1" si="40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39"/>
        <v>0</v>
      </c>
    </row>
    <row r="893" spans="2:12" x14ac:dyDescent="0.3">
      <c r="B893" s="28" t="str">
        <f t="shared" ca="1" si="40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39"/>
        <v>0</v>
      </c>
    </row>
    <row r="894" spans="2:12" x14ac:dyDescent="0.3">
      <c r="B894" s="28" t="str">
        <f t="shared" ca="1" si="40"/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39"/>
        <v>0</v>
      </c>
    </row>
    <row r="895" spans="2:12" x14ac:dyDescent="0.3">
      <c r="B895" s="28" t="str">
        <f t="shared" ca="1" si="40"/>
        <v/>
      </c>
      <c r="C895" s="29" t="str">
        <f t="shared" ca="1" si="41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39"/>
        <v>0</v>
      </c>
    </row>
    <row r="896" spans="2:12" x14ac:dyDescent="0.3">
      <c r="B896" s="28" t="str">
        <f t="shared" ca="1" si="40"/>
        <v/>
      </c>
      <c r="C896" s="29" t="str">
        <f t="shared" ca="1" si="41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39"/>
        <v>0</v>
      </c>
    </row>
    <row r="897" spans="2:12" x14ac:dyDescent="0.3">
      <c r="B897" s="28" t="str">
        <f t="shared" ca="1" si="40"/>
        <v/>
      </c>
      <c r="C897" s="29" t="str">
        <f t="shared" ca="1" si="41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39"/>
        <v>0</v>
      </c>
    </row>
    <row r="898" spans="2:12" x14ac:dyDescent="0.3">
      <c r="B898" s="28" t="str">
        <f t="shared" ca="1" si="40"/>
        <v/>
      </c>
      <c r="C898" s="29" t="str">
        <f t="shared" ca="1" si="41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39"/>
        <v>0</v>
      </c>
    </row>
    <row r="899" spans="2:12" x14ac:dyDescent="0.3">
      <c r="B899" s="28" t="str">
        <f t="shared" ca="1" si="40"/>
        <v/>
      </c>
      <c r="C899" s="29" t="str">
        <f t="shared" ca="1" si="41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39"/>
        <v>0</v>
      </c>
    </row>
    <row r="900" spans="2:12" x14ac:dyDescent="0.3">
      <c r="B900" s="28" t="str">
        <f t="shared" ca="1" si="40"/>
        <v/>
      </c>
      <c r="C900" s="29" t="str">
        <f t="shared" ca="1" si="41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39"/>
        <v>0</v>
      </c>
    </row>
    <row r="901" spans="2:12" x14ac:dyDescent="0.3">
      <c r="B901" s="28" t="str">
        <f t="shared" ca="1" si="40"/>
        <v/>
      </c>
      <c r="C901" s="29" t="str">
        <f t="shared" ca="1" si="41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39"/>
        <v>0</v>
      </c>
    </row>
    <row r="902" spans="2:12" x14ac:dyDescent="0.3">
      <c r="B902" s="28" t="str">
        <f t="shared" ca="1" si="40"/>
        <v/>
      </c>
      <c r="C902" s="29" t="str">
        <f t="shared" ca="1" si="41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39"/>
        <v>0</v>
      </c>
    </row>
    <row r="903" spans="2:12" x14ac:dyDescent="0.3">
      <c r="B903" s="28" t="str">
        <f t="shared" ca="1" si="40"/>
        <v/>
      </c>
      <c r="C903" s="29" t="str">
        <f t="shared" ca="1" si="41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39"/>
        <v>0</v>
      </c>
    </row>
    <row r="904" spans="2:12" x14ac:dyDescent="0.3">
      <c r="B904" s="28" t="str">
        <f t="shared" ca="1" si="40"/>
        <v/>
      </c>
      <c r="C904" s="29" t="str">
        <f t="shared" ca="1" si="41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39"/>
        <v>0</v>
      </c>
    </row>
    <row r="905" spans="2:12" x14ac:dyDescent="0.3">
      <c r="B905" s="28" t="str">
        <f t="shared" ca="1" si="40"/>
        <v/>
      </c>
      <c r="C905" s="29" t="str">
        <f t="shared" ca="1" si="41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39"/>
        <v>0</v>
      </c>
    </row>
    <row r="906" spans="2:12" x14ac:dyDescent="0.3">
      <c r="B906" s="28" t="str">
        <f t="shared" ca="1" si="40"/>
        <v/>
      </c>
      <c r="C906" s="29" t="str">
        <f t="shared" ca="1" si="41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39"/>
        <v>0</v>
      </c>
    </row>
    <row r="907" spans="2:12" x14ac:dyDescent="0.3">
      <c r="B907" s="28" t="str">
        <f t="shared" ca="1" si="40"/>
        <v/>
      </c>
      <c r="C907" s="29" t="str">
        <f t="shared" ca="1" si="41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39"/>
        <v>0</v>
      </c>
    </row>
    <row r="908" spans="2:12" x14ac:dyDescent="0.3">
      <c r="B908" s="28" t="str">
        <f t="shared" ca="1" si="40"/>
        <v/>
      </c>
      <c r="C908" s="29" t="str">
        <f t="shared" ca="1" si="41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39"/>
        <v>0</v>
      </c>
    </row>
    <row r="909" spans="2:12" x14ac:dyDescent="0.3">
      <c r="B909" s="28" t="str">
        <f t="shared" ca="1" si="40"/>
        <v/>
      </c>
      <c r="C909" s="29" t="str">
        <f t="shared" ca="1" si="41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39"/>
        <v>0</v>
      </c>
    </row>
    <row r="910" spans="2:12" x14ac:dyDescent="0.3">
      <c r="B910" s="28" t="str">
        <f t="shared" ca="1" si="40"/>
        <v/>
      </c>
      <c r="C910" s="29" t="str">
        <f t="shared" ca="1" si="41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39"/>
        <v>0</v>
      </c>
    </row>
    <row r="911" spans="2:12" x14ac:dyDescent="0.3">
      <c r="B911" s="28" t="str">
        <f t="shared" ca="1" si="40"/>
        <v/>
      </c>
      <c r="C911" s="29" t="str">
        <f t="shared" ca="1" si="41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39"/>
        <v>0</v>
      </c>
    </row>
    <row r="912" spans="2:12" x14ac:dyDescent="0.3">
      <c r="B912" s="28" t="str">
        <f t="shared" ca="1" si="40"/>
        <v/>
      </c>
      <c r="C912" s="29" t="str">
        <f t="shared" ca="1" si="41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39"/>
        <v>0</v>
      </c>
    </row>
    <row r="913" spans="2:12" x14ac:dyDescent="0.3">
      <c r="B913" s="28" t="str">
        <f t="shared" ca="1" si="40"/>
        <v/>
      </c>
      <c r="C913" s="29" t="str">
        <f t="shared" ca="1" si="41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39"/>
        <v>0</v>
      </c>
    </row>
    <row r="914" spans="2:12" x14ac:dyDescent="0.3">
      <c r="B914" s="28" t="str">
        <f t="shared" ca="1" si="40"/>
        <v/>
      </c>
      <c r="C914" s="29" t="str">
        <f t="shared" ca="1" si="41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39"/>
        <v>0</v>
      </c>
    </row>
    <row r="915" spans="2:12" x14ac:dyDescent="0.3">
      <c r="B915" s="28" t="str">
        <f t="shared" ca="1" si="40"/>
        <v/>
      </c>
      <c r="C915" s="29" t="str">
        <f t="shared" ca="1" si="41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39"/>
        <v>0</v>
      </c>
    </row>
    <row r="916" spans="2:12" x14ac:dyDescent="0.3">
      <c r="B916" s="28" t="str">
        <f t="shared" ca="1" si="40"/>
        <v/>
      </c>
      <c r="C916" s="29" t="str">
        <f t="shared" ca="1" si="41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39"/>
        <v>0</v>
      </c>
    </row>
    <row r="917" spans="2:12" x14ac:dyDescent="0.3">
      <c r="B917" s="28" t="str">
        <f t="shared" ca="1" si="40"/>
        <v/>
      </c>
      <c r="C917" s="29" t="str">
        <f t="shared" ca="1" si="41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39"/>
        <v>0</v>
      </c>
    </row>
    <row r="918" spans="2:12" x14ac:dyDescent="0.3">
      <c r="B918" s="28" t="str">
        <f t="shared" ca="1" si="40"/>
        <v/>
      </c>
      <c r="C918" s="29" t="str">
        <f t="shared" ca="1" si="41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ref="L918:L981" si="42">J918-I918-K918</f>
        <v>0</v>
      </c>
    </row>
    <row r="919" spans="2:12" x14ac:dyDescent="0.3">
      <c r="B919" s="28" t="str">
        <f t="shared" ref="B919:B982" ca="1" si="43">IF(D919&lt;&gt;"",DATE(Jahr,_xlfn.SHEET()-2,D919),"")</f>
        <v/>
      </c>
      <c r="C919" s="29" t="str">
        <f t="shared" ref="C919:C982" ca="1" si="44">B919</f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2"/>
        <v>0</v>
      </c>
    </row>
    <row r="955" spans="2:12" x14ac:dyDescent="0.3">
      <c r="B955" s="28" t="str">
        <f t="shared" ca="1" si="43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2"/>
        <v>0</v>
      </c>
    </row>
    <row r="956" spans="2:12" x14ac:dyDescent="0.3">
      <c r="B956" s="28" t="str">
        <f t="shared" ca="1" si="43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2"/>
        <v>0</v>
      </c>
    </row>
    <row r="957" spans="2:12" x14ac:dyDescent="0.3">
      <c r="B957" s="28" t="str">
        <f t="shared" ca="1" si="43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2"/>
        <v>0</v>
      </c>
    </row>
    <row r="958" spans="2:12" x14ac:dyDescent="0.3">
      <c r="B958" s="28" t="str">
        <f t="shared" ca="1" si="43"/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2"/>
        <v>0</v>
      </c>
    </row>
    <row r="959" spans="2:12" x14ac:dyDescent="0.3">
      <c r="B959" s="28" t="str">
        <f t="shared" ca="1" si="43"/>
        <v/>
      </c>
      <c r="C959" s="29" t="str">
        <f t="shared" ca="1" si="44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2"/>
        <v>0</v>
      </c>
    </row>
    <row r="960" spans="2:12" x14ac:dyDescent="0.3">
      <c r="B960" s="28" t="str">
        <f t="shared" ca="1" si="43"/>
        <v/>
      </c>
      <c r="C960" s="29" t="str">
        <f t="shared" ca="1" si="44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2"/>
        <v>0</v>
      </c>
    </row>
    <row r="961" spans="2:12" x14ac:dyDescent="0.3">
      <c r="B961" s="28" t="str">
        <f t="shared" ca="1" si="43"/>
        <v/>
      </c>
      <c r="C961" s="29" t="str">
        <f t="shared" ca="1" si="44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2"/>
        <v>0</v>
      </c>
    </row>
    <row r="962" spans="2:12" x14ac:dyDescent="0.3">
      <c r="B962" s="28" t="str">
        <f t="shared" ca="1" si="43"/>
        <v/>
      </c>
      <c r="C962" s="29" t="str">
        <f t="shared" ca="1" si="44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2"/>
        <v>0</v>
      </c>
    </row>
    <row r="963" spans="2:12" x14ac:dyDescent="0.3">
      <c r="B963" s="28" t="str">
        <f t="shared" ca="1" si="43"/>
        <v/>
      </c>
      <c r="C963" s="29" t="str">
        <f t="shared" ca="1" si="44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2"/>
        <v>0</v>
      </c>
    </row>
    <row r="964" spans="2:12" x14ac:dyDescent="0.3">
      <c r="B964" s="28" t="str">
        <f t="shared" ca="1" si="43"/>
        <v/>
      </c>
      <c r="C964" s="29" t="str">
        <f t="shared" ca="1" si="44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2"/>
        <v>0</v>
      </c>
    </row>
    <row r="965" spans="2:12" x14ac:dyDescent="0.3">
      <c r="B965" s="28" t="str">
        <f t="shared" ca="1" si="43"/>
        <v/>
      </c>
      <c r="C965" s="29" t="str">
        <f t="shared" ca="1" si="44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2"/>
        <v>0</v>
      </c>
    </row>
    <row r="966" spans="2:12" x14ac:dyDescent="0.3">
      <c r="B966" s="28" t="str">
        <f t="shared" ca="1" si="43"/>
        <v/>
      </c>
      <c r="C966" s="29" t="str">
        <f t="shared" ca="1" si="44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2"/>
        <v>0</v>
      </c>
    </row>
    <row r="967" spans="2:12" x14ac:dyDescent="0.3">
      <c r="B967" s="28" t="str">
        <f t="shared" ca="1" si="43"/>
        <v/>
      </c>
      <c r="C967" s="29" t="str">
        <f t="shared" ca="1" si="44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2"/>
        <v>0</v>
      </c>
    </row>
    <row r="968" spans="2:12" x14ac:dyDescent="0.3">
      <c r="B968" s="28" t="str">
        <f t="shared" ca="1" si="43"/>
        <v/>
      </c>
      <c r="C968" s="29" t="str">
        <f t="shared" ca="1" si="44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2"/>
        <v>0</v>
      </c>
    </row>
    <row r="969" spans="2:12" x14ac:dyDescent="0.3">
      <c r="B969" s="28" t="str">
        <f t="shared" ca="1" si="43"/>
        <v/>
      </c>
      <c r="C969" s="29" t="str">
        <f t="shared" ca="1" si="44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2"/>
        <v>0</v>
      </c>
    </row>
    <row r="970" spans="2:12" x14ac:dyDescent="0.3">
      <c r="B970" s="28" t="str">
        <f t="shared" ca="1" si="43"/>
        <v/>
      </c>
      <c r="C970" s="29" t="str">
        <f t="shared" ca="1" si="44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si="42"/>
        <v>0</v>
      </c>
    </row>
    <row r="971" spans="2:12" x14ac:dyDescent="0.3">
      <c r="B971" s="28" t="str">
        <f t="shared" ca="1" si="43"/>
        <v/>
      </c>
      <c r="C971" s="29" t="str">
        <f t="shared" ca="1" si="44"/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2"/>
        <v>0</v>
      </c>
    </row>
    <row r="972" spans="2:12" x14ac:dyDescent="0.3">
      <c r="B972" s="28" t="str">
        <f t="shared" ca="1" si="43"/>
        <v/>
      </c>
      <c r="C972" s="29" t="str">
        <f t="shared" ca="1" si="44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2"/>
        <v>0</v>
      </c>
    </row>
    <row r="973" spans="2:12" x14ac:dyDescent="0.3">
      <c r="B973" s="28" t="str">
        <f t="shared" ca="1" si="43"/>
        <v/>
      </c>
      <c r="C973" s="29" t="str">
        <f t="shared" ca="1" si="44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2"/>
        <v>0</v>
      </c>
    </row>
    <row r="974" spans="2:12" x14ac:dyDescent="0.3">
      <c r="B974" s="28" t="str">
        <f t="shared" ca="1" si="43"/>
        <v/>
      </c>
      <c r="C974" s="29" t="str">
        <f t="shared" ca="1" si="44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2"/>
        <v>0</v>
      </c>
    </row>
    <row r="975" spans="2:12" x14ac:dyDescent="0.3">
      <c r="B975" s="28" t="str">
        <f t="shared" ca="1" si="43"/>
        <v/>
      </c>
      <c r="C975" s="29" t="str">
        <f t="shared" ca="1" si="44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2"/>
        <v>0</v>
      </c>
    </row>
    <row r="976" spans="2:12" x14ac:dyDescent="0.3">
      <c r="B976" s="28" t="str">
        <f t="shared" ca="1" si="43"/>
        <v/>
      </c>
      <c r="C976" s="29" t="str">
        <f t="shared" ca="1" si="44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2"/>
        <v>0</v>
      </c>
    </row>
    <row r="977" spans="2:12" x14ac:dyDescent="0.3">
      <c r="B977" s="28" t="str">
        <f t="shared" ca="1" si="43"/>
        <v/>
      </c>
      <c r="C977" s="29" t="str">
        <f t="shared" ca="1" si="44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2"/>
        <v>0</v>
      </c>
    </row>
    <row r="978" spans="2:12" x14ac:dyDescent="0.3">
      <c r="B978" s="28" t="str">
        <f t="shared" ca="1" si="43"/>
        <v/>
      </c>
      <c r="C978" s="29" t="str">
        <f t="shared" ca="1" si="44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2"/>
        <v>0</v>
      </c>
    </row>
    <row r="979" spans="2:12" x14ac:dyDescent="0.3">
      <c r="B979" s="28" t="str">
        <f t="shared" ca="1" si="43"/>
        <v/>
      </c>
      <c r="C979" s="29" t="str">
        <f t="shared" ca="1" si="44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2"/>
        <v>0</v>
      </c>
    </row>
    <row r="980" spans="2:12" x14ac:dyDescent="0.3">
      <c r="B980" s="28" t="str">
        <f t="shared" ca="1" si="43"/>
        <v/>
      </c>
      <c r="C980" s="29" t="str">
        <f t="shared" ca="1" si="44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2"/>
        <v>0</v>
      </c>
    </row>
    <row r="981" spans="2:12" x14ac:dyDescent="0.3">
      <c r="B981" s="28" t="str">
        <f t="shared" ca="1" si="43"/>
        <v/>
      </c>
      <c r="C981" s="29" t="str">
        <f t="shared" ca="1" si="44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2"/>
        <v>0</v>
      </c>
    </row>
    <row r="982" spans="2:12" x14ac:dyDescent="0.3">
      <c r="B982" s="28" t="str">
        <f t="shared" ca="1" si="43"/>
        <v/>
      </c>
      <c r="C982" s="29" t="str">
        <f t="shared" ca="1" si="44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ref="L982:L1011" si="45">J982-I982-K982</f>
        <v>0</v>
      </c>
    </row>
    <row r="983" spans="2:12" x14ac:dyDescent="0.3">
      <c r="B983" s="28" t="str">
        <f t="shared" ref="B983:B1011" ca="1" si="46">IF(D983&lt;&gt;"",DATE(Jahr,_xlfn.SHEET()-2,D983),"")</f>
        <v/>
      </c>
      <c r="C983" s="29" t="str">
        <f t="shared" ref="C983:C1011" ca="1" si="47">B983</f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B984" s="28" t="str">
        <f t="shared" ca="1" si="46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5"/>
        <v>0</v>
      </c>
    </row>
    <row r="985" spans="2:12" x14ac:dyDescent="0.3">
      <c r="B985" s="28" t="str">
        <f t="shared" ca="1" si="46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5"/>
        <v>0</v>
      </c>
    </row>
    <row r="986" spans="2:12" x14ac:dyDescent="0.3">
      <c r="B986" s="28" t="str">
        <f t="shared" ca="1" si="46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5"/>
        <v>0</v>
      </c>
    </row>
    <row r="987" spans="2:12" x14ac:dyDescent="0.3">
      <c r="B987" s="28" t="str">
        <f t="shared" ca="1" si="46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5"/>
        <v>0</v>
      </c>
    </row>
    <row r="988" spans="2:12" x14ac:dyDescent="0.3">
      <c r="B988" s="28" t="str">
        <f t="shared" ca="1" si="46"/>
        <v/>
      </c>
      <c r="C988" s="29" t="str">
        <f t="shared" ca="1" si="47"/>
        <v/>
      </c>
      <c r="D988" s="57"/>
      <c r="E988" s="57"/>
      <c r="F988" s="57"/>
      <c r="G988" s="58"/>
      <c r="H988" s="58"/>
      <c r="I988" s="59"/>
      <c r="J988" s="59"/>
      <c r="K988" s="59"/>
      <c r="L988" s="5">
        <f t="shared" si="45"/>
        <v>0</v>
      </c>
    </row>
    <row r="989" spans="2:12" x14ac:dyDescent="0.3">
      <c r="B989" s="28" t="str">
        <f t="shared" ca="1" si="46"/>
        <v/>
      </c>
      <c r="C989" s="29" t="str">
        <f t="shared" ca="1" si="47"/>
        <v/>
      </c>
      <c r="D989" s="57"/>
      <c r="E989" s="57"/>
      <c r="F989" s="57"/>
      <c r="G989" s="58"/>
      <c r="H989" s="58"/>
      <c r="I989" s="59"/>
      <c r="J989" s="59"/>
      <c r="K989" s="59"/>
      <c r="L989" s="5">
        <f t="shared" si="45"/>
        <v>0</v>
      </c>
    </row>
    <row r="990" spans="2:12" x14ac:dyDescent="0.3">
      <c r="B990" s="28" t="str">
        <f t="shared" ca="1" si="46"/>
        <v/>
      </c>
      <c r="C990" s="29" t="str">
        <f t="shared" ca="1" si="47"/>
        <v/>
      </c>
      <c r="D990" s="57"/>
      <c r="E990" s="57"/>
      <c r="F990" s="57"/>
      <c r="G990" s="58"/>
      <c r="H990" s="58"/>
      <c r="I990" s="59"/>
      <c r="J990" s="59"/>
      <c r="K990" s="59"/>
      <c r="L990" s="5">
        <f t="shared" si="45"/>
        <v>0</v>
      </c>
    </row>
    <row r="991" spans="2:12" x14ac:dyDescent="0.3">
      <c r="B991" s="28" t="str">
        <f t="shared" ca="1" si="46"/>
        <v/>
      </c>
      <c r="C991" s="29" t="str">
        <f t="shared" ca="1" si="47"/>
        <v/>
      </c>
      <c r="D991" s="57"/>
      <c r="E991" s="57"/>
      <c r="F991" s="57"/>
      <c r="G991" s="58"/>
      <c r="H991" s="58"/>
      <c r="I991" s="59"/>
      <c r="J991" s="59"/>
      <c r="K991" s="59"/>
      <c r="L991" s="5">
        <f t="shared" si="45"/>
        <v>0</v>
      </c>
    </row>
    <row r="992" spans="2:12" x14ac:dyDescent="0.3">
      <c r="B992" s="28" t="str">
        <f t="shared" ca="1" si="46"/>
        <v/>
      </c>
      <c r="C992" s="29" t="str">
        <f t="shared" ca="1" si="47"/>
        <v/>
      </c>
      <c r="D992" s="57"/>
      <c r="E992" s="57"/>
      <c r="F992" s="57"/>
      <c r="G992" s="58"/>
      <c r="H992" s="58"/>
      <c r="I992" s="59"/>
      <c r="J992" s="59"/>
      <c r="K992" s="59"/>
      <c r="L992" s="5">
        <f t="shared" si="45"/>
        <v>0</v>
      </c>
    </row>
    <row r="993" spans="2:12" x14ac:dyDescent="0.3">
      <c r="B993" s="28" t="str">
        <f t="shared" ca="1" si="46"/>
        <v/>
      </c>
      <c r="C993" s="29" t="str">
        <f t="shared" ca="1" si="47"/>
        <v/>
      </c>
      <c r="D993" s="57"/>
      <c r="E993" s="57"/>
      <c r="F993" s="57"/>
      <c r="G993" s="58"/>
      <c r="H993" s="58"/>
      <c r="I993" s="59"/>
      <c r="J993" s="59"/>
      <c r="K993" s="59"/>
      <c r="L993" s="5">
        <f t="shared" si="45"/>
        <v>0</v>
      </c>
    </row>
    <row r="994" spans="2:12" x14ac:dyDescent="0.3">
      <c r="B994" s="28" t="str">
        <f t="shared" ca="1" si="46"/>
        <v/>
      </c>
      <c r="C994" s="29" t="str">
        <f t="shared" ca="1" si="47"/>
        <v/>
      </c>
      <c r="D994" s="57"/>
      <c r="E994" s="57"/>
      <c r="F994" s="57"/>
      <c r="G994" s="58"/>
      <c r="H994" s="58"/>
      <c r="I994" s="59"/>
      <c r="J994" s="59"/>
      <c r="K994" s="59"/>
      <c r="L994" s="5">
        <f t="shared" si="45"/>
        <v>0</v>
      </c>
    </row>
    <row r="995" spans="2:12" x14ac:dyDescent="0.3">
      <c r="B995" s="28" t="str">
        <f t="shared" ca="1" si="46"/>
        <v/>
      </c>
      <c r="C995" s="29" t="str">
        <f t="shared" ca="1" si="47"/>
        <v/>
      </c>
      <c r="D995" s="57"/>
      <c r="E995" s="57"/>
      <c r="F995" s="57"/>
      <c r="G995" s="58"/>
      <c r="H995" s="58"/>
      <c r="I995" s="59"/>
      <c r="J995" s="59"/>
      <c r="K995" s="59"/>
      <c r="L995" s="5">
        <f t="shared" si="45"/>
        <v>0</v>
      </c>
    </row>
    <row r="996" spans="2:12" x14ac:dyDescent="0.3">
      <c r="B996" s="28" t="str">
        <f t="shared" ca="1" si="46"/>
        <v/>
      </c>
      <c r="C996" s="29" t="str">
        <f t="shared" ca="1" si="47"/>
        <v/>
      </c>
      <c r="D996" s="57"/>
      <c r="E996" s="57"/>
      <c r="F996" s="57"/>
      <c r="G996" s="58"/>
      <c r="H996" s="58"/>
      <c r="I996" s="59"/>
      <c r="J996" s="59"/>
      <c r="K996" s="59"/>
      <c r="L996" s="5">
        <f t="shared" si="45"/>
        <v>0</v>
      </c>
    </row>
    <row r="997" spans="2:12" x14ac:dyDescent="0.3">
      <c r="B997" s="28" t="str">
        <f t="shared" ca="1" si="46"/>
        <v/>
      </c>
      <c r="C997" s="29" t="str">
        <f t="shared" ca="1" si="47"/>
        <v/>
      </c>
      <c r="D997" s="57"/>
      <c r="E997" s="57"/>
      <c r="F997" s="57"/>
      <c r="G997" s="58"/>
      <c r="H997" s="58"/>
      <c r="I997" s="59"/>
      <c r="J997" s="59"/>
      <c r="K997" s="59"/>
      <c r="L997" s="5">
        <f t="shared" si="45"/>
        <v>0</v>
      </c>
    </row>
    <row r="998" spans="2:12" x14ac:dyDescent="0.3">
      <c r="B998" s="28" t="str">
        <f t="shared" ca="1" si="46"/>
        <v/>
      </c>
      <c r="C998" s="29" t="str">
        <f t="shared" ca="1" si="47"/>
        <v/>
      </c>
      <c r="D998" s="57"/>
      <c r="E998" s="57"/>
      <c r="F998" s="57"/>
      <c r="G998" s="58"/>
      <c r="H998" s="58"/>
      <c r="I998" s="59"/>
      <c r="J998" s="59"/>
      <c r="K998" s="59"/>
      <c r="L998" s="5">
        <f t="shared" si="45"/>
        <v>0</v>
      </c>
    </row>
    <row r="999" spans="2:12" x14ac:dyDescent="0.3">
      <c r="B999" s="28" t="str">
        <f t="shared" ca="1" si="46"/>
        <v/>
      </c>
      <c r="C999" s="29" t="str">
        <f t="shared" ca="1" si="47"/>
        <v/>
      </c>
      <c r="D999" s="57"/>
      <c r="E999" s="57"/>
      <c r="F999" s="57"/>
      <c r="G999" s="58"/>
      <c r="H999" s="58"/>
      <c r="I999" s="59"/>
      <c r="J999" s="59"/>
      <c r="K999" s="59"/>
      <c r="L999" s="5">
        <f t="shared" si="45"/>
        <v>0</v>
      </c>
    </row>
    <row r="1000" spans="2:12" x14ac:dyDescent="0.3">
      <c r="B1000" s="28" t="str">
        <f t="shared" ca="1" si="46"/>
        <v/>
      </c>
      <c r="C1000" s="29" t="str">
        <f t="shared" ca="1" si="47"/>
        <v/>
      </c>
      <c r="D1000" s="57"/>
      <c r="E1000" s="57"/>
      <c r="F1000" s="57"/>
      <c r="G1000" s="58"/>
      <c r="H1000" s="58"/>
      <c r="I1000" s="59"/>
      <c r="J1000" s="59"/>
      <c r="K1000" s="59"/>
      <c r="L1000" s="5">
        <f t="shared" si="45"/>
        <v>0</v>
      </c>
    </row>
    <row r="1001" spans="2:12" x14ac:dyDescent="0.3">
      <c r="B1001" s="28" t="str">
        <f t="shared" ca="1" si="46"/>
        <v/>
      </c>
      <c r="C1001" s="29" t="str">
        <f t="shared" ca="1" si="47"/>
        <v/>
      </c>
      <c r="D1001" s="57"/>
      <c r="E1001" s="57"/>
      <c r="F1001" s="57"/>
      <c r="G1001" s="58"/>
      <c r="H1001" s="58"/>
      <c r="I1001" s="59"/>
      <c r="J1001" s="59"/>
      <c r="K1001" s="59"/>
      <c r="L1001" s="5">
        <f t="shared" si="45"/>
        <v>0</v>
      </c>
    </row>
    <row r="1002" spans="2:12" x14ac:dyDescent="0.3">
      <c r="B1002" s="28" t="str">
        <f t="shared" ca="1" si="46"/>
        <v/>
      </c>
      <c r="C1002" s="29" t="str">
        <f t="shared" ca="1" si="47"/>
        <v/>
      </c>
      <c r="D1002" s="57"/>
      <c r="E1002" s="57"/>
      <c r="F1002" s="57"/>
      <c r="G1002" s="58"/>
      <c r="H1002" s="58"/>
      <c r="I1002" s="59"/>
      <c r="J1002" s="59"/>
      <c r="K1002" s="59"/>
      <c r="L1002" s="5">
        <f t="shared" si="45"/>
        <v>0</v>
      </c>
    </row>
    <row r="1003" spans="2:12" x14ac:dyDescent="0.3">
      <c r="B1003" s="28" t="str">
        <f t="shared" ca="1" si="46"/>
        <v/>
      </c>
      <c r="C1003" s="29" t="str">
        <f t="shared" ca="1" si="47"/>
        <v/>
      </c>
      <c r="D1003" s="57"/>
      <c r="E1003" s="57"/>
      <c r="F1003" s="57"/>
      <c r="G1003" s="58"/>
      <c r="H1003" s="58"/>
      <c r="I1003" s="59"/>
      <c r="J1003" s="59"/>
      <c r="K1003" s="59"/>
      <c r="L1003" s="5">
        <f t="shared" si="45"/>
        <v>0</v>
      </c>
    </row>
    <row r="1004" spans="2:12" x14ac:dyDescent="0.3">
      <c r="B1004" s="28" t="str">
        <f t="shared" ca="1" si="46"/>
        <v/>
      </c>
      <c r="C1004" s="29" t="str">
        <f t="shared" ca="1" si="47"/>
        <v/>
      </c>
      <c r="D1004" s="57"/>
      <c r="E1004" s="57"/>
      <c r="F1004" s="57"/>
      <c r="G1004" s="58"/>
      <c r="H1004" s="58"/>
      <c r="I1004" s="59"/>
      <c r="J1004" s="59"/>
      <c r="K1004" s="59"/>
      <c r="L1004" s="5">
        <f t="shared" si="45"/>
        <v>0</v>
      </c>
    </row>
    <row r="1005" spans="2:12" x14ac:dyDescent="0.3">
      <c r="B1005" s="28" t="str">
        <f t="shared" ca="1" si="46"/>
        <v/>
      </c>
      <c r="C1005" s="29" t="str">
        <f t="shared" ca="1" si="47"/>
        <v/>
      </c>
      <c r="D1005" s="57"/>
      <c r="E1005" s="57"/>
      <c r="F1005" s="57"/>
      <c r="G1005" s="58"/>
      <c r="H1005" s="58"/>
      <c r="I1005" s="59"/>
      <c r="J1005" s="59"/>
      <c r="K1005" s="59"/>
      <c r="L1005" s="5">
        <f t="shared" si="45"/>
        <v>0</v>
      </c>
    </row>
    <row r="1006" spans="2:12" x14ac:dyDescent="0.3">
      <c r="B1006" s="28" t="str">
        <f t="shared" ca="1" si="46"/>
        <v/>
      </c>
      <c r="C1006" s="29" t="str">
        <f t="shared" ca="1" si="47"/>
        <v/>
      </c>
      <c r="D1006" s="57"/>
      <c r="E1006" s="57"/>
      <c r="F1006" s="57"/>
      <c r="G1006" s="58"/>
      <c r="H1006" s="58"/>
      <c r="I1006" s="59"/>
      <c r="J1006" s="59"/>
      <c r="K1006" s="59"/>
      <c r="L1006" s="5">
        <f t="shared" si="45"/>
        <v>0</v>
      </c>
    </row>
    <row r="1007" spans="2:12" x14ac:dyDescent="0.3">
      <c r="B1007" s="28" t="str">
        <f t="shared" ca="1" si="46"/>
        <v/>
      </c>
      <c r="C1007" s="29" t="str">
        <f t="shared" ca="1" si="47"/>
        <v/>
      </c>
      <c r="D1007" s="57"/>
      <c r="E1007" s="57"/>
      <c r="F1007" s="57"/>
      <c r="G1007" s="58"/>
      <c r="H1007" s="58"/>
      <c r="I1007" s="59"/>
      <c r="J1007" s="59"/>
      <c r="K1007" s="59"/>
      <c r="L1007" s="5">
        <f t="shared" si="45"/>
        <v>0</v>
      </c>
    </row>
    <row r="1008" spans="2:12" x14ac:dyDescent="0.3">
      <c r="B1008" s="28" t="str">
        <f t="shared" ca="1" si="46"/>
        <v/>
      </c>
      <c r="C1008" s="29" t="str">
        <f t="shared" ca="1" si="47"/>
        <v/>
      </c>
      <c r="D1008" s="57"/>
      <c r="E1008" s="57"/>
      <c r="F1008" s="57"/>
      <c r="G1008" s="58"/>
      <c r="H1008" s="58"/>
      <c r="I1008" s="59"/>
      <c r="J1008" s="59"/>
      <c r="K1008" s="59"/>
      <c r="L1008" s="5">
        <f t="shared" si="45"/>
        <v>0</v>
      </c>
    </row>
    <row r="1009" spans="2:12" x14ac:dyDescent="0.3">
      <c r="B1009" s="28" t="str">
        <f t="shared" ca="1" si="46"/>
        <v/>
      </c>
      <c r="C1009" s="29" t="str">
        <f t="shared" ca="1" si="47"/>
        <v/>
      </c>
      <c r="D1009" s="57"/>
      <c r="E1009" s="57"/>
      <c r="F1009" s="57"/>
      <c r="G1009" s="58"/>
      <c r="H1009" s="58"/>
      <c r="I1009" s="59"/>
      <c r="J1009" s="59"/>
      <c r="K1009" s="59"/>
      <c r="L1009" s="5">
        <f t="shared" si="45"/>
        <v>0</v>
      </c>
    </row>
    <row r="1010" spans="2:12" x14ac:dyDescent="0.3">
      <c r="B1010" s="28" t="str">
        <f t="shared" ca="1" si="46"/>
        <v/>
      </c>
      <c r="C1010" s="29" t="str">
        <f t="shared" ca="1" si="47"/>
        <v/>
      </c>
      <c r="D1010" s="57"/>
      <c r="E1010" s="57"/>
      <c r="F1010" s="57"/>
      <c r="G1010" s="58"/>
      <c r="H1010" s="58"/>
      <c r="I1010" s="59"/>
      <c r="J1010" s="59"/>
      <c r="K1010" s="59"/>
      <c r="L1010" s="5">
        <f t="shared" si="45"/>
        <v>0</v>
      </c>
    </row>
    <row r="1011" spans="2:12" x14ac:dyDescent="0.3">
      <c r="B1011" s="28" t="str">
        <f t="shared" ca="1" si="46"/>
        <v/>
      </c>
      <c r="C1011" s="29" t="str">
        <f t="shared" ca="1" si="47"/>
        <v/>
      </c>
      <c r="D1011" s="57"/>
      <c r="E1011" s="57"/>
      <c r="F1011" s="57"/>
      <c r="G1011" s="58"/>
      <c r="H1011" s="58"/>
      <c r="I1011" s="59"/>
      <c r="J1011" s="59"/>
      <c r="K1011" s="59"/>
      <c r="L1011" s="5">
        <f t="shared" si="45"/>
        <v>0</v>
      </c>
    </row>
    <row r="1012" spans="2:12" x14ac:dyDescent="0.3">
      <c r="L1012" s="109"/>
    </row>
  </sheetData>
  <autoFilter ref="B8:L1011" xr:uid="{00000000-0009-0000-0000-000006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1011">
    <cfRule type="expression" dxfId="51" priority="1">
      <formula>AND($D9&lt;&gt;"",NOT(ISNUMBER($D9)))</formula>
    </cfRule>
    <cfRule type="expression" dxfId="50" priority="2">
      <formula>OR($D9&lt;=0,DAY(DATE(YEAR($C9),MONTH($C9)+1,1)-1) &lt;$D9)</formula>
    </cfRule>
    <cfRule type="expression" dxfId="48" priority="4">
      <formula>AND($D9&lt;&gt;"",WEEKDAY($B9,2)=6)</formula>
    </cfRule>
    <cfRule type="expression" dxfId="47" priority="5">
      <formula>AND($D9&lt;&gt;"",WEEKDAY($B9,2)=7)</formula>
    </cfRule>
    <cfRule type="expression" dxfId="46" priority="6">
      <formula>AND($D9&lt;&gt;"",WEEKDAY($B9,2)&lt;6)</formula>
    </cfRule>
  </conditionalFormatting>
  <dataValidations count="2">
    <dataValidation type="list" allowBlank="1" showInputMessage="1" showErrorMessage="1" sqref="F9:F1011" xr:uid="{3D8AB43C-8A3B-45AD-9074-FA73D60AC7E7}">
      <formula1>Projektnamen</formula1>
    </dataValidation>
    <dataValidation type="list" allowBlank="1" showInputMessage="1" showErrorMessage="1" sqref="G9:G1011" xr:uid="{A188F6E7-E7F5-4675-A320-21049D36EC65}">
      <formula1>Arbeitspakete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ABC3856-7597-4F1D-91B2-18A9D0CF0D38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B9:B1011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984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H14" sqref="H14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SUM(L9:L983)*24</f>
        <v>0</v>
      </c>
    </row>
    <row r="5" spans="2:12" x14ac:dyDescent="0.3">
      <c r="B5" t="s">
        <v>67</v>
      </c>
      <c r="D5" t="str">
        <f ca="1">TEXT("1. "&amp;_xlfn.SHEET()-2,"MMMM")</f>
        <v>Juni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0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59" si="0">J9-I9-K9</f>
        <v>0</v>
      </c>
    </row>
    <row r="10" spans="2:12" x14ac:dyDescent="0.3">
      <c r="B10" s="28" t="str">
        <f t="shared" ref="B10:B59" ca="1" si="1">IF(D10&lt;&gt;"",DATE(Jahr,_xlfn.SHEET()-2,D10),"")</f>
        <v/>
      </c>
      <c r="C10" s="29" t="str">
        <f t="shared" ref="C10:C59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t="shared" ca="1" si="1"/>
        <v/>
      </c>
      <c r="C11" s="29" t="str">
        <f t="shared" ca="1" si="2"/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ca="1">IF(D12&lt;&gt;"",DATE(Jahr,_xlfn.SHEET()-2,D12),"")</f>
        <v/>
      </c>
      <c r="C12" s="29" t="str">
        <f ca="1">B12</f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  <c r="T24" s="88"/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  <c r="T25" s="89"/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  <c r="T26" s="89"/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  <c r="T27" s="89"/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  <c r="T28" s="89"/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  <c r="T29" s="89"/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  <c r="T30" s="90"/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  <c r="T32" s="91"/>
    </row>
    <row r="33" spans="2:12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</row>
    <row r="34" spans="2:12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</row>
    <row r="35" spans="2:12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12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</row>
    <row r="37" spans="2:12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</row>
    <row r="38" spans="2:12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</row>
    <row r="39" spans="2:12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</row>
    <row r="40" spans="2:12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7"/>
      <c r="H40" s="108"/>
      <c r="I40" s="59"/>
      <c r="J40" s="59"/>
      <c r="K40" s="59"/>
      <c r="L40" s="5">
        <f t="shared" si="0"/>
        <v>0</v>
      </c>
    </row>
    <row r="41" spans="2:12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12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0"/>
        <v>0</v>
      </c>
    </row>
    <row r="43" spans="2:12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12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12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12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12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12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ca="1">IF(D60&lt;&gt;"",DATE(Jahr,_xlfn.SHEET()-2,D60),"")</f>
        <v/>
      </c>
      <c r="C60" s="29" t="str">
        <f ca="1">B60</f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ref="L60:L121" si="3">J60-I60-K60</f>
        <v>0</v>
      </c>
    </row>
    <row r="61" spans="2:12" x14ac:dyDescent="0.3">
      <c r="B61" s="28" t="str">
        <f t="shared" ref="B61:B122" ca="1" si="4">IF(D61&lt;&gt;"",DATE(Jahr,_xlfn.SHEET()-2,D61),"")</f>
        <v/>
      </c>
      <c r="C61" s="29" t="str">
        <f t="shared" ref="C61:C122" ca="1" si="5">B61</f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3"/>
        <v>0</v>
      </c>
    </row>
    <row r="62" spans="2:12" x14ac:dyDescent="0.3">
      <c r="B62" s="28" t="str">
        <f t="shared" ca="1" si="4"/>
        <v/>
      </c>
      <c r="C62" s="29" t="str">
        <f t="shared" ca="1" si="5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3"/>
        <v>0</v>
      </c>
    </row>
    <row r="63" spans="2:12" x14ac:dyDescent="0.3">
      <c r="B63" s="28" t="str">
        <f t="shared" ca="1" si="4"/>
        <v/>
      </c>
      <c r="C63" s="29" t="str">
        <f t="shared" ca="1" si="5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3"/>
        <v>0</v>
      </c>
    </row>
    <row r="64" spans="2:12" x14ac:dyDescent="0.3">
      <c r="B64" s="28" t="str">
        <f t="shared" ca="1" si="4"/>
        <v/>
      </c>
      <c r="C64" s="29" t="str">
        <f t="shared" ca="1" si="5"/>
        <v/>
      </c>
      <c r="D64" s="57"/>
      <c r="E64" s="110"/>
      <c r="F64" s="110"/>
      <c r="G64" s="110"/>
      <c r="H64" s="58"/>
      <c r="I64" s="59"/>
      <c r="J64" s="59"/>
      <c r="K64" s="59"/>
      <c r="L64" s="5">
        <f t="shared" si="3"/>
        <v>0</v>
      </c>
    </row>
    <row r="65" spans="2:12" x14ac:dyDescent="0.3">
      <c r="B65" s="28" t="str">
        <f t="shared" ca="1" si="4"/>
        <v/>
      </c>
      <c r="C65" s="29" t="str">
        <f t="shared" ca="1" si="5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3"/>
        <v>0</v>
      </c>
    </row>
    <row r="66" spans="2:12" x14ac:dyDescent="0.3">
      <c r="B66" s="28" t="str">
        <f t="shared" ca="1" si="4"/>
        <v/>
      </c>
      <c r="C66" s="29" t="str">
        <f t="shared" ca="1" si="5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3"/>
        <v>0</v>
      </c>
    </row>
    <row r="67" spans="2:12" x14ac:dyDescent="0.3">
      <c r="B67" s="28" t="str">
        <f t="shared" ca="1" si="4"/>
        <v/>
      </c>
      <c r="C67" s="29" t="str">
        <f t="shared" ca="1" si="5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3"/>
        <v>0</v>
      </c>
    </row>
    <row r="68" spans="2:12" x14ac:dyDescent="0.3">
      <c r="B68" s="28" t="str">
        <f t="shared" ca="1" si="4"/>
        <v/>
      </c>
      <c r="C68" s="29" t="str">
        <f t="shared" ca="1" si="5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3"/>
        <v>0</v>
      </c>
    </row>
    <row r="69" spans="2:12" x14ac:dyDescent="0.3">
      <c r="B69" s="28" t="str">
        <f t="shared" ca="1" si="4"/>
        <v/>
      </c>
      <c r="C69" s="29" t="str">
        <f t="shared" ca="1" si="5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3"/>
        <v>0</v>
      </c>
    </row>
    <row r="70" spans="2:12" x14ac:dyDescent="0.3">
      <c r="B70" s="28" t="str">
        <f t="shared" ca="1" si="4"/>
        <v/>
      </c>
      <c r="C70" s="29" t="str">
        <f t="shared" ca="1" si="5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3"/>
        <v>0</v>
      </c>
    </row>
    <row r="71" spans="2:12" x14ac:dyDescent="0.3">
      <c r="B71" s="28" t="str">
        <f t="shared" ca="1" si="4"/>
        <v/>
      </c>
      <c r="C71" s="29" t="str">
        <f t="shared" ca="1" si="5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3"/>
        <v>0</v>
      </c>
    </row>
    <row r="72" spans="2:12" x14ac:dyDescent="0.3">
      <c r="B72" s="28" t="str">
        <f t="shared" ca="1" si="4"/>
        <v/>
      </c>
      <c r="C72" s="29" t="str">
        <f t="shared" ca="1" si="5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3"/>
        <v>0</v>
      </c>
    </row>
    <row r="73" spans="2:12" x14ac:dyDescent="0.3">
      <c r="B73" s="28" t="str">
        <f ca="1">IF(D73&lt;&gt;"",DATE(Jahr,_xlfn.SHEET()-2,D73),"")</f>
        <v/>
      </c>
      <c r="C73" s="29" t="str">
        <f ca="1">B73</f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3"/>
        <v>0</v>
      </c>
    </row>
    <row r="74" spans="2:12" x14ac:dyDescent="0.3">
      <c r="B74" s="28" t="str">
        <f t="shared" ca="1" si="4"/>
        <v/>
      </c>
      <c r="C74" s="29" t="str">
        <f t="shared" ca="1" si="5"/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3"/>
        <v>0</v>
      </c>
    </row>
    <row r="75" spans="2:12" x14ac:dyDescent="0.3">
      <c r="B75" s="28" t="str">
        <f t="shared" ca="1" si="4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3"/>
        <v>0</v>
      </c>
    </row>
    <row r="76" spans="2:12" x14ac:dyDescent="0.3">
      <c r="B76" s="28" t="str">
        <f t="shared" ca="1" si="4"/>
        <v/>
      </c>
      <c r="C76" s="29" t="str">
        <f t="shared" ca="1" si="5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3"/>
        <v>0</v>
      </c>
    </row>
    <row r="77" spans="2:12" x14ac:dyDescent="0.3">
      <c r="B77" s="28" t="str">
        <f t="shared" ca="1" si="4"/>
        <v/>
      </c>
      <c r="C77" s="29" t="str">
        <f t="shared" ca="1" si="5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3"/>
        <v>0</v>
      </c>
    </row>
    <row r="78" spans="2:12" x14ac:dyDescent="0.3">
      <c r="B78" s="28" t="str">
        <f t="shared" ca="1" si="4"/>
        <v/>
      </c>
      <c r="C78" s="29" t="str">
        <f t="shared" ca="1" si="5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3"/>
        <v>0</v>
      </c>
    </row>
    <row r="79" spans="2:12" x14ac:dyDescent="0.3">
      <c r="B79" s="28" t="str">
        <f t="shared" ca="1" si="4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t="shared" ca="1" si="4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t="shared" ca="1" si="4"/>
        <v/>
      </c>
      <c r="C86" s="29" t="str">
        <f t="shared" ca="1" si="5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ref="L122:L185" si="6">J122-I122-K122</f>
        <v>0</v>
      </c>
    </row>
    <row r="123" spans="2:12" x14ac:dyDescent="0.3">
      <c r="B123" s="28" t="str">
        <f t="shared" ref="B123:B186" ca="1" si="7">IF(D123&lt;&gt;"",DATE(Jahr,_xlfn.SHEET()-2,D123),"")</f>
        <v/>
      </c>
      <c r="C123" s="29" t="str">
        <f t="shared" ref="C123:C186" ca="1" si="8">B123</f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6"/>
        <v>0</v>
      </c>
    </row>
    <row r="124" spans="2:12" x14ac:dyDescent="0.3">
      <c r="B124" s="28" t="str">
        <f t="shared" ca="1" si="7"/>
        <v/>
      </c>
      <c r="C124" s="29" t="str">
        <f t="shared" ca="1" si="8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6"/>
        <v>0</v>
      </c>
    </row>
    <row r="125" spans="2:12" x14ac:dyDescent="0.3">
      <c r="B125" s="28" t="str">
        <f t="shared" ca="1" si="7"/>
        <v/>
      </c>
      <c r="C125" s="29" t="str">
        <f t="shared" ca="1" si="8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6"/>
        <v>0</v>
      </c>
    </row>
    <row r="126" spans="2:12" x14ac:dyDescent="0.3">
      <c r="B126" s="28" t="str">
        <f t="shared" ca="1" si="7"/>
        <v/>
      </c>
      <c r="C126" s="29" t="str">
        <f t="shared" ca="1" si="8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6"/>
        <v>0</v>
      </c>
    </row>
    <row r="127" spans="2:12" x14ac:dyDescent="0.3">
      <c r="B127" s="28" t="str">
        <f t="shared" ca="1" si="7"/>
        <v/>
      </c>
      <c r="C127" s="29" t="str">
        <f t="shared" ca="1" si="8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6"/>
        <v>0</v>
      </c>
    </row>
    <row r="128" spans="2:12" x14ac:dyDescent="0.3">
      <c r="B128" s="28" t="str">
        <f t="shared" ca="1" si="7"/>
        <v/>
      </c>
      <c r="C128" s="29" t="str">
        <f t="shared" ca="1" si="8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6"/>
        <v>0</v>
      </c>
    </row>
    <row r="129" spans="2:12" x14ac:dyDescent="0.3">
      <c r="B129" s="28" t="str">
        <f t="shared" ca="1" si="7"/>
        <v/>
      </c>
      <c r="C129" s="29" t="str">
        <f t="shared" ca="1" si="8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6"/>
        <v>0</v>
      </c>
    </row>
    <row r="130" spans="2:12" x14ac:dyDescent="0.3">
      <c r="B130" s="28" t="str">
        <f t="shared" ca="1" si="7"/>
        <v/>
      </c>
      <c r="C130" s="29" t="str">
        <f t="shared" ca="1" si="8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6"/>
        <v>0</v>
      </c>
    </row>
    <row r="131" spans="2:12" x14ac:dyDescent="0.3">
      <c r="B131" s="28" t="str">
        <f t="shared" ca="1" si="7"/>
        <v/>
      </c>
      <c r="C131" s="29" t="str">
        <f t="shared" ca="1" si="8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6"/>
        <v>0</v>
      </c>
    </row>
    <row r="132" spans="2:12" x14ac:dyDescent="0.3">
      <c r="B132" s="28" t="str">
        <f t="shared" ca="1" si="7"/>
        <v/>
      </c>
      <c r="C132" s="29" t="str">
        <f t="shared" ca="1" si="8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6"/>
        <v>0</v>
      </c>
    </row>
    <row r="133" spans="2:12" x14ac:dyDescent="0.3">
      <c r="B133" s="28" t="str">
        <f t="shared" ca="1" si="7"/>
        <v/>
      </c>
      <c r="C133" s="29" t="str">
        <f t="shared" ca="1" si="8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6"/>
        <v>0</v>
      </c>
    </row>
    <row r="134" spans="2:12" x14ac:dyDescent="0.3">
      <c r="B134" s="28" t="str">
        <f t="shared" ca="1" si="7"/>
        <v/>
      </c>
      <c r="C134" s="29" t="str">
        <f t="shared" ca="1" si="8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6"/>
        <v>0</v>
      </c>
    </row>
    <row r="135" spans="2:12" x14ac:dyDescent="0.3">
      <c r="B135" s="28" t="str">
        <f t="shared" ca="1" si="7"/>
        <v/>
      </c>
      <c r="C135" s="29" t="str">
        <f t="shared" ca="1" si="8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6"/>
        <v>0</v>
      </c>
    </row>
    <row r="136" spans="2:12" x14ac:dyDescent="0.3">
      <c r="B136" s="28" t="str">
        <f t="shared" ca="1" si="7"/>
        <v/>
      </c>
      <c r="C136" s="29" t="str">
        <f t="shared" ca="1" si="8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6"/>
        <v>0</v>
      </c>
    </row>
    <row r="137" spans="2:12" x14ac:dyDescent="0.3">
      <c r="B137" s="28" t="str">
        <f t="shared" ca="1" si="7"/>
        <v/>
      </c>
      <c r="C137" s="29" t="str">
        <f t="shared" ca="1" si="8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6"/>
        <v>0</v>
      </c>
    </row>
    <row r="138" spans="2:12" x14ac:dyDescent="0.3">
      <c r="B138" s="28" t="str">
        <f t="shared" ca="1" si="7"/>
        <v/>
      </c>
      <c r="C138" s="29" t="str">
        <f t="shared" ca="1" si="8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6"/>
        <v>0</v>
      </c>
    </row>
    <row r="139" spans="2:12" x14ac:dyDescent="0.3">
      <c r="B139" s="28" t="str">
        <f t="shared" ca="1" si="7"/>
        <v/>
      </c>
      <c r="C139" s="29" t="str">
        <f t="shared" ca="1" si="8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ref="L186:L249" si="9">J186-I186-K186</f>
        <v>0</v>
      </c>
    </row>
    <row r="187" spans="2:12" x14ac:dyDescent="0.3">
      <c r="B187" s="28" t="str">
        <f t="shared" ref="B187:B250" ca="1" si="10">IF(D187&lt;&gt;"",DATE(Jahr,_xlfn.SHEET()-2,D187),"")</f>
        <v/>
      </c>
      <c r="C187" s="29" t="str">
        <f t="shared" ref="C187:C250" ca="1" si="11">B187</f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9"/>
        <v>0</v>
      </c>
    </row>
    <row r="188" spans="2:12" x14ac:dyDescent="0.3">
      <c r="B188" s="28" t="str">
        <f t="shared" ca="1" si="10"/>
        <v/>
      </c>
      <c r="C188" s="29" t="str">
        <f t="shared" ca="1" si="11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9"/>
        <v>0</v>
      </c>
    </row>
    <row r="189" spans="2:12" x14ac:dyDescent="0.3">
      <c r="B189" s="28" t="str">
        <f t="shared" ca="1" si="10"/>
        <v/>
      </c>
      <c r="C189" s="29" t="str">
        <f t="shared" ca="1" si="11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9"/>
        <v>0</v>
      </c>
    </row>
    <row r="190" spans="2:12" x14ac:dyDescent="0.3">
      <c r="B190" s="28" t="str">
        <f t="shared" ca="1" si="10"/>
        <v/>
      </c>
      <c r="C190" s="29" t="str">
        <f t="shared" ca="1" si="11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9"/>
        <v>0</v>
      </c>
    </row>
    <row r="191" spans="2:12" x14ac:dyDescent="0.3">
      <c r="B191" s="28" t="str">
        <f t="shared" ca="1" si="10"/>
        <v/>
      </c>
      <c r="C191" s="29" t="str">
        <f t="shared" ca="1" si="11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9"/>
        <v>0</v>
      </c>
    </row>
    <row r="192" spans="2:12" x14ac:dyDescent="0.3">
      <c r="B192" s="28" t="str">
        <f t="shared" ca="1" si="10"/>
        <v/>
      </c>
      <c r="C192" s="29" t="str">
        <f t="shared" ca="1" si="11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9"/>
        <v>0</v>
      </c>
    </row>
    <row r="193" spans="2:12" x14ac:dyDescent="0.3">
      <c r="B193" s="28" t="str">
        <f t="shared" ca="1" si="10"/>
        <v/>
      </c>
      <c r="C193" s="29" t="str">
        <f t="shared" ca="1" si="11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9"/>
        <v>0</v>
      </c>
    </row>
    <row r="194" spans="2:12" x14ac:dyDescent="0.3">
      <c r="B194" s="28" t="str">
        <f t="shared" ca="1" si="10"/>
        <v/>
      </c>
      <c r="C194" s="29" t="str">
        <f t="shared" ca="1" si="11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9"/>
        <v>0</v>
      </c>
    </row>
    <row r="195" spans="2:12" x14ac:dyDescent="0.3">
      <c r="B195" s="28" t="str">
        <f t="shared" ca="1" si="10"/>
        <v/>
      </c>
      <c r="C195" s="29" t="str">
        <f t="shared" ca="1" si="11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9"/>
        <v>0</v>
      </c>
    </row>
    <row r="196" spans="2:12" x14ac:dyDescent="0.3">
      <c r="B196" s="28" t="str">
        <f t="shared" ca="1" si="10"/>
        <v/>
      </c>
      <c r="C196" s="29" t="str">
        <f t="shared" ca="1" si="11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9"/>
        <v>0</v>
      </c>
    </row>
    <row r="197" spans="2:12" x14ac:dyDescent="0.3">
      <c r="B197" s="28" t="str">
        <f t="shared" ca="1" si="10"/>
        <v/>
      </c>
      <c r="C197" s="29" t="str">
        <f t="shared" ca="1" si="11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9"/>
        <v>0</v>
      </c>
    </row>
    <row r="198" spans="2:12" x14ac:dyDescent="0.3">
      <c r="B198" s="28" t="str">
        <f t="shared" ca="1" si="10"/>
        <v/>
      </c>
      <c r="C198" s="29" t="str">
        <f t="shared" ca="1" si="11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9"/>
        <v>0</v>
      </c>
    </row>
    <row r="199" spans="2:12" x14ac:dyDescent="0.3">
      <c r="B199" s="28" t="str">
        <f t="shared" ca="1" si="10"/>
        <v/>
      </c>
      <c r="C199" s="29" t="str">
        <f t="shared" ca="1" si="11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9"/>
        <v>0</v>
      </c>
    </row>
    <row r="200" spans="2:12" x14ac:dyDescent="0.3">
      <c r="B200" s="28" t="str">
        <f t="shared" ca="1" si="10"/>
        <v/>
      </c>
      <c r="C200" s="29" t="str">
        <f t="shared" ca="1" si="11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9"/>
        <v>0</v>
      </c>
    </row>
    <row r="201" spans="2:12" x14ac:dyDescent="0.3">
      <c r="B201" s="28" t="str">
        <f t="shared" ca="1" si="10"/>
        <v/>
      </c>
      <c r="C201" s="29" t="str">
        <f t="shared" ca="1" si="11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9"/>
        <v>0</v>
      </c>
    </row>
    <row r="202" spans="2:12" x14ac:dyDescent="0.3">
      <c r="B202" s="28" t="str">
        <f t="shared" ca="1" si="10"/>
        <v/>
      </c>
      <c r="C202" s="29" t="str">
        <f t="shared" ca="1" si="11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9"/>
        <v>0</v>
      </c>
    </row>
    <row r="203" spans="2:12" x14ac:dyDescent="0.3">
      <c r="B203" s="28" t="str">
        <f t="shared" ca="1" si="10"/>
        <v/>
      </c>
      <c r="C203" s="29" t="str">
        <f t="shared" ca="1" si="11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ref="L250:L313" si="12">J250-I250-K250</f>
        <v>0</v>
      </c>
    </row>
    <row r="251" spans="2:12" x14ac:dyDescent="0.3">
      <c r="B251" s="28" t="str">
        <f t="shared" ref="B251:B314" ca="1" si="13">IF(D251&lt;&gt;"",DATE(Jahr,_xlfn.SHEET()-2,D251),"")</f>
        <v/>
      </c>
      <c r="C251" s="29" t="str">
        <f t="shared" ref="C251:C314" ca="1" si="14">B251</f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12"/>
        <v>0</v>
      </c>
    </row>
    <row r="252" spans="2:12" x14ac:dyDescent="0.3">
      <c r="B252" s="28" t="str">
        <f t="shared" ca="1" si="13"/>
        <v/>
      </c>
      <c r="C252" s="29" t="str">
        <f t="shared" ca="1" si="14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12"/>
        <v>0</v>
      </c>
    </row>
    <row r="253" spans="2:12" x14ac:dyDescent="0.3">
      <c r="B253" s="28" t="str">
        <f t="shared" ca="1" si="13"/>
        <v/>
      </c>
      <c r="C253" s="29" t="str">
        <f t="shared" ca="1" si="14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12"/>
        <v>0</v>
      </c>
    </row>
    <row r="254" spans="2:12" x14ac:dyDescent="0.3">
      <c r="B254" s="28" t="str">
        <f t="shared" ca="1" si="13"/>
        <v/>
      </c>
      <c r="C254" s="29" t="str">
        <f t="shared" ca="1" si="14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12"/>
        <v>0</v>
      </c>
    </row>
    <row r="255" spans="2:12" x14ac:dyDescent="0.3">
      <c r="B255" s="28" t="str">
        <f t="shared" ca="1" si="13"/>
        <v/>
      </c>
      <c r="C255" s="29" t="str">
        <f t="shared" ca="1" si="14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12"/>
        <v>0</v>
      </c>
    </row>
    <row r="256" spans="2:12" x14ac:dyDescent="0.3">
      <c r="B256" s="28" t="str">
        <f t="shared" ca="1" si="13"/>
        <v/>
      </c>
      <c r="C256" s="29" t="str">
        <f t="shared" ca="1" si="14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12"/>
        <v>0</v>
      </c>
    </row>
    <row r="257" spans="2:12" x14ac:dyDescent="0.3">
      <c r="B257" s="28" t="str">
        <f t="shared" ca="1" si="13"/>
        <v/>
      </c>
      <c r="C257" s="29" t="str">
        <f t="shared" ca="1" si="14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12"/>
        <v>0</v>
      </c>
    </row>
    <row r="258" spans="2:12" x14ac:dyDescent="0.3">
      <c r="B258" s="28" t="str">
        <f t="shared" ca="1" si="13"/>
        <v/>
      </c>
      <c r="C258" s="29" t="str">
        <f t="shared" ca="1" si="14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12"/>
        <v>0</v>
      </c>
    </row>
    <row r="259" spans="2:12" x14ac:dyDescent="0.3">
      <c r="B259" s="28" t="str">
        <f t="shared" ca="1" si="13"/>
        <v/>
      </c>
      <c r="C259" s="29" t="str">
        <f t="shared" ca="1" si="14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12"/>
        <v>0</v>
      </c>
    </row>
    <row r="260" spans="2:12" x14ac:dyDescent="0.3">
      <c r="B260" s="28" t="str">
        <f t="shared" ca="1" si="13"/>
        <v/>
      </c>
      <c r="C260" s="29" t="str">
        <f t="shared" ca="1" si="14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12"/>
        <v>0</v>
      </c>
    </row>
    <row r="261" spans="2:12" x14ac:dyDescent="0.3">
      <c r="B261" s="28" t="str">
        <f t="shared" ca="1" si="13"/>
        <v/>
      </c>
      <c r="C261" s="29" t="str">
        <f t="shared" ca="1" si="14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12"/>
        <v>0</v>
      </c>
    </row>
    <row r="262" spans="2:12" x14ac:dyDescent="0.3">
      <c r="B262" s="28" t="str">
        <f t="shared" ca="1" si="13"/>
        <v/>
      </c>
      <c r="C262" s="29" t="str">
        <f t="shared" ca="1" si="14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12"/>
        <v>0</v>
      </c>
    </row>
    <row r="263" spans="2:12" x14ac:dyDescent="0.3">
      <c r="B263" s="28" t="str">
        <f t="shared" ca="1" si="13"/>
        <v/>
      </c>
      <c r="C263" s="29" t="str">
        <f t="shared" ca="1" si="14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12"/>
        <v>0</v>
      </c>
    </row>
    <row r="264" spans="2:12" x14ac:dyDescent="0.3">
      <c r="B264" s="28" t="str">
        <f t="shared" ca="1" si="13"/>
        <v/>
      </c>
      <c r="C264" s="29" t="str">
        <f t="shared" ca="1" si="14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12"/>
        <v>0</v>
      </c>
    </row>
    <row r="265" spans="2:12" x14ac:dyDescent="0.3">
      <c r="B265" s="28" t="str">
        <f t="shared" ca="1" si="13"/>
        <v/>
      </c>
      <c r="C265" s="29" t="str">
        <f t="shared" ca="1" si="14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12"/>
        <v>0</v>
      </c>
    </row>
    <row r="266" spans="2:12" x14ac:dyDescent="0.3">
      <c r="B266" s="28" t="str">
        <f t="shared" ca="1" si="13"/>
        <v/>
      </c>
      <c r="C266" s="29" t="str">
        <f t="shared" ca="1" si="14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12"/>
        <v>0</v>
      </c>
    </row>
    <row r="267" spans="2:12" x14ac:dyDescent="0.3">
      <c r="B267" s="28" t="str">
        <f t="shared" ca="1" si="13"/>
        <v/>
      </c>
      <c r="C267" s="29" t="str">
        <f t="shared" ca="1" si="14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ref="L314:L377" si="15">J314-I314-K314</f>
        <v>0</v>
      </c>
    </row>
    <row r="315" spans="2:12" x14ac:dyDescent="0.3">
      <c r="B315" s="28" t="str">
        <f t="shared" ref="B315:B378" ca="1" si="16">IF(D315&lt;&gt;"",DATE(Jahr,_xlfn.SHEET()-2,D315),"")</f>
        <v/>
      </c>
      <c r="C315" s="29" t="str">
        <f t="shared" ref="C315:C378" ca="1" si="17">B315</f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5"/>
        <v>0</v>
      </c>
    </row>
    <row r="316" spans="2:12" x14ac:dyDescent="0.3">
      <c r="B316" s="28" t="str">
        <f t="shared" ca="1" si="16"/>
        <v/>
      </c>
      <c r="C316" s="29" t="str">
        <f t="shared" ca="1" si="17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5"/>
        <v>0</v>
      </c>
    </row>
    <row r="317" spans="2:12" x14ac:dyDescent="0.3">
      <c r="B317" s="28" t="str">
        <f t="shared" ca="1" si="16"/>
        <v/>
      </c>
      <c r="C317" s="29" t="str">
        <f t="shared" ca="1" si="17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5"/>
        <v>0</v>
      </c>
    </row>
    <row r="318" spans="2:12" x14ac:dyDescent="0.3">
      <c r="B318" s="28" t="str">
        <f t="shared" ca="1" si="16"/>
        <v/>
      </c>
      <c r="C318" s="29" t="str">
        <f t="shared" ca="1" si="17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5"/>
        <v>0</v>
      </c>
    </row>
    <row r="319" spans="2:12" x14ac:dyDescent="0.3">
      <c r="B319" s="28" t="str">
        <f t="shared" ca="1" si="16"/>
        <v/>
      </c>
      <c r="C319" s="29" t="str">
        <f t="shared" ca="1" si="17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5"/>
        <v>0</v>
      </c>
    </row>
    <row r="320" spans="2:12" x14ac:dyDescent="0.3">
      <c r="B320" s="28" t="str">
        <f t="shared" ca="1" si="16"/>
        <v/>
      </c>
      <c r="C320" s="29" t="str">
        <f t="shared" ca="1" si="17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5"/>
        <v>0</v>
      </c>
    </row>
    <row r="321" spans="2:12" x14ac:dyDescent="0.3">
      <c r="B321" s="28" t="str">
        <f t="shared" ca="1" si="16"/>
        <v/>
      </c>
      <c r="C321" s="29" t="str">
        <f t="shared" ca="1" si="17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5"/>
        <v>0</v>
      </c>
    </row>
    <row r="322" spans="2:12" x14ac:dyDescent="0.3">
      <c r="B322" s="28" t="str">
        <f t="shared" ca="1" si="16"/>
        <v/>
      </c>
      <c r="C322" s="29" t="str">
        <f t="shared" ca="1" si="17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5"/>
        <v>0</v>
      </c>
    </row>
    <row r="323" spans="2:12" x14ac:dyDescent="0.3">
      <c r="B323" s="28" t="str">
        <f t="shared" ca="1" si="16"/>
        <v/>
      </c>
      <c r="C323" s="29" t="str">
        <f t="shared" ca="1" si="17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5"/>
        <v>0</v>
      </c>
    </row>
    <row r="324" spans="2:12" x14ac:dyDescent="0.3">
      <c r="B324" s="28" t="str">
        <f t="shared" ca="1" si="16"/>
        <v/>
      </c>
      <c r="C324" s="29" t="str">
        <f t="shared" ca="1" si="17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5"/>
        <v>0</v>
      </c>
    </row>
    <row r="325" spans="2:12" x14ac:dyDescent="0.3">
      <c r="B325" s="28" t="str">
        <f t="shared" ca="1" si="16"/>
        <v/>
      </c>
      <c r="C325" s="29" t="str">
        <f t="shared" ca="1" si="17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5"/>
        <v>0</v>
      </c>
    </row>
    <row r="326" spans="2:12" x14ac:dyDescent="0.3">
      <c r="B326" s="28" t="str">
        <f t="shared" ca="1" si="16"/>
        <v/>
      </c>
      <c r="C326" s="29" t="str">
        <f t="shared" ca="1" si="17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5"/>
        <v>0</v>
      </c>
    </row>
    <row r="327" spans="2:12" x14ac:dyDescent="0.3">
      <c r="B327" s="28" t="str">
        <f t="shared" ca="1" si="16"/>
        <v/>
      </c>
      <c r="C327" s="29" t="str">
        <f t="shared" ca="1" si="17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5"/>
        <v>0</v>
      </c>
    </row>
    <row r="328" spans="2:12" x14ac:dyDescent="0.3">
      <c r="B328" s="28" t="str">
        <f t="shared" ca="1" si="16"/>
        <v/>
      </c>
      <c r="C328" s="29" t="str">
        <f t="shared" ca="1" si="17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5"/>
        <v>0</v>
      </c>
    </row>
    <row r="329" spans="2:12" x14ac:dyDescent="0.3">
      <c r="B329" s="28" t="str">
        <f t="shared" ca="1" si="16"/>
        <v/>
      </c>
      <c r="C329" s="29" t="str">
        <f t="shared" ca="1" si="17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5"/>
        <v>0</v>
      </c>
    </row>
    <row r="330" spans="2:12" x14ac:dyDescent="0.3">
      <c r="B330" s="28" t="str">
        <f t="shared" ca="1" si="16"/>
        <v/>
      </c>
      <c r="C330" s="29" t="str">
        <f t="shared" ca="1" si="17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5"/>
        <v>0</v>
      </c>
    </row>
    <row r="331" spans="2:12" x14ac:dyDescent="0.3">
      <c r="B331" s="28" t="str">
        <f t="shared" ca="1" si="16"/>
        <v/>
      </c>
      <c r="C331" s="29" t="str">
        <f t="shared" ca="1" si="17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ref="L378:L441" si="18">J378-I378-K378</f>
        <v>0</v>
      </c>
    </row>
    <row r="379" spans="2:12" x14ac:dyDescent="0.3">
      <c r="B379" s="28" t="str">
        <f t="shared" ref="B379:B442" ca="1" si="19">IF(D379&lt;&gt;"",DATE(Jahr,_xlfn.SHEET()-2,D379),"")</f>
        <v/>
      </c>
      <c r="C379" s="29" t="str">
        <f t="shared" ref="C379:C442" ca="1" si="20">B379</f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8"/>
        <v>0</v>
      </c>
    </row>
    <row r="380" spans="2:12" x14ac:dyDescent="0.3">
      <c r="B380" s="28" t="str">
        <f t="shared" ca="1" si="19"/>
        <v/>
      </c>
      <c r="C380" s="29" t="str">
        <f t="shared" ca="1" si="20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8"/>
        <v>0</v>
      </c>
    </row>
    <row r="381" spans="2:12" x14ac:dyDescent="0.3">
      <c r="B381" s="28" t="str">
        <f t="shared" ca="1" si="19"/>
        <v/>
      </c>
      <c r="C381" s="29" t="str">
        <f t="shared" ca="1" si="20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8"/>
        <v>0</v>
      </c>
    </row>
    <row r="382" spans="2:12" x14ac:dyDescent="0.3">
      <c r="B382" s="28" t="str">
        <f t="shared" ca="1" si="19"/>
        <v/>
      </c>
      <c r="C382" s="29" t="str">
        <f t="shared" ca="1" si="20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8"/>
        <v>0</v>
      </c>
    </row>
    <row r="383" spans="2:12" x14ac:dyDescent="0.3">
      <c r="B383" s="28" t="str">
        <f t="shared" ca="1" si="19"/>
        <v/>
      </c>
      <c r="C383" s="29" t="str">
        <f t="shared" ca="1" si="20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8"/>
        <v>0</v>
      </c>
    </row>
    <row r="384" spans="2:12" x14ac:dyDescent="0.3">
      <c r="B384" s="28" t="str">
        <f t="shared" ca="1" si="19"/>
        <v/>
      </c>
      <c r="C384" s="29" t="str">
        <f t="shared" ca="1" si="20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8"/>
        <v>0</v>
      </c>
    </row>
    <row r="385" spans="2:12" x14ac:dyDescent="0.3">
      <c r="B385" s="28" t="str">
        <f t="shared" ca="1" si="19"/>
        <v/>
      </c>
      <c r="C385" s="29" t="str">
        <f t="shared" ca="1" si="20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8"/>
        <v>0</v>
      </c>
    </row>
    <row r="386" spans="2:12" x14ac:dyDescent="0.3">
      <c r="B386" s="28" t="str">
        <f t="shared" ca="1" si="19"/>
        <v/>
      </c>
      <c r="C386" s="29" t="str">
        <f t="shared" ca="1" si="20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8"/>
        <v>0</v>
      </c>
    </row>
    <row r="387" spans="2:12" x14ac:dyDescent="0.3">
      <c r="B387" s="28" t="str">
        <f t="shared" ca="1" si="19"/>
        <v/>
      </c>
      <c r="C387" s="29" t="str">
        <f t="shared" ca="1" si="20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8"/>
        <v>0</v>
      </c>
    </row>
    <row r="388" spans="2:12" x14ac:dyDescent="0.3">
      <c r="B388" s="28" t="str">
        <f t="shared" ca="1" si="19"/>
        <v/>
      </c>
      <c r="C388" s="29" t="str">
        <f t="shared" ca="1" si="20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8"/>
        <v>0</v>
      </c>
    </row>
    <row r="389" spans="2:12" x14ac:dyDescent="0.3">
      <c r="B389" s="28" t="str">
        <f t="shared" ca="1" si="19"/>
        <v/>
      </c>
      <c r="C389" s="29" t="str">
        <f t="shared" ca="1" si="20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8"/>
        <v>0</v>
      </c>
    </row>
    <row r="390" spans="2:12" x14ac:dyDescent="0.3">
      <c r="B390" s="28" t="str">
        <f t="shared" ca="1" si="19"/>
        <v/>
      </c>
      <c r="C390" s="29" t="str">
        <f t="shared" ca="1" si="20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8"/>
        <v>0</v>
      </c>
    </row>
    <row r="391" spans="2:12" x14ac:dyDescent="0.3">
      <c r="B391" s="28" t="str">
        <f t="shared" ca="1" si="19"/>
        <v/>
      </c>
      <c r="C391" s="29" t="str">
        <f t="shared" ca="1" si="20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8"/>
        <v>0</v>
      </c>
    </row>
    <row r="392" spans="2:12" x14ac:dyDescent="0.3">
      <c r="B392" s="28" t="str">
        <f t="shared" ca="1" si="19"/>
        <v/>
      </c>
      <c r="C392" s="29" t="str">
        <f t="shared" ca="1" si="20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8"/>
        <v>0</v>
      </c>
    </row>
    <row r="393" spans="2:12" x14ac:dyDescent="0.3">
      <c r="B393" s="28" t="str">
        <f t="shared" ca="1" si="19"/>
        <v/>
      </c>
      <c r="C393" s="29" t="str">
        <f t="shared" ca="1" si="20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8"/>
        <v>0</v>
      </c>
    </row>
    <row r="394" spans="2:12" x14ac:dyDescent="0.3">
      <c r="B394" s="28" t="str">
        <f t="shared" ca="1" si="19"/>
        <v/>
      </c>
      <c r="C394" s="29" t="str">
        <f t="shared" ca="1" si="20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8"/>
        <v>0</v>
      </c>
    </row>
    <row r="395" spans="2:12" x14ac:dyDescent="0.3">
      <c r="B395" s="28" t="str">
        <f t="shared" ca="1" si="19"/>
        <v/>
      </c>
      <c r="C395" s="29" t="str">
        <f t="shared" ca="1" si="20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ref="L442:L505" si="21">J442-I442-K442</f>
        <v>0</v>
      </c>
    </row>
    <row r="443" spans="2:12" x14ac:dyDescent="0.3">
      <c r="B443" s="28" t="str">
        <f t="shared" ref="B443:B506" ca="1" si="22">IF(D443&lt;&gt;"",DATE(Jahr,_xlfn.SHEET()-2,D443),"")</f>
        <v/>
      </c>
      <c r="C443" s="29" t="str">
        <f t="shared" ref="C443:C506" ca="1" si="23">B443</f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21"/>
        <v>0</v>
      </c>
    </row>
    <row r="444" spans="2:12" x14ac:dyDescent="0.3">
      <c r="B444" s="28" t="str">
        <f t="shared" ca="1" si="22"/>
        <v/>
      </c>
      <c r="C444" s="29" t="str">
        <f t="shared" ca="1" si="23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21"/>
        <v>0</v>
      </c>
    </row>
    <row r="445" spans="2:12" x14ac:dyDescent="0.3">
      <c r="B445" s="28" t="str">
        <f t="shared" ca="1" si="22"/>
        <v/>
      </c>
      <c r="C445" s="29" t="str">
        <f t="shared" ca="1" si="23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21"/>
        <v>0</v>
      </c>
    </row>
    <row r="446" spans="2:12" x14ac:dyDescent="0.3">
      <c r="B446" s="28" t="str">
        <f t="shared" ca="1" si="22"/>
        <v/>
      </c>
      <c r="C446" s="29" t="str">
        <f t="shared" ca="1" si="23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21"/>
        <v>0</v>
      </c>
    </row>
    <row r="447" spans="2:12" x14ac:dyDescent="0.3">
      <c r="B447" s="28" t="str">
        <f t="shared" ca="1" si="22"/>
        <v/>
      </c>
      <c r="C447" s="29" t="str">
        <f t="shared" ca="1" si="23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21"/>
        <v>0</v>
      </c>
    </row>
    <row r="448" spans="2:12" x14ac:dyDescent="0.3">
      <c r="B448" s="28" t="str">
        <f t="shared" ca="1" si="22"/>
        <v/>
      </c>
      <c r="C448" s="29" t="str">
        <f t="shared" ca="1" si="23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21"/>
        <v>0</v>
      </c>
    </row>
    <row r="449" spans="2:12" x14ac:dyDescent="0.3">
      <c r="B449" s="28" t="str">
        <f t="shared" ca="1" si="22"/>
        <v/>
      </c>
      <c r="C449" s="29" t="str">
        <f t="shared" ca="1" si="23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21"/>
        <v>0</v>
      </c>
    </row>
    <row r="450" spans="2:12" x14ac:dyDescent="0.3">
      <c r="B450" s="28" t="str">
        <f t="shared" ca="1" si="22"/>
        <v/>
      </c>
      <c r="C450" s="29" t="str">
        <f t="shared" ca="1" si="23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21"/>
        <v>0</v>
      </c>
    </row>
    <row r="451" spans="2:12" x14ac:dyDescent="0.3">
      <c r="B451" s="28" t="str">
        <f t="shared" ca="1" si="22"/>
        <v/>
      </c>
      <c r="C451" s="29" t="str">
        <f t="shared" ca="1" si="23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21"/>
        <v>0</v>
      </c>
    </row>
    <row r="452" spans="2:12" x14ac:dyDescent="0.3">
      <c r="B452" s="28" t="str">
        <f t="shared" ca="1" si="22"/>
        <v/>
      </c>
      <c r="C452" s="29" t="str">
        <f t="shared" ca="1" si="23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21"/>
        <v>0</v>
      </c>
    </row>
    <row r="453" spans="2:12" x14ac:dyDescent="0.3">
      <c r="B453" s="28" t="str">
        <f t="shared" ca="1" si="22"/>
        <v/>
      </c>
      <c r="C453" s="29" t="str">
        <f t="shared" ca="1" si="23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21"/>
        <v>0</v>
      </c>
    </row>
    <row r="454" spans="2:12" x14ac:dyDescent="0.3">
      <c r="B454" s="28" t="str">
        <f t="shared" ca="1" si="22"/>
        <v/>
      </c>
      <c r="C454" s="29" t="str">
        <f t="shared" ca="1" si="23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21"/>
        <v>0</v>
      </c>
    </row>
    <row r="455" spans="2:12" x14ac:dyDescent="0.3">
      <c r="B455" s="28" t="str">
        <f t="shared" ca="1" si="22"/>
        <v/>
      </c>
      <c r="C455" s="29" t="str">
        <f t="shared" ca="1" si="23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21"/>
        <v>0</v>
      </c>
    </row>
    <row r="456" spans="2:12" x14ac:dyDescent="0.3">
      <c r="B456" s="28" t="str">
        <f t="shared" ca="1" si="22"/>
        <v/>
      </c>
      <c r="C456" s="29" t="str">
        <f t="shared" ca="1" si="23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21"/>
        <v>0</v>
      </c>
    </row>
    <row r="457" spans="2:12" x14ac:dyDescent="0.3">
      <c r="B457" s="28" t="str">
        <f t="shared" ca="1" si="22"/>
        <v/>
      </c>
      <c r="C457" s="29" t="str">
        <f t="shared" ca="1" si="23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21"/>
        <v>0</v>
      </c>
    </row>
    <row r="458" spans="2:12" x14ac:dyDescent="0.3">
      <c r="B458" s="28" t="str">
        <f t="shared" ca="1" si="22"/>
        <v/>
      </c>
      <c r="C458" s="29" t="str">
        <f t="shared" ca="1" si="23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21"/>
        <v>0</v>
      </c>
    </row>
    <row r="459" spans="2:12" x14ac:dyDescent="0.3">
      <c r="B459" s="28" t="str">
        <f t="shared" ca="1" si="22"/>
        <v/>
      </c>
      <c r="C459" s="29" t="str">
        <f t="shared" ca="1" si="23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ref="L506:L569" si="24">J506-I506-K506</f>
        <v>0</v>
      </c>
    </row>
    <row r="507" spans="2:12" x14ac:dyDescent="0.3">
      <c r="B507" s="28" t="str">
        <f t="shared" ref="B507:B570" ca="1" si="25">IF(D507&lt;&gt;"",DATE(Jahr,_xlfn.SHEET()-2,D507),"")</f>
        <v/>
      </c>
      <c r="C507" s="29" t="str">
        <f t="shared" ref="C507:C570" ca="1" si="26">B507</f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4"/>
        <v>0</v>
      </c>
    </row>
    <row r="508" spans="2:12" x14ac:dyDescent="0.3">
      <c r="B508" s="28" t="str">
        <f t="shared" ca="1" si="25"/>
        <v/>
      </c>
      <c r="C508" s="29" t="str">
        <f t="shared" ca="1" si="26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4"/>
        <v>0</v>
      </c>
    </row>
    <row r="509" spans="2:12" x14ac:dyDescent="0.3">
      <c r="B509" s="28" t="str">
        <f t="shared" ca="1" si="25"/>
        <v/>
      </c>
      <c r="C509" s="29" t="str">
        <f t="shared" ca="1" si="26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4"/>
        <v>0</v>
      </c>
    </row>
    <row r="510" spans="2:12" x14ac:dyDescent="0.3">
      <c r="B510" s="28" t="str">
        <f t="shared" ca="1" si="25"/>
        <v/>
      </c>
      <c r="C510" s="29" t="str">
        <f t="shared" ca="1" si="26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4"/>
        <v>0</v>
      </c>
    </row>
    <row r="511" spans="2:12" x14ac:dyDescent="0.3">
      <c r="B511" s="28" t="str">
        <f t="shared" ca="1" si="25"/>
        <v/>
      </c>
      <c r="C511" s="29" t="str">
        <f t="shared" ca="1" si="26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4"/>
        <v>0</v>
      </c>
    </row>
    <row r="512" spans="2:12" x14ac:dyDescent="0.3">
      <c r="B512" s="28" t="str">
        <f t="shared" ca="1" si="25"/>
        <v/>
      </c>
      <c r="C512" s="29" t="str">
        <f t="shared" ca="1" si="26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4"/>
        <v>0</v>
      </c>
    </row>
    <row r="513" spans="2:12" x14ac:dyDescent="0.3">
      <c r="B513" s="28" t="str">
        <f t="shared" ca="1" si="25"/>
        <v/>
      </c>
      <c r="C513" s="29" t="str">
        <f t="shared" ca="1" si="26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4"/>
        <v>0</v>
      </c>
    </row>
    <row r="514" spans="2:12" x14ac:dyDescent="0.3">
      <c r="B514" s="28" t="str">
        <f t="shared" ca="1" si="25"/>
        <v/>
      </c>
      <c r="C514" s="29" t="str">
        <f t="shared" ca="1" si="26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4"/>
        <v>0</v>
      </c>
    </row>
    <row r="515" spans="2:12" x14ac:dyDescent="0.3">
      <c r="B515" s="28" t="str">
        <f t="shared" ca="1" si="25"/>
        <v/>
      </c>
      <c r="C515" s="29" t="str">
        <f t="shared" ca="1" si="26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4"/>
        <v>0</v>
      </c>
    </row>
    <row r="516" spans="2:12" x14ac:dyDescent="0.3">
      <c r="B516" s="28" t="str">
        <f t="shared" ca="1" si="25"/>
        <v/>
      </c>
      <c r="C516" s="29" t="str">
        <f t="shared" ca="1" si="26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4"/>
        <v>0</v>
      </c>
    </row>
    <row r="517" spans="2:12" x14ac:dyDescent="0.3">
      <c r="B517" s="28" t="str">
        <f t="shared" ca="1" si="25"/>
        <v/>
      </c>
      <c r="C517" s="29" t="str">
        <f t="shared" ca="1" si="26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4"/>
        <v>0</v>
      </c>
    </row>
    <row r="518" spans="2:12" x14ac:dyDescent="0.3">
      <c r="B518" s="28" t="str">
        <f t="shared" ca="1" si="25"/>
        <v/>
      </c>
      <c r="C518" s="29" t="str">
        <f t="shared" ca="1" si="26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4"/>
        <v>0</v>
      </c>
    </row>
    <row r="519" spans="2:12" x14ac:dyDescent="0.3">
      <c r="B519" s="28" t="str">
        <f t="shared" ca="1" si="25"/>
        <v/>
      </c>
      <c r="C519" s="29" t="str">
        <f t="shared" ca="1" si="26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4"/>
        <v>0</v>
      </c>
    </row>
    <row r="520" spans="2:12" x14ac:dyDescent="0.3">
      <c r="B520" s="28" t="str">
        <f t="shared" ca="1" si="25"/>
        <v/>
      </c>
      <c r="C520" s="29" t="str">
        <f t="shared" ca="1" si="26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4"/>
        <v>0</v>
      </c>
    </row>
    <row r="521" spans="2:12" x14ac:dyDescent="0.3">
      <c r="B521" s="28" t="str">
        <f t="shared" ca="1" si="25"/>
        <v/>
      </c>
      <c r="C521" s="29" t="str">
        <f t="shared" ca="1" si="26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4"/>
        <v>0</v>
      </c>
    </row>
    <row r="522" spans="2:12" x14ac:dyDescent="0.3">
      <c r="B522" s="28" t="str">
        <f t="shared" ca="1" si="25"/>
        <v/>
      </c>
      <c r="C522" s="29" t="str">
        <f t="shared" ca="1" si="26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4"/>
        <v>0</v>
      </c>
    </row>
    <row r="523" spans="2:12" x14ac:dyDescent="0.3">
      <c r="B523" s="28" t="str">
        <f t="shared" ca="1" si="25"/>
        <v/>
      </c>
      <c r="C523" s="29" t="str">
        <f t="shared" ca="1" si="26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ref="L570:L633" si="27">J570-I570-K570</f>
        <v>0</v>
      </c>
    </row>
    <row r="571" spans="2:12" x14ac:dyDescent="0.3">
      <c r="B571" s="28" t="str">
        <f t="shared" ref="B571:B634" ca="1" si="28">IF(D571&lt;&gt;"",DATE(Jahr,_xlfn.SHEET()-2,D571),"")</f>
        <v/>
      </c>
      <c r="C571" s="29" t="str">
        <f t="shared" ref="C571:C634" ca="1" si="29">B571</f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7"/>
        <v>0</v>
      </c>
    </row>
    <row r="572" spans="2:12" x14ac:dyDescent="0.3">
      <c r="B572" s="28" t="str">
        <f t="shared" ca="1" si="28"/>
        <v/>
      </c>
      <c r="C572" s="29" t="str">
        <f t="shared" ca="1" si="29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7"/>
        <v>0</v>
      </c>
    </row>
    <row r="573" spans="2:12" x14ac:dyDescent="0.3">
      <c r="B573" s="28" t="str">
        <f t="shared" ca="1" si="28"/>
        <v/>
      </c>
      <c r="C573" s="29" t="str">
        <f t="shared" ca="1" si="29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7"/>
        <v>0</v>
      </c>
    </row>
    <row r="574" spans="2:12" x14ac:dyDescent="0.3">
      <c r="B574" s="28" t="str">
        <f t="shared" ca="1" si="28"/>
        <v/>
      </c>
      <c r="C574" s="29" t="str">
        <f t="shared" ca="1" si="29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7"/>
        <v>0</v>
      </c>
    </row>
    <row r="575" spans="2:12" x14ac:dyDescent="0.3">
      <c r="B575" s="28" t="str">
        <f t="shared" ca="1" si="28"/>
        <v/>
      </c>
      <c r="C575" s="29" t="str">
        <f t="shared" ca="1" si="29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7"/>
        <v>0</v>
      </c>
    </row>
    <row r="576" spans="2:12" x14ac:dyDescent="0.3">
      <c r="B576" s="28" t="str">
        <f t="shared" ca="1" si="28"/>
        <v/>
      </c>
      <c r="C576" s="29" t="str">
        <f t="shared" ca="1" si="29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7"/>
        <v>0</v>
      </c>
    </row>
    <row r="577" spans="2:12" x14ac:dyDescent="0.3">
      <c r="B577" s="28" t="str">
        <f t="shared" ca="1" si="28"/>
        <v/>
      </c>
      <c r="C577" s="29" t="str">
        <f t="shared" ca="1" si="29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7"/>
        <v>0</v>
      </c>
    </row>
    <row r="578" spans="2:12" x14ac:dyDescent="0.3">
      <c r="B578" s="28" t="str">
        <f t="shared" ca="1" si="28"/>
        <v/>
      </c>
      <c r="C578" s="29" t="str">
        <f t="shared" ca="1" si="29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7"/>
        <v>0</v>
      </c>
    </row>
    <row r="579" spans="2:12" x14ac:dyDescent="0.3">
      <c r="B579" s="28" t="str">
        <f t="shared" ca="1" si="28"/>
        <v/>
      </c>
      <c r="C579" s="29" t="str">
        <f t="shared" ca="1" si="29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7"/>
        <v>0</v>
      </c>
    </row>
    <row r="580" spans="2:12" x14ac:dyDescent="0.3">
      <c r="B580" s="28" t="str">
        <f t="shared" ca="1" si="28"/>
        <v/>
      </c>
      <c r="C580" s="29" t="str">
        <f t="shared" ca="1" si="29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7"/>
        <v>0</v>
      </c>
    </row>
    <row r="581" spans="2:12" x14ac:dyDescent="0.3">
      <c r="B581" s="28" t="str">
        <f t="shared" ca="1" si="28"/>
        <v/>
      </c>
      <c r="C581" s="29" t="str">
        <f t="shared" ca="1" si="29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7"/>
        <v>0</v>
      </c>
    </row>
    <row r="582" spans="2:12" x14ac:dyDescent="0.3">
      <c r="B582" s="28" t="str">
        <f t="shared" ca="1" si="28"/>
        <v/>
      </c>
      <c r="C582" s="29" t="str">
        <f t="shared" ca="1" si="29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7"/>
        <v>0</v>
      </c>
    </row>
    <row r="583" spans="2:12" x14ac:dyDescent="0.3">
      <c r="B583" s="28" t="str">
        <f t="shared" ca="1" si="28"/>
        <v/>
      </c>
      <c r="C583" s="29" t="str">
        <f t="shared" ca="1" si="29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7"/>
        <v>0</v>
      </c>
    </row>
    <row r="584" spans="2:12" x14ac:dyDescent="0.3">
      <c r="B584" s="28" t="str">
        <f t="shared" ca="1" si="28"/>
        <v/>
      </c>
      <c r="C584" s="29" t="str">
        <f t="shared" ca="1" si="29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7"/>
        <v>0</v>
      </c>
    </row>
    <row r="585" spans="2:12" x14ac:dyDescent="0.3">
      <c r="B585" s="28" t="str">
        <f t="shared" ca="1" si="28"/>
        <v/>
      </c>
      <c r="C585" s="29" t="str">
        <f t="shared" ca="1" si="29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7"/>
        <v>0</v>
      </c>
    </row>
    <row r="586" spans="2:12" x14ac:dyDescent="0.3">
      <c r="B586" s="28" t="str">
        <f t="shared" ca="1" si="28"/>
        <v/>
      </c>
      <c r="C586" s="29" t="str">
        <f t="shared" ca="1" si="29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7"/>
        <v>0</v>
      </c>
    </row>
    <row r="587" spans="2:12" x14ac:dyDescent="0.3">
      <c r="B587" s="28" t="str">
        <f t="shared" ca="1" si="28"/>
        <v/>
      </c>
      <c r="C587" s="29" t="str">
        <f t="shared" ca="1" si="29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ref="L634:L697" si="30">J634-I634-K634</f>
        <v>0</v>
      </c>
    </row>
    <row r="635" spans="2:12" x14ac:dyDescent="0.3">
      <c r="B635" s="28" t="str">
        <f t="shared" ref="B635:B698" ca="1" si="31">IF(D635&lt;&gt;"",DATE(Jahr,_xlfn.SHEET()-2,D635),"")</f>
        <v/>
      </c>
      <c r="C635" s="29" t="str">
        <f t="shared" ref="C635:C698" ca="1" si="32">B635</f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30"/>
        <v>0</v>
      </c>
    </row>
    <row r="636" spans="2:12" x14ac:dyDescent="0.3">
      <c r="B636" s="28" t="str">
        <f t="shared" ca="1" si="31"/>
        <v/>
      </c>
      <c r="C636" s="29" t="str">
        <f t="shared" ca="1" si="32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30"/>
        <v>0</v>
      </c>
    </row>
    <row r="637" spans="2:12" x14ac:dyDescent="0.3">
      <c r="B637" s="28" t="str">
        <f t="shared" ca="1" si="31"/>
        <v/>
      </c>
      <c r="C637" s="29" t="str">
        <f t="shared" ca="1" si="32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30"/>
        <v>0</v>
      </c>
    </row>
    <row r="638" spans="2:12" x14ac:dyDescent="0.3">
      <c r="B638" s="28" t="str">
        <f t="shared" ca="1" si="31"/>
        <v/>
      </c>
      <c r="C638" s="29" t="str">
        <f t="shared" ca="1" si="32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30"/>
        <v>0</v>
      </c>
    </row>
    <row r="639" spans="2:12" x14ac:dyDescent="0.3">
      <c r="B639" s="28" t="str">
        <f t="shared" ca="1" si="31"/>
        <v/>
      </c>
      <c r="C639" s="29" t="str">
        <f t="shared" ca="1" si="32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30"/>
        <v>0</v>
      </c>
    </row>
    <row r="640" spans="2:12" x14ac:dyDescent="0.3">
      <c r="B640" s="28" t="str">
        <f t="shared" ca="1" si="31"/>
        <v/>
      </c>
      <c r="C640" s="29" t="str">
        <f t="shared" ca="1" si="32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30"/>
        <v>0</v>
      </c>
    </row>
    <row r="641" spans="2:12" x14ac:dyDescent="0.3">
      <c r="B641" s="28" t="str">
        <f t="shared" ca="1" si="31"/>
        <v/>
      </c>
      <c r="C641" s="29" t="str">
        <f t="shared" ca="1" si="32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30"/>
        <v>0</v>
      </c>
    </row>
    <row r="642" spans="2:12" x14ac:dyDescent="0.3">
      <c r="B642" s="28" t="str">
        <f t="shared" ca="1" si="31"/>
        <v/>
      </c>
      <c r="C642" s="29" t="str">
        <f t="shared" ca="1" si="32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30"/>
        <v>0</v>
      </c>
    </row>
    <row r="643" spans="2:12" x14ac:dyDescent="0.3">
      <c r="B643" s="28" t="str">
        <f t="shared" ca="1" si="31"/>
        <v/>
      </c>
      <c r="C643" s="29" t="str">
        <f t="shared" ca="1" si="32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30"/>
        <v>0</v>
      </c>
    </row>
    <row r="644" spans="2:12" x14ac:dyDescent="0.3">
      <c r="B644" s="28" t="str">
        <f t="shared" ca="1" si="31"/>
        <v/>
      </c>
      <c r="C644" s="29" t="str">
        <f t="shared" ca="1" si="32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30"/>
        <v>0</v>
      </c>
    </row>
    <row r="645" spans="2:12" x14ac:dyDescent="0.3">
      <c r="B645" s="28" t="str">
        <f t="shared" ca="1" si="31"/>
        <v/>
      </c>
      <c r="C645" s="29" t="str">
        <f t="shared" ca="1" si="32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30"/>
        <v>0</v>
      </c>
    </row>
    <row r="646" spans="2:12" x14ac:dyDescent="0.3">
      <c r="B646" s="28" t="str">
        <f t="shared" ca="1" si="31"/>
        <v/>
      </c>
      <c r="C646" s="29" t="str">
        <f t="shared" ca="1" si="32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30"/>
        <v>0</v>
      </c>
    </row>
    <row r="647" spans="2:12" x14ac:dyDescent="0.3">
      <c r="B647" s="28" t="str">
        <f t="shared" ca="1" si="31"/>
        <v/>
      </c>
      <c r="C647" s="29" t="str">
        <f t="shared" ca="1" si="32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30"/>
        <v>0</v>
      </c>
    </row>
    <row r="648" spans="2:12" x14ac:dyDescent="0.3">
      <c r="B648" s="28" t="str">
        <f t="shared" ca="1" si="31"/>
        <v/>
      </c>
      <c r="C648" s="29" t="str">
        <f t="shared" ca="1" si="32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30"/>
        <v>0</v>
      </c>
    </row>
    <row r="649" spans="2:12" x14ac:dyDescent="0.3">
      <c r="B649" s="28" t="str">
        <f t="shared" ca="1" si="31"/>
        <v/>
      </c>
      <c r="C649" s="29" t="str">
        <f t="shared" ca="1" si="32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30"/>
        <v>0</v>
      </c>
    </row>
    <row r="650" spans="2:12" x14ac:dyDescent="0.3">
      <c r="B650" s="28" t="str">
        <f t="shared" ca="1" si="31"/>
        <v/>
      </c>
      <c r="C650" s="29" t="str">
        <f t="shared" ca="1" si="32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30"/>
        <v>0</v>
      </c>
    </row>
    <row r="651" spans="2:12" x14ac:dyDescent="0.3">
      <c r="B651" s="28" t="str">
        <f t="shared" ca="1" si="31"/>
        <v/>
      </c>
      <c r="C651" s="29" t="str">
        <f t="shared" ca="1" si="32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ref="L698:L761" si="33">J698-I698-K698</f>
        <v>0</v>
      </c>
    </row>
    <row r="699" spans="2:12" x14ac:dyDescent="0.3">
      <c r="B699" s="28" t="str">
        <f t="shared" ref="B699:B762" ca="1" si="34">IF(D699&lt;&gt;"",DATE(Jahr,_xlfn.SHEET()-2,D699),"")</f>
        <v/>
      </c>
      <c r="C699" s="29" t="str">
        <f t="shared" ref="C699:C762" ca="1" si="35">B699</f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3"/>
        <v>0</v>
      </c>
    </row>
    <row r="700" spans="2:12" x14ac:dyDescent="0.3">
      <c r="B700" s="28" t="str">
        <f t="shared" ca="1" si="34"/>
        <v/>
      </c>
      <c r="C700" s="29" t="str">
        <f t="shared" ca="1" si="35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3"/>
        <v>0</v>
      </c>
    </row>
    <row r="701" spans="2:12" x14ac:dyDescent="0.3">
      <c r="B701" s="28" t="str">
        <f t="shared" ca="1" si="34"/>
        <v/>
      </c>
      <c r="C701" s="29" t="str">
        <f t="shared" ca="1" si="35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3"/>
        <v>0</v>
      </c>
    </row>
    <row r="702" spans="2:12" x14ac:dyDescent="0.3">
      <c r="B702" s="28" t="str">
        <f t="shared" ca="1" si="34"/>
        <v/>
      </c>
      <c r="C702" s="29" t="str">
        <f t="shared" ca="1" si="35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3"/>
        <v>0</v>
      </c>
    </row>
    <row r="703" spans="2:12" x14ac:dyDescent="0.3">
      <c r="B703" s="28" t="str">
        <f t="shared" ca="1" si="34"/>
        <v/>
      </c>
      <c r="C703" s="29" t="str">
        <f t="shared" ca="1" si="35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3"/>
        <v>0</v>
      </c>
    </row>
    <row r="704" spans="2:12" x14ac:dyDescent="0.3">
      <c r="B704" s="28" t="str">
        <f t="shared" ca="1" si="34"/>
        <v/>
      </c>
      <c r="C704" s="29" t="str">
        <f t="shared" ca="1" si="35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3"/>
        <v>0</v>
      </c>
    </row>
    <row r="705" spans="2:12" x14ac:dyDescent="0.3">
      <c r="B705" s="28" t="str">
        <f t="shared" ca="1" si="34"/>
        <v/>
      </c>
      <c r="C705" s="29" t="str">
        <f t="shared" ca="1" si="35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3"/>
        <v>0</v>
      </c>
    </row>
    <row r="706" spans="2:12" x14ac:dyDescent="0.3">
      <c r="B706" s="28" t="str">
        <f t="shared" ca="1" si="34"/>
        <v/>
      </c>
      <c r="C706" s="29" t="str">
        <f t="shared" ca="1" si="35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3"/>
        <v>0</v>
      </c>
    </row>
    <row r="707" spans="2:12" x14ac:dyDescent="0.3">
      <c r="B707" s="28" t="str">
        <f t="shared" ca="1" si="34"/>
        <v/>
      </c>
      <c r="C707" s="29" t="str">
        <f t="shared" ca="1" si="35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3"/>
        <v>0</v>
      </c>
    </row>
    <row r="708" spans="2:12" x14ac:dyDescent="0.3">
      <c r="B708" s="28" t="str">
        <f t="shared" ca="1" si="34"/>
        <v/>
      </c>
      <c r="C708" s="29" t="str">
        <f t="shared" ca="1" si="35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3"/>
        <v>0</v>
      </c>
    </row>
    <row r="709" spans="2:12" x14ac:dyDescent="0.3">
      <c r="B709" s="28" t="str">
        <f t="shared" ca="1" si="34"/>
        <v/>
      </c>
      <c r="C709" s="29" t="str">
        <f t="shared" ca="1" si="35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3"/>
        <v>0</v>
      </c>
    </row>
    <row r="710" spans="2:12" x14ac:dyDescent="0.3">
      <c r="B710" s="28" t="str">
        <f t="shared" ca="1" si="34"/>
        <v/>
      </c>
      <c r="C710" s="29" t="str">
        <f t="shared" ca="1" si="35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3"/>
        <v>0</v>
      </c>
    </row>
    <row r="711" spans="2:12" x14ac:dyDescent="0.3">
      <c r="B711" s="28" t="str">
        <f t="shared" ca="1" si="34"/>
        <v/>
      </c>
      <c r="C711" s="29" t="str">
        <f t="shared" ca="1" si="35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3"/>
        <v>0</v>
      </c>
    </row>
    <row r="712" spans="2:12" x14ac:dyDescent="0.3">
      <c r="B712" s="28" t="str">
        <f t="shared" ca="1" si="34"/>
        <v/>
      </c>
      <c r="C712" s="29" t="str">
        <f t="shared" ca="1" si="35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3"/>
        <v>0</v>
      </c>
    </row>
    <row r="713" spans="2:12" x14ac:dyDescent="0.3">
      <c r="B713" s="28" t="str">
        <f t="shared" ca="1" si="34"/>
        <v/>
      </c>
      <c r="C713" s="29" t="str">
        <f t="shared" ca="1" si="35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3"/>
        <v>0</v>
      </c>
    </row>
    <row r="714" spans="2:12" x14ac:dyDescent="0.3">
      <c r="B714" s="28" t="str">
        <f t="shared" ca="1" si="34"/>
        <v/>
      </c>
      <c r="C714" s="29" t="str">
        <f t="shared" ca="1" si="35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3"/>
        <v>0</v>
      </c>
    </row>
    <row r="715" spans="2:12" x14ac:dyDescent="0.3">
      <c r="B715" s="28" t="str">
        <f t="shared" ca="1" si="34"/>
        <v/>
      </c>
      <c r="C715" s="29" t="str">
        <f t="shared" ca="1" si="35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ref="L762:L825" si="36">J762-I762-K762</f>
        <v>0</v>
      </c>
    </row>
    <row r="763" spans="2:12" x14ac:dyDescent="0.3">
      <c r="B763" s="28" t="str">
        <f t="shared" ref="B763:B826" ca="1" si="37">IF(D763&lt;&gt;"",DATE(Jahr,_xlfn.SHEET()-2,D763),"")</f>
        <v/>
      </c>
      <c r="C763" s="29" t="str">
        <f t="shared" ref="C763:C826" ca="1" si="38">B763</f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6"/>
        <v>0</v>
      </c>
    </row>
    <row r="764" spans="2:12" x14ac:dyDescent="0.3">
      <c r="B764" s="28" t="str">
        <f t="shared" ca="1" si="37"/>
        <v/>
      </c>
      <c r="C764" s="29" t="str">
        <f t="shared" ca="1" si="38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6"/>
        <v>0</v>
      </c>
    </row>
    <row r="765" spans="2:12" x14ac:dyDescent="0.3">
      <c r="B765" s="28" t="str">
        <f t="shared" ca="1" si="37"/>
        <v/>
      </c>
      <c r="C765" s="29" t="str">
        <f t="shared" ca="1" si="38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6"/>
        <v>0</v>
      </c>
    </row>
    <row r="766" spans="2:12" x14ac:dyDescent="0.3">
      <c r="B766" s="28" t="str">
        <f t="shared" ca="1" si="37"/>
        <v/>
      </c>
      <c r="C766" s="29" t="str">
        <f t="shared" ca="1" si="38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6"/>
        <v>0</v>
      </c>
    </row>
    <row r="767" spans="2:12" x14ac:dyDescent="0.3">
      <c r="B767" s="28" t="str">
        <f t="shared" ca="1" si="37"/>
        <v/>
      </c>
      <c r="C767" s="29" t="str">
        <f t="shared" ca="1" si="38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6"/>
        <v>0</v>
      </c>
    </row>
    <row r="768" spans="2:12" x14ac:dyDescent="0.3">
      <c r="B768" s="28" t="str">
        <f t="shared" ca="1" si="37"/>
        <v/>
      </c>
      <c r="C768" s="29" t="str">
        <f t="shared" ca="1" si="38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6"/>
        <v>0</v>
      </c>
    </row>
    <row r="769" spans="2:12" x14ac:dyDescent="0.3">
      <c r="B769" s="28" t="str">
        <f t="shared" ca="1" si="37"/>
        <v/>
      </c>
      <c r="C769" s="29" t="str">
        <f t="shared" ca="1" si="38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6"/>
        <v>0</v>
      </c>
    </row>
    <row r="770" spans="2:12" x14ac:dyDescent="0.3">
      <c r="B770" s="28" t="str">
        <f t="shared" ca="1" si="37"/>
        <v/>
      </c>
      <c r="C770" s="29" t="str">
        <f t="shared" ca="1" si="38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6"/>
        <v>0</v>
      </c>
    </row>
    <row r="771" spans="2:12" x14ac:dyDescent="0.3">
      <c r="B771" s="28" t="str">
        <f t="shared" ca="1" si="37"/>
        <v/>
      </c>
      <c r="C771" s="29" t="str">
        <f t="shared" ca="1" si="38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6"/>
        <v>0</v>
      </c>
    </row>
    <row r="772" spans="2:12" x14ac:dyDescent="0.3">
      <c r="B772" s="28" t="str">
        <f t="shared" ca="1" si="37"/>
        <v/>
      </c>
      <c r="C772" s="29" t="str">
        <f t="shared" ca="1" si="38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6"/>
        <v>0</v>
      </c>
    </row>
    <row r="773" spans="2:12" x14ac:dyDescent="0.3">
      <c r="B773" s="28" t="str">
        <f t="shared" ca="1" si="37"/>
        <v/>
      </c>
      <c r="C773" s="29" t="str">
        <f t="shared" ca="1" si="38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6"/>
        <v>0</v>
      </c>
    </row>
    <row r="774" spans="2:12" x14ac:dyDescent="0.3">
      <c r="B774" s="28" t="str">
        <f t="shared" ca="1" si="37"/>
        <v/>
      </c>
      <c r="C774" s="29" t="str">
        <f t="shared" ca="1" si="38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6"/>
        <v>0</v>
      </c>
    </row>
    <row r="775" spans="2:12" x14ac:dyDescent="0.3">
      <c r="B775" s="28" t="str">
        <f t="shared" ca="1" si="37"/>
        <v/>
      </c>
      <c r="C775" s="29" t="str">
        <f t="shared" ca="1" si="38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6"/>
        <v>0</v>
      </c>
    </row>
    <row r="776" spans="2:12" x14ac:dyDescent="0.3">
      <c r="B776" s="28" t="str">
        <f t="shared" ca="1" si="37"/>
        <v/>
      </c>
      <c r="C776" s="29" t="str">
        <f t="shared" ca="1" si="38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6"/>
        <v>0</v>
      </c>
    </row>
    <row r="777" spans="2:12" x14ac:dyDescent="0.3">
      <c r="B777" s="28" t="str">
        <f t="shared" ca="1" si="37"/>
        <v/>
      </c>
      <c r="C777" s="29" t="str">
        <f t="shared" ca="1" si="38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6"/>
        <v>0</v>
      </c>
    </row>
    <row r="778" spans="2:12" x14ac:dyDescent="0.3">
      <c r="B778" s="28" t="str">
        <f t="shared" ca="1" si="37"/>
        <v/>
      </c>
      <c r="C778" s="29" t="str">
        <f t="shared" ca="1" si="38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6"/>
        <v>0</v>
      </c>
    </row>
    <row r="779" spans="2:12" x14ac:dyDescent="0.3">
      <c r="B779" s="28" t="str">
        <f t="shared" ca="1" si="37"/>
        <v/>
      </c>
      <c r="C779" s="29" t="str">
        <f t="shared" ca="1" si="38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ref="L826:L889" si="39">J826-I826-K826</f>
        <v>0</v>
      </c>
    </row>
    <row r="827" spans="2:12" x14ac:dyDescent="0.3">
      <c r="B827" s="28" t="str">
        <f t="shared" ref="B827:B890" ca="1" si="40">IF(D827&lt;&gt;"",DATE(Jahr,_xlfn.SHEET()-2,D827),"")</f>
        <v/>
      </c>
      <c r="C827" s="29" t="str">
        <f t="shared" ref="C827:C890" ca="1" si="41">B827</f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9"/>
        <v>0</v>
      </c>
    </row>
    <row r="828" spans="2:12" x14ac:dyDescent="0.3">
      <c r="B828" s="28" t="str">
        <f t="shared" ca="1" si="40"/>
        <v/>
      </c>
      <c r="C828" s="29" t="str">
        <f t="shared" ca="1" si="41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9"/>
        <v>0</v>
      </c>
    </row>
    <row r="829" spans="2:12" x14ac:dyDescent="0.3">
      <c r="B829" s="28" t="str">
        <f t="shared" ca="1" si="40"/>
        <v/>
      </c>
      <c r="C829" s="29" t="str">
        <f t="shared" ca="1" si="41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9"/>
        <v>0</v>
      </c>
    </row>
    <row r="830" spans="2:12" x14ac:dyDescent="0.3">
      <c r="B830" s="28" t="str">
        <f t="shared" ca="1" si="40"/>
        <v/>
      </c>
      <c r="C830" s="29" t="str">
        <f t="shared" ca="1" si="41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9"/>
        <v>0</v>
      </c>
    </row>
    <row r="831" spans="2:12" x14ac:dyDescent="0.3">
      <c r="B831" s="28" t="str">
        <f t="shared" ca="1" si="40"/>
        <v/>
      </c>
      <c r="C831" s="29" t="str">
        <f t="shared" ca="1" si="41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9"/>
        <v>0</v>
      </c>
    </row>
    <row r="832" spans="2:12" x14ac:dyDescent="0.3">
      <c r="B832" s="28" t="str">
        <f t="shared" ca="1" si="40"/>
        <v/>
      </c>
      <c r="C832" s="29" t="str">
        <f t="shared" ca="1" si="41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9"/>
        <v>0</v>
      </c>
    </row>
    <row r="833" spans="2:12" x14ac:dyDescent="0.3">
      <c r="B833" s="28" t="str">
        <f t="shared" ca="1" si="40"/>
        <v/>
      </c>
      <c r="C833" s="29" t="str">
        <f t="shared" ca="1" si="41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9"/>
        <v>0</v>
      </c>
    </row>
    <row r="834" spans="2:12" x14ac:dyDescent="0.3">
      <c r="B834" s="28" t="str">
        <f t="shared" ca="1" si="40"/>
        <v/>
      </c>
      <c r="C834" s="29" t="str">
        <f t="shared" ca="1" si="41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9"/>
        <v>0</v>
      </c>
    </row>
    <row r="835" spans="2:12" x14ac:dyDescent="0.3">
      <c r="B835" s="28" t="str">
        <f t="shared" ca="1" si="40"/>
        <v/>
      </c>
      <c r="C835" s="29" t="str">
        <f t="shared" ca="1" si="41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9"/>
        <v>0</v>
      </c>
    </row>
    <row r="836" spans="2:12" x14ac:dyDescent="0.3">
      <c r="B836" s="28" t="str">
        <f t="shared" ca="1" si="40"/>
        <v/>
      </c>
      <c r="C836" s="29" t="str">
        <f t="shared" ca="1" si="41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9"/>
        <v>0</v>
      </c>
    </row>
    <row r="837" spans="2:12" x14ac:dyDescent="0.3">
      <c r="B837" s="28" t="str">
        <f t="shared" ca="1" si="40"/>
        <v/>
      </c>
      <c r="C837" s="29" t="str">
        <f t="shared" ca="1" si="41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9"/>
        <v>0</v>
      </c>
    </row>
    <row r="838" spans="2:12" x14ac:dyDescent="0.3">
      <c r="B838" s="28" t="str">
        <f t="shared" ca="1" si="40"/>
        <v/>
      </c>
      <c r="C838" s="29" t="str">
        <f t="shared" ca="1" si="41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9"/>
        <v>0</v>
      </c>
    </row>
    <row r="839" spans="2:12" x14ac:dyDescent="0.3">
      <c r="B839" s="28" t="str">
        <f t="shared" ca="1" si="40"/>
        <v/>
      </c>
      <c r="C839" s="29" t="str">
        <f t="shared" ca="1" si="41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9"/>
        <v>0</v>
      </c>
    </row>
    <row r="840" spans="2:12" x14ac:dyDescent="0.3">
      <c r="B840" s="28" t="str">
        <f t="shared" ca="1" si="40"/>
        <v/>
      </c>
      <c r="C840" s="29" t="str">
        <f t="shared" ca="1" si="41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9"/>
        <v>0</v>
      </c>
    </row>
    <row r="841" spans="2:12" x14ac:dyDescent="0.3">
      <c r="B841" s="28" t="str">
        <f t="shared" ca="1" si="40"/>
        <v/>
      </c>
      <c r="C841" s="29" t="str">
        <f t="shared" ca="1" si="41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9"/>
        <v>0</v>
      </c>
    </row>
    <row r="842" spans="2:12" x14ac:dyDescent="0.3">
      <c r="B842" s="28" t="str">
        <f t="shared" ca="1" si="40"/>
        <v/>
      </c>
      <c r="C842" s="29" t="str">
        <f t="shared" ca="1" si="41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39"/>
        <v>0</v>
      </c>
    </row>
    <row r="843" spans="2:12" x14ac:dyDescent="0.3">
      <c r="B843" s="28" t="str">
        <f t="shared" ca="1" si="40"/>
        <v/>
      </c>
      <c r="C843" s="29" t="str">
        <f t="shared" ca="1" si="41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ref="L890:L953" si="42">J890-I890-K890</f>
        <v>0</v>
      </c>
    </row>
    <row r="891" spans="2:12" x14ac:dyDescent="0.3">
      <c r="B891" s="28" t="str">
        <f t="shared" ref="B891:B954" ca="1" si="43">IF(D891&lt;&gt;"",DATE(Jahr,_xlfn.SHEET()-2,D891),"")</f>
        <v/>
      </c>
      <c r="C891" s="29" t="str">
        <f t="shared" ref="C891:C954" ca="1" si="44">B891</f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42"/>
        <v>0</v>
      </c>
    </row>
    <row r="892" spans="2:12" x14ac:dyDescent="0.3">
      <c r="B892" s="28" t="str">
        <f t="shared" ca="1" si="43"/>
        <v/>
      </c>
      <c r="C892" s="29" t="str">
        <f t="shared" ca="1" si="44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42"/>
        <v>0</v>
      </c>
    </row>
    <row r="893" spans="2:12" x14ac:dyDescent="0.3">
      <c r="B893" s="28" t="str">
        <f t="shared" ca="1" si="43"/>
        <v/>
      </c>
      <c r="C893" s="29" t="str">
        <f t="shared" ca="1" si="44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42"/>
        <v>0</v>
      </c>
    </row>
    <row r="894" spans="2:12" x14ac:dyDescent="0.3">
      <c r="B894" s="28" t="str">
        <f t="shared" ca="1" si="43"/>
        <v/>
      </c>
      <c r="C894" s="29" t="str">
        <f t="shared" ca="1" si="44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42"/>
        <v>0</v>
      </c>
    </row>
    <row r="895" spans="2:12" x14ac:dyDescent="0.3">
      <c r="B895" s="28" t="str">
        <f t="shared" ca="1" si="43"/>
        <v/>
      </c>
      <c r="C895" s="29" t="str">
        <f t="shared" ca="1" si="44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42"/>
        <v>0</v>
      </c>
    </row>
    <row r="896" spans="2:12" x14ac:dyDescent="0.3">
      <c r="B896" s="28" t="str">
        <f t="shared" ca="1" si="43"/>
        <v/>
      </c>
      <c r="C896" s="29" t="str">
        <f t="shared" ca="1" si="44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42"/>
        <v>0</v>
      </c>
    </row>
    <row r="897" spans="2:12" x14ac:dyDescent="0.3">
      <c r="B897" s="28" t="str">
        <f t="shared" ca="1" si="43"/>
        <v/>
      </c>
      <c r="C897" s="29" t="str">
        <f t="shared" ca="1" si="44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42"/>
        <v>0</v>
      </c>
    </row>
    <row r="898" spans="2:12" x14ac:dyDescent="0.3">
      <c r="B898" s="28" t="str">
        <f t="shared" ca="1" si="43"/>
        <v/>
      </c>
      <c r="C898" s="29" t="str">
        <f t="shared" ca="1" si="44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42"/>
        <v>0</v>
      </c>
    </row>
    <row r="899" spans="2:12" x14ac:dyDescent="0.3">
      <c r="B899" s="28" t="str">
        <f t="shared" ca="1" si="43"/>
        <v/>
      </c>
      <c r="C899" s="29" t="str">
        <f t="shared" ca="1" si="44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42"/>
        <v>0</v>
      </c>
    </row>
    <row r="900" spans="2:12" x14ac:dyDescent="0.3">
      <c r="B900" s="28" t="str">
        <f t="shared" ca="1" si="43"/>
        <v/>
      </c>
      <c r="C900" s="29" t="str">
        <f t="shared" ca="1" si="44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42"/>
        <v>0</v>
      </c>
    </row>
    <row r="901" spans="2:12" x14ac:dyDescent="0.3">
      <c r="B901" s="28" t="str">
        <f t="shared" ca="1" si="43"/>
        <v/>
      </c>
      <c r="C901" s="29" t="str">
        <f t="shared" ca="1" si="44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42"/>
        <v>0</v>
      </c>
    </row>
    <row r="902" spans="2:12" x14ac:dyDescent="0.3">
      <c r="B902" s="28" t="str">
        <f t="shared" ca="1" si="43"/>
        <v/>
      </c>
      <c r="C902" s="29" t="str">
        <f t="shared" ca="1" si="44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42"/>
        <v>0</v>
      </c>
    </row>
    <row r="903" spans="2:12" x14ac:dyDescent="0.3">
      <c r="B903" s="28" t="str">
        <f t="shared" ca="1" si="43"/>
        <v/>
      </c>
      <c r="C903" s="29" t="str">
        <f t="shared" ca="1" si="44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42"/>
        <v>0</v>
      </c>
    </row>
    <row r="904" spans="2:12" x14ac:dyDescent="0.3">
      <c r="B904" s="28" t="str">
        <f t="shared" ca="1" si="43"/>
        <v/>
      </c>
      <c r="C904" s="29" t="str">
        <f t="shared" ca="1" si="44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42"/>
        <v>0</v>
      </c>
    </row>
    <row r="905" spans="2:12" x14ac:dyDescent="0.3">
      <c r="B905" s="28" t="str">
        <f t="shared" ca="1" si="43"/>
        <v/>
      </c>
      <c r="C905" s="29" t="str">
        <f t="shared" ca="1" si="44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42"/>
        <v>0</v>
      </c>
    </row>
    <row r="906" spans="2:12" x14ac:dyDescent="0.3">
      <c r="B906" s="28" t="str">
        <f t="shared" ca="1" si="43"/>
        <v/>
      </c>
      <c r="C906" s="29" t="str">
        <f t="shared" ca="1" si="44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42"/>
        <v>0</v>
      </c>
    </row>
    <row r="907" spans="2:12" x14ac:dyDescent="0.3">
      <c r="B907" s="28" t="str">
        <f t="shared" ca="1" si="43"/>
        <v/>
      </c>
      <c r="C907" s="29" t="str">
        <f t="shared" ca="1" si="44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ref="L954:L983" si="45">J954-I954-K954</f>
        <v>0</v>
      </c>
    </row>
    <row r="955" spans="2:12" x14ac:dyDescent="0.3">
      <c r="B955" s="28" t="str">
        <f t="shared" ref="B955:B983" ca="1" si="46">IF(D955&lt;&gt;"",DATE(Jahr,_xlfn.SHEET()-2,D955),"")</f>
        <v/>
      </c>
      <c r="C955" s="29" t="str">
        <f t="shared" ref="C955:C983" ca="1" si="47">B955</f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5"/>
        <v>0</v>
      </c>
    </row>
    <row r="956" spans="2:12" x14ac:dyDescent="0.3">
      <c r="B956" s="28" t="str">
        <f t="shared" ca="1" si="46"/>
        <v/>
      </c>
      <c r="C956" s="29" t="str">
        <f t="shared" ca="1" si="47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5"/>
        <v>0</v>
      </c>
    </row>
    <row r="957" spans="2:12" x14ac:dyDescent="0.3">
      <c r="B957" s="28" t="str">
        <f t="shared" ca="1" si="46"/>
        <v/>
      </c>
      <c r="C957" s="29" t="str">
        <f t="shared" ca="1" si="47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5"/>
        <v>0</v>
      </c>
    </row>
    <row r="958" spans="2:12" x14ac:dyDescent="0.3">
      <c r="B958" s="28" t="str">
        <f t="shared" ca="1" si="46"/>
        <v/>
      </c>
      <c r="C958" s="29" t="str">
        <f t="shared" ca="1" si="47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5"/>
        <v>0</v>
      </c>
    </row>
    <row r="959" spans="2:12" x14ac:dyDescent="0.3">
      <c r="B959" s="28" t="str">
        <f t="shared" ca="1" si="46"/>
        <v/>
      </c>
      <c r="C959" s="29" t="str">
        <f t="shared" ca="1" si="47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5"/>
        <v>0</v>
      </c>
    </row>
    <row r="960" spans="2:12" x14ac:dyDescent="0.3">
      <c r="B960" s="28" t="str">
        <f t="shared" ca="1" si="46"/>
        <v/>
      </c>
      <c r="C960" s="29" t="str">
        <f t="shared" ca="1" si="47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5"/>
        <v>0</v>
      </c>
    </row>
    <row r="961" spans="2:12" x14ac:dyDescent="0.3">
      <c r="B961" s="28" t="str">
        <f t="shared" ca="1" si="46"/>
        <v/>
      </c>
      <c r="C961" s="29" t="str">
        <f t="shared" ca="1" si="47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5"/>
        <v>0</v>
      </c>
    </row>
    <row r="962" spans="2:12" x14ac:dyDescent="0.3">
      <c r="B962" s="28" t="str">
        <f t="shared" ca="1" si="46"/>
        <v/>
      </c>
      <c r="C962" s="29" t="str">
        <f t="shared" ca="1" si="47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5"/>
        <v>0</v>
      </c>
    </row>
    <row r="963" spans="2:12" x14ac:dyDescent="0.3">
      <c r="B963" s="28" t="str">
        <f t="shared" ca="1" si="46"/>
        <v/>
      </c>
      <c r="C963" s="29" t="str">
        <f t="shared" ca="1" si="47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5"/>
        <v>0</v>
      </c>
    </row>
    <row r="964" spans="2:12" x14ac:dyDescent="0.3">
      <c r="B964" s="28" t="str">
        <f t="shared" ca="1" si="46"/>
        <v/>
      </c>
      <c r="C964" s="29" t="str">
        <f t="shared" ca="1" si="47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5"/>
        <v>0</v>
      </c>
    </row>
    <row r="965" spans="2:12" x14ac:dyDescent="0.3">
      <c r="B965" s="28" t="str">
        <f t="shared" ca="1" si="46"/>
        <v/>
      </c>
      <c r="C965" s="29" t="str">
        <f t="shared" ca="1" si="47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5"/>
        <v>0</v>
      </c>
    </row>
    <row r="966" spans="2:12" x14ac:dyDescent="0.3">
      <c r="B966" s="28" t="str">
        <f t="shared" ca="1" si="46"/>
        <v/>
      </c>
      <c r="C966" s="29" t="str">
        <f t="shared" ca="1" si="47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5"/>
        <v>0</v>
      </c>
    </row>
    <row r="967" spans="2:12" x14ac:dyDescent="0.3">
      <c r="B967" s="28" t="str">
        <f t="shared" ca="1" si="46"/>
        <v/>
      </c>
      <c r="C967" s="29" t="str">
        <f t="shared" ca="1" si="47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5"/>
        <v>0</v>
      </c>
    </row>
    <row r="968" spans="2:12" x14ac:dyDescent="0.3">
      <c r="B968" s="28" t="str">
        <f t="shared" ca="1" si="46"/>
        <v/>
      </c>
      <c r="C968" s="29" t="str">
        <f t="shared" ca="1" si="47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5"/>
        <v>0</v>
      </c>
    </row>
    <row r="969" spans="2:12" x14ac:dyDescent="0.3">
      <c r="B969" s="28" t="str">
        <f t="shared" ca="1" si="46"/>
        <v/>
      </c>
      <c r="C969" s="29" t="str">
        <f t="shared" ca="1" si="47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5"/>
        <v>0</v>
      </c>
    </row>
    <row r="970" spans="2:12" x14ac:dyDescent="0.3">
      <c r="B970" s="28" t="str">
        <f t="shared" ca="1" si="46"/>
        <v/>
      </c>
      <c r="C970" s="29" t="str">
        <f t="shared" ca="1" si="47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si="45"/>
        <v>0</v>
      </c>
    </row>
    <row r="971" spans="2:12" x14ac:dyDescent="0.3">
      <c r="B971" s="28" t="str">
        <f t="shared" ca="1" si="46"/>
        <v/>
      </c>
      <c r="C971" s="29" t="str">
        <f t="shared" ca="1" si="47"/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5"/>
        <v>0</v>
      </c>
    </row>
    <row r="972" spans="2:12" x14ac:dyDescent="0.3">
      <c r="B972" s="28" t="str">
        <f t="shared" ca="1" si="46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5"/>
        <v>0</v>
      </c>
    </row>
    <row r="973" spans="2:12" x14ac:dyDescent="0.3">
      <c r="B973" s="28" t="str">
        <f t="shared" ca="1" si="46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5"/>
        <v>0</v>
      </c>
    </row>
    <row r="974" spans="2:12" x14ac:dyDescent="0.3">
      <c r="B974" s="28" t="str">
        <f t="shared" ca="1" si="46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5"/>
        <v>0</v>
      </c>
    </row>
    <row r="975" spans="2:12" x14ac:dyDescent="0.3">
      <c r="B975" s="28" t="str">
        <f t="shared" ca="1" si="46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5"/>
        <v>0</v>
      </c>
    </row>
    <row r="976" spans="2:12" x14ac:dyDescent="0.3">
      <c r="B976" s="28" t="str">
        <f t="shared" ca="1" si="46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5"/>
        <v>0</v>
      </c>
    </row>
    <row r="977" spans="2:12" x14ac:dyDescent="0.3">
      <c r="B977" s="28" t="str">
        <f t="shared" ca="1" si="46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3" spans="2:12" x14ac:dyDescent="0.3">
      <c r="B983" s="28" t="str">
        <f t="shared" ca="1" si="46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L984" s="109"/>
    </row>
  </sheetData>
  <autoFilter ref="B8:L983" xr:uid="{00000000-0009-0000-0000-000007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83">
    <cfRule type="expression" dxfId="45" priority="1">
      <formula>AND($D9&lt;&gt;"",NOT(ISNUMBER($D9)))</formula>
    </cfRule>
    <cfRule type="expression" dxfId="44" priority="2">
      <formula>OR($D9&lt;=0,DAY(DATE(YEAR($C9),MONTH($C9)+1,1)-1) &lt;$D9)</formula>
    </cfRule>
    <cfRule type="expression" dxfId="42" priority="4">
      <formula>AND($D9&lt;&gt;"",WEEKDAY($B9,2)=6)</formula>
    </cfRule>
    <cfRule type="expression" dxfId="41" priority="5">
      <formula>AND($D9&lt;&gt;"",WEEKDAY($B9,2)=7)</formula>
    </cfRule>
    <cfRule type="expression" dxfId="40" priority="6">
      <formula>AND($D9&lt;&gt;"",WEEKDAY($B9,2)&lt;6)</formula>
    </cfRule>
  </conditionalFormatting>
  <dataValidations count="2">
    <dataValidation type="list" allowBlank="1" showInputMessage="1" showErrorMessage="1" sqref="G41:G63 G9:G39 G65:G983" xr:uid="{B8689873-7664-44A7-A1D4-49A4002B3FC1}">
      <formula1>Arbeitspakete</formula1>
    </dataValidation>
    <dataValidation type="list" allowBlank="1" showInputMessage="1" showErrorMessage="1" sqref="F41:F42 F65:F82 F9:F39 F44:F50 E42 F52:F63 F84:F983" xr:uid="{E1F20C9C-B09B-42BA-AA80-9B45F26DF6C8}">
      <formula1>Projektnamen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9BB5E764-F785-4BDB-9FD1-5A651E1609F9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B9:B983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T1009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3" sqref="D3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151.99999999999997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SUM(L9:L1005)*24</f>
        <v>17</v>
      </c>
    </row>
    <row r="5" spans="2:12" x14ac:dyDescent="0.3">
      <c r="B5" t="s">
        <v>67</v>
      </c>
      <c r="D5" t="s">
        <v>129</v>
      </c>
      <c r="G5" s="121"/>
      <c r="H5" s="121"/>
      <c r="I5" s="119" t="s">
        <v>70</v>
      </c>
      <c r="J5" s="119"/>
      <c r="K5" s="119"/>
      <c r="L5" s="9">
        <f ca="1">L4-L3</f>
        <v>-134.99999999999997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-134.99999999999997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>
        <f ca="1">IF(D9&lt;&gt;"",DATE(Jahr,_xlfn.SHEET()-2,D9),"")</f>
        <v>45845</v>
      </c>
      <c r="C9" s="29">
        <f ca="1">B9</f>
        <v>45845</v>
      </c>
      <c r="D9" s="57">
        <v>7</v>
      </c>
      <c r="E9" s="57" t="s">
        <v>122</v>
      </c>
      <c r="F9" s="57" t="s">
        <v>125</v>
      </c>
      <c r="G9" s="58" t="s">
        <v>124</v>
      </c>
      <c r="H9" s="58" t="s">
        <v>127</v>
      </c>
      <c r="I9" s="59">
        <v>0.375</v>
      </c>
      <c r="J9" s="59">
        <v>0.75</v>
      </c>
      <c r="K9" s="59">
        <v>4.1666666666666664E-2</v>
      </c>
      <c r="L9" s="5">
        <f t="shared" ref="L9:L77" si="0">J9-I9-K9</f>
        <v>0.33333333333333331</v>
      </c>
    </row>
    <row r="10" spans="2:12" x14ac:dyDescent="0.3">
      <c r="B10" s="28">
        <f t="shared" ref="B10:B77" ca="1" si="1">IF(D10&lt;&gt;"",DATE(Jahr,_xlfn.SHEET()-2,D10),"")</f>
        <v>45845</v>
      </c>
      <c r="C10" s="29">
        <f t="shared" ref="C10:C77" ca="1" si="2">B10</f>
        <v>45845</v>
      </c>
      <c r="D10" s="57">
        <v>7</v>
      </c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>
        <f ca="1">IF(D11&lt;&gt;"",DATE(Jahr,_xlfn.SHEET()-2,D11),"")</f>
        <v>45846</v>
      </c>
      <c r="C11" s="29">
        <f ca="1">B11</f>
        <v>45846</v>
      </c>
      <c r="D11" s="57">
        <v>8</v>
      </c>
      <c r="E11" s="57" t="s">
        <v>122</v>
      </c>
      <c r="F11" s="57" t="s">
        <v>125</v>
      </c>
      <c r="G11" s="58" t="s">
        <v>124</v>
      </c>
      <c r="H11" s="58" t="s">
        <v>128</v>
      </c>
      <c r="I11" s="59">
        <v>0.375</v>
      </c>
      <c r="J11" s="59">
        <v>0.75</v>
      </c>
      <c r="K11" s="59"/>
      <c r="L11" s="5">
        <f t="shared" si="0"/>
        <v>0.375</v>
      </c>
    </row>
    <row r="12" spans="2:12" x14ac:dyDescent="0.3">
      <c r="B12" s="28">
        <f t="shared" ca="1" si="1"/>
        <v>45846</v>
      </c>
      <c r="C12" s="29">
        <f t="shared" ca="1" si="2"/>
        <v>45846</v>
      </c>
      <c r="D12" s="57">
        <v>8</v>
      </c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>
        <f t="shared" ca="1" si="1"/>
        <v>45847</v>
      </c>
      <c r="C13" s="29">
        <f t="shared" ca="1" si="2"/>
        <v>45847</v>
      </c>
      <c r="D13" s="57">
        <v>9</v>
      </c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>
        <f t="shared" ca="1" si="1"/>
        <v>45847</v>
      </c>
      <c r="C14" s="29">
        <f t="shared" ca="1" si="2"/>
        <v>45847</v>
      </c>
      <c r="D14" s="57">
        <v>9</v>
      </c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>
        <f t="shared" ca="1" si="1"/>
        <v>45848</v>
      </c>
      <c r="C15" s="29">
        <f t="shared" ca="1" si="2"/>
        <v>45848</v>
      </c>
      <c r="D15" s="57">
        <v>10</v>
      </c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>
        <f t="shared" ca="1" si="1"/>
        <v>45848</v>
      </c>
      <c r="C16" s="29">
        <f t="shared" ca="1" si="2"/>
        <v>45848</v>
      </c>
      <c r="D16" s="57">
        <v>10</v>
      </c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12" x14ac:dyDescent="0.3">
      <c r="B17" s="28">
        <f t="shared" ca="1" si="1"/>
        <v>45849</v>
      </c>
      <c r="C17" s="29">
        <f t="shared" ca="1" si="2"/>
        <v>45849</v>
      </c>
      <c r="D17" s="57">
        <v>11</v>
      </c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12" x14ac:dyDescent="0.3">
      <c r="B18" s="28">
        <f t="shared" ca="1" si="1"/>
        <v>45849</v>
      </c>
      <c r="C18" s="29">
        <f t="shared" ca="1" si="2"/>
        <v>45849</v>
      </c>
      <c r="D18" s="57">
        <v>11</v>
      </c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12" x14ac:dyDescent="0.3">
      <c r="B19" s="28">
        <f t="shared" ca="1" si="1"/>
        <v>45852</v>
      </c>
      <c r="C19" s="29">
        <f t="shared" ca="1" si="2"/>
        <v>45852</v>
      </c>
      <c r="D19" s="57">
        <v>14</v>
      </c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12" x14ac:dyDescent="0.3">
      <c r="B20" s="28">
        <f t="shared" ca="1" si="1"/>
        <v>45852</v>
      </c>
      <c r="C20" s="29">
        <f t="shared" ca="1" si="2"/>
        <v>45852</v>
      </c>
      <c r="D20" s="57">
        <v>14</v>
      </c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12" x14ac:dyDescent="0.3">
      <c r="B21" s="28">
        <f t="shared" ca="1" si="1"/>
        <v>45853</v>
      </c>
      <c r="C21" s="29">
        <f t="shared" ca="1" si="2"/>
        <v>45853</v>
      </c>
      <c r="D21" s="57">
        <v>15</v>
      </c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12" x14ac:dyDescent="0.3">
      <c r="B22" s="28">
        <f t="shared" ca="1" si="1"/>
        <v>45853</v>
      </c>
      <c r="C22" s="29">
        <f t="shared" ca="1" si="2"/>
        <v>45853</v>
      </c>
      <c r="D22" s="57">
        <v>15</v>
      </c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12" x14ac:dyDescent="0.3">
      <c r="B23" s="28">
        <f t="shared" ca="1" si="1"/>
        <v>45854</v>
      </c>
      <c r="C23" s="29">
        <f t="shared" ca="1" si="2"/>
        <v>45854</v>
      </c>
      <c r="D23" s="57">
        <v>16</v>
      </c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12" x14ac:dyDescent="0.3">
      <c r="B24" s="28">
        <f t="shared" ca="1" si="1"/>
        <v>45854</v>
      </c>
      <c r="C24" s="29">
        <f t="shared" ca="1" si="2"/>
        <v>45854</v>
      </c>
      <c r="D24" s="57">
        <v>16</v>
      </c>
      <c r="E24" s="57"/>
      <c r="F24" s="57"/>
      <c r="G24" s="58"/>
      <c r="H24" s="58"/>
      <c r="I24" s="59"/>
      <c r="J24" s="59"/>
      <c r="K24" s="59"/>
      <c r="L24" s="5">
        <f t="shared" si="0"/>
        <v>0</v>
      </c>
    </row>
    <row r="25" spans="2:12" x14ac:dyDescent="0.3">
      <c r="B25" s="28">
        <f t="shared" ca="1" si="1"/>
        <v>45855</v>
      </c>
      <c r="C25" s="29">
        <f t="shared" ca="1" si="2"/>
        <v>45855</v>
      </c>
      <c r="D25" s="57">
        <v>17</v>
      </c>
      <c r="E25" s="57"/>
      <c r="F25" s="57"/>
      <c r="G25" s="58"/>
      <c r="H25" s="58"/>
      <c r="I25" s="59"/>
      <c r="J25" s="59"/>
      <c r="K25" s="59"/>
      <c r="L25" s="5">
        <f t="shared" si="0"/>
        <v>0</v>
      </c>
    </row>
    <row r="26" spans="2:12" x14ac:dyDescent="0.3">
      <c r="B26" s="28">
        <f t="shared" ca="1" si="1"/>
        <v>45855</v>
      </c>
      <c r="C26" s="29">
        <f t="shared" ca="1" si="2"/>
        <v>45855</v>
      </c>
      <c r="D26" s="57">
        <v>17</v>
      </c>
      <c r="E26" s="57"/>
      <c r="F26" s="57"/>
      <c r="G26" s="58"/>
      <c r="H26" s="58"/>
      <c r="I26" s="59"/>
      <c r="J26" s="59"/>
      <c r="K26" s="59"/>
      <c r="L26" s="5">
        <f t="shared" si="0"/>
        <v>0</v>
      </c>
    </row>
    <row r="27" spans="2:12" x14ac:dyDescent="0.3">
      <c r="B27" s="28">
        <f t="shared" ca="1" si="1"/>
        <v>45856</v>
      </c>
      <c r="C27" s="29">
        <f t="shared" ca="1" si="2"/>
        <v>45856</v>
      </c>
      <c r="D27" s="57">
        <v>18</v>
      </c>
      <c r="E27" s="57"/>
      <c r="F27" s="57"/>
      <c r="G27" s="58"/>
      <c r="H27" s="58"/>
      <c r="I27" s="59"/>
      <c r="J27" s="59"/>
      <c r="K27" s="59"/>
      <c r="L27" s="5">
        <f t="shared" si="0"/>
        <v>0</v>
      </c>
    </row>
    <row r="28" spans="2:12" x14ac:dyDescent="0.3">
      <c r="B28" s="28">
        <f t="shared" ca="1" si="1"/>
        <v>45856</v>
      </c>
      <c r="C28" s="29">
        <f t="shared" ca="1" si="2"/>
        <v>45856</v>
      </c>
      <c r="D28" s="57">
        <v>18</v>
      </c>
      <c r="E28" s="57"/>
      <c r="F28" s="57"/>
      <c r="G28" s="58"/>
      <c r="H28" s="58"/>
      <c r="I28" s="59"/>
      <c r="J28" s="59"/>
      <c r="K28" s="59"/>
      <c r="L28" s="5">
        <f t="shared" si="0"/>
        <v>0</v>
      </c>
    </row>
    <row r="29" spans="2:12" x14ac:dyDescent="0.3">
      <c r="B29" s="28">
        <f t="shared" ca="1" si="1"/>
        <v>45859</v>
      </c>
      <c r="C29" s="29">
        <f t="shared" ca="1" si="2"/>
        <v>45859</v>
      </c>
      <c r="D29" s="57">
        <v>21</v>
      </c>
      <c r="E29" s="57"/>
      <c r="F29" s="57"/>
      <c r="G29" s="58"/>
      <c r="H29" s="58"/>
      <c r="I29" s="59"/>
      <c r="J29" s="59"/>
      <c r="K29" s="59"/>
      <c r="L29" s="5">
        <f t="shared" si="0"/>
        <v>0</v>
      </c>
    </row>
    <row r="30" spans="2:12" x14ac:dyDescent="0.3">
      <c r="B30" s="28">
        <f t="shared" ca="1" si="1"/>
        <v>45859</v>
      </c>
      <c r="C30" s="29">
        <f t="shared" ca="1" si="2"/>
        <v>45859</v>
      </c>
      <c r="D30" s="57">
        <v>21</v>
      </c>
      <c r="E30" s="57"/>
      <c r="F30" s="57"/>
      <c r="G30" s="58"/>
      <c r="H30" s="58"/>
      <c r="I30" s="59"/>
      <c r="J30" s="59"/>
      <c r="K30" s="59"/>
      <c r="L30" s="5">
        <f t="shared" si="0"/>
        <v>0</v>
      </c>
    </row>
    <row r="31" spans="2:12" x14ac:dyDescent="0.3">
      <c r="B31" s="28">
        <f t="shared" ca="1" si="1"/>
        <v>45860</v>
      </c>
      <c r="C31" s="29">
        <f t="shared" ca="1" si="2"/>
        <v>45860</v>
      </c>
      <c r="D31" s="57">
        <v>22</v>
      </c>
      <c r="E31" s="57"/>
      <c r="F31" s="57"/>
      <c r="G31" s="58"/>
      <c r="H31" s="58"/>
      <c r="I31" s="59"/>
      <c r="J31" s="59"/>
      <c r="K31" s="59"/>
      <c r="L31" s="5">
        <f t="shared" si="0"/>
        <v>0</v>
      </c>
    </row>
    <row r="32" spans="2:12" x14ac:dyDescent="0.3">
      <c r="B32" s="28">
        <f t="shared" ca="1" si="1"/>
        <v>45860</v>
      </c>
      <c r="C32" s="29">
        <f t="shared" ca="1" si="2"/>
        <v>45860</v>
      </c>
      <c r="D32" s="57">
        <v>22</v>
      </c>
      <c r="E32" s="57"/>
      <c r="F32" s="57"/>
      <c r="G32" s="58"/>
      <c r="H32" s="58"/>
      <c r="I32" s="59"/>
      <c r="J32" s="59"/>
      <c r="K32" s="59"/>
      <c r="L32" s="5">
        <f t="shared" si="0"/>
        <v>0</v>
      </c>
    </row>
    <row r="33" spans="2:20" x14ac:dyDescent="0.3">
      <c r="B33" s="28">
        <f t="shared" ca="1" si="1"/>
        <v>45861</v>
      </c>
      <c r="C33" s="29">
        <f t="shared" ca="1" si="2"/>
        <v>45861</v>
      </c>
      <c r="D33" s="57">
        <v>23</v>
      </c>
      <c r="E33" s="57"/>
      <c r="F33" s="57"/>
      <c r="G33" s="58"/>
      <c r="H33" s="58"/>
      <c r="I33" s="59"/>
      <c r="J33" s="59"/>
      <c r="K33" s="59"/>
      <c r="L33" s="5">
        <f t="shared" si="0"/>
        <v>0</v>
      </c>
      <c r="T33" s="88"/>
    </row>
    <row r="34" spans="2:20" x14ac:dyDescent="0.3">
      <c r="B34" s="28">
        <f t="shared" ca="1" si="1"/>
        <v>45861</v>
      </c>
      <c r="C34" s="29">
        <f t="shared" ca="1" si="2"/>
        <v>45861</v>
      </c>
      <c r="D34" s="57">
        <v>23</v>
      </c>
      <c r="E34" s="57"/>
      <c r="F34" s="57"/>
      <c r="G34" s="58"/>
      <c r="H34" s="58"/>
      <c r="I34" s="59"/>
      <c r="J34" s="59"/>
      <c r="K34" s="59"/>
      <c r="L34" s="5">
        <f t="shared" si="0"/>
        <v>0</v>
      </c>
      <c r="T34" s="88"/>
    </row>
    <row r="35" spans="2:20" x14ac:dyDescent="0.3">
      <c r="B35" s="28">
        <f t="shared" ca="1" si="1"/>
        <v>45862</v>
      </c>
      <c r="C35" s="29">
        <f t="shared" ca="1" si="2"/>
        <v>45862</v>
      </c>
      <c r="D35" s="57">
        <v>24</v>
      </c>
      <c r="E35" s="57"/>
      <c r="F35" s="57"/>
      <c r="G35" s="58"/>
      <c r="H35" s="58"/>
      <c r="I35" s="59"/>
      <c r="J35" s="59"/>
      <c r="K35" s="59"/>
      <c r="L35" s="5">
        <f t="shared" si="0"/>
        <v>0</v>
      </c>
      <c r="T35" s="89"/>
    </row>
    <row r="36" spans="2:20" x14ac:dyDescent="0.3">
      <c r="B36" s="28">
        <f t="shared" ca="1" si="1"/>
        <v>45862</v>
      </c>
      <c r="C36" s="29">
        <f t="shared" ca="1" si="2"/>
        <v>45862</v>
      </c>
      <c r="D36" s="57">
        <v>24</v>
      </c>
      <c r="E36" s="57"/>
      <c r="F36" s="57"/>
      <c r="G36" s="58"/>
      <c r="H36" s="58"/>
      <c r="I36" s="59"/>
      <c r="J36" s="59"/>
      <c r="K36" s="59"/>
      <c r="L36" s="5">
        <f t="shared" si="0"/>
        <v>0</v>
      </c>
      <c r="T36" s="89"/>
    </row>
    <row r="37" spans="2:20" x14ac:dyDescent="0.3">
      <c r="B37" s="28">
        <f t="shared" ca="1" si="1"/>
        <v>45863</v>
      </c>
      <c r="C37" s="29">
        <f t="shared" ca="1" si="2"/>
        <v>45863</v>
      </c>
      <c r="D37" s="57">
        <v>25</v>
      </c>
      <c r="E37" s="57"/>
      <c r="F37" s="57"/>
      <c r="G37" s="58"/>
      <c r="H37" s="58"/>
      <c r="I37" s="59"/>
      <c r="J37" s="59"/>
      <c r="K37" s="59"/>
      <c r="L37" s="5">
        <f t="shared" si="0"/>
        <v>0</v>
      </c>
      <c r="T37" s="89"/>
    </row>
    <row r="38" spans="2:20" x14ac:dyDescent="0.3">
      <c r="B38" s="28">
        <f t="shared" ca="1" si="1"/>
        <v>45863</v>
      </c>
      <c r="C38" s="29">
        <f t="shared" ca="1" si="2"/>
        <v>45863</v>
      </c>
      <c r="D38" s="57">
        <v>25</v>
      </c>
      <c r="E38" s="57"/>
      <c r="F38" s="57"/>
      <c r="G38" s="58"/>
      <c r="H38" s="58"/>
      <c r="I38" s="59"/>
      <c r="J38" s="59"/>
      <c r="K38" s="59"/>
      <c r="L38" s="5">
        <f t="shared" si="0"/>
        <v>0</v>
      </c>
      <c r="T38" s="89"/>
    </row>
    <row r="39" spans="2:20" x14ac:dyDescent="0.3">
      <c r="B39" s="28">
        <f t="shared" ca="1" si="1"/>
        <v>45866</v>
      </c>
      <c r="C39" s="29">
        <f t="shared" ca="1" si="2"/>
        <v>45866</v>
      </c>
      <c r="D39" s="57">
        <v>28</v>
      </c>
      <c r="E39" s="57"/>
      <c r="F39" s="57"/>
      <c r="G39" s="58"/>
      <c r="H39" s="58"/>
      <c r="I39" s="59"/>
      <c r="J39" s="59"/>
      <c r="K39" s="59"/>
      <c r="L39" s="5">
        <f t="shared" si="0"/>
        <v>0</v>
      </c>
      <c r="T39" s="89"/>
    </row>
    <row r="40" spans="2:20" x14ac:dyDescent="0.3">
      <c r="B40" s="28">
        <f t="shared" ca="1" si="1"/>
        <v>45866</v>
      </c>
      <c r="C40" s="29">
        <f t="shared" ca="1" si="2"/>
        <v>45866</v>
      </c>
      <c r="D40" s="57">
        <v>28</v>
      </c>
      <c r="E40" s="57"/>
      <c r="F40" s="57"/>
      <c r="G40" s="58"/>
      <c r="H40" s="58"/>
      <c r="I40" s="59"/>
      <c r="J40" s="59"/>
      <c r="K40" s="59"/>
      <c r="L40" s="5">
        <f t="shared" si="0"/>
        <v>0</v>
      </c>
      <c r="T40" s="90"/>
    </row>
    <row r="41" spans="2:20" x14ac:dyDescent="0.3">
      <c r="B41" s="28">
        <f t="shared" ca="1" si="1"/>
        <v>45867</v>
      </c>
      <c r="C41" s="29">
        <f t="shared" ca="1" si="2"/>
        <v>45867</v>
      </c>
      <c r="D41" s="57">
        <v>29</v>
      </c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20" x14ac:dyDescent="0.3">
      <c r="B42" s="28">
        <f t="shared" ca="1" si="1"/>
        <v>45867</v>
      </c>
      <c r="C42" s="29">
        <f t="shared" ca="1" si="2"/>
        <v>45867</v>
      </c>
      <c r="D42" s="57">
        <v>29</v>
      </c>
      <c r="E42" s="57"/>
      <c r="F42" s="57"/>
      <c r="G42" s="58"/>
      <c r="H42" s="58"/>
      <c r="I42" s="59"/>
      <c r="J42" s="59"/>
      <c r="K42" s="59"/>
      <c r="L42" s="5">
        <f t="shared" si="0"/>
        <v>0</v>
      </c>
      <c r="T42" s="91"/>
    </row>
    <row r="43" spans="2:20" x14ac:dyDescent="0.3">
      <c r="B43" s="28">
        <f t="shared" ca="1" si="1"/>
        <v>45868</v>
      </c>
      <c r="C43" s="29">
        <f t="shared" ca="1" si="2"/>
        <v>45868</v>
      </c>
      <c r="D43" s="57">
        <v>30</v>
      </c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20" x14ac:dyDescent="0.3">
      <c r="B44" s="28">
        <f t="shared" ca="1" si="1"/>
        <v>45868</v>
      </c>
      <c r="C44" s="29">
        <f t="shared" ca="1" si="2"/>
        <v>45868</v>
      </c>
      <c r="D44" s="57">
        <v>30</v>
      </c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20" x14ac:dyDescent="0.3">
      <c r="B45" s="28">
        <f t="shared" ca="1" si="1"/>
        <v>45869</v>
      </c>
      <c r="C45" s="29">
        <f t="shared" ca="1" si="2"/>
        <v>45869</v>
      </c>
      <c r="D45" s="57">
        <v>31</v>
      </c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20" x14ac:dyDescent="0.3">
      <c r="B46" s="28">
        <f t="shared" ca="1" si="1"/>
        <v>45869</v>
      </c>
      <c r="C46" s="29">
        <f t="shared" ca="1" si="2"/>
        <v>45869</v>
      </c>
      <c r="D46" s="57">
        <v>31</v>
      </c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20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20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t="shared" ca="1" si="1"/>
        <v/>
      </c>
      <c r="C63" s="29" t="str">
        <f t="shared" ca="1" si="2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0"/>
        <v>0</v>
      </c>
    </row>
    <row r="64" spans="2:12" x14ac:dyDescent="0.3">
      <c r="B64" s="28" t="str">
        <f t="shared" ca="1" si="1"/>
        <v/>
      </c>
      <c r="C64" s="29" t="str">
        <f t="shared" ca="1" si="2"/>
        <v/>
      </c>
      <c r="D64" s="57"/>
      <c r="E64" s="57"/>
      <c r="F64" s="57"/>
      <c r="G64" s="57"/>
      <c r="H64" s="58"/>
      <c r="I64" s="59"/>
      <c r="J64" s="59"/>
      <c r="K64" s="59"/>
      <c r="L64" s="5">
        <f t="shared" si="0"/>
        <v>0</v>
      </c>
    </row>
    <row r="65" spans="2:12" x14ac:dyDescent="0.3">
      <c r="B65" s="28" t="str">
        <f t="shared" ca="1" si="1"/>
        <v/>
      </c>
      <c r="C65" s="29" t="str">
        <f t="shared" ca="1" si="2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0"/>
        <v>0</v>
      </c>
    </row>
    <row r="66" spans="2:12" x14ac:dyDescent="0.3">
      <c r="B66" s="28" t="str">
        <f t="shared" ca="1" si="1"/>
        <v/>
      </c>
      <c r="C66" s="29" t="str">
        <f t="shared" ca="1" si="2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0"/>
        <v>0</v>
      </c>
    </row>
    <row r="67" spans="2:12" x14ac:dyDescent="0.3">
      <c r="B67" s="28" t="str">
        <f t="shared" ca="1" si="1"/>
        <v/>
      </c>
      <c r="C67" s="29" t="str">
        <f t="shared" ca="1" si="2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0"/>
        <v>0</v>
      </c>
    </row>
    <row r="68" spans="2:12" x14ac:dyDescent="0.3">
      <c r="B68" s="28" t="str">
        <f t="shared" ca="1" si="1"/>
        <v/>
      </c>
      <c r="C68" s="29" t="str">
        <f t="shared" ca="1" si="2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0"/>
        <v>0</v>
      </c>
    </row>
    <row r="69" spans="2:12" x14ac:dyDescent="0.3">
      <c r="B69" s="28" t="str">
        <f t="shared" ca="1" si="1"/>
        <v/>
      </c>
      <c r="C69" s="29" t="str">
        <f t="shared" ca="1" si="2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0"/>
        <v>0</v>
      </c>
    </row>
    <row r="70" spans="2:12" x14ac:dyDescent="0.3">
      <c r="B70" s="28" t="str">
        <f t="shared" ca="1" si="1"/>
        <v/>
      </c>
      <c r="C70" s="29" t="str">
        <f t="shared" ca="1" si="2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0"/>
        <v>0</v>
      </c>
    </row>
    <row r="71" spans="2:12" x14ac:dyDescent="0.3">
      <c r="B71" s="28" t="str">
        <f t="shared" ca="1" si="1"/>
        <v/>
      </c>
      <c r="C71" s="29" t="str">
        <f t="shared" ca="1" si="2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0"/>
        <v>0</v>
      </c>
    </row>
    <row r="72" spans="2:12" x14ac:dyDescent="0.3">
      <c r="B72" s="28" t="str">
        <f t="shared" ca="1" si="1"/>
        <v/>
      </c>
      <c r="C72" s="29" t="str">
        <f t="shared" ca="1" si="2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0"/>
        <v>0</v>
      </c>
    </row>
    <row r="73" spans="2:12" x14ac:dyDescent="0.3">
      <c r="B73" s="28" t="str">
        <f t="shared" ca="1" si="1"/>
        <v/>
      </c>
      <c r="C73" s="29" t="str">
        <f t="shared" ca="1" si="2"/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0"/>
        <v>0</v>
      </c>
    </row>
    <row r="74" spans="2:12" x14ac:dyDescent="0.3">
      <c r="B74" s="28" t="str">
        <f t="shared" ca="1" si="1"/>
        <v/>
      </c>
      <c r="C74" s="29" t="str">
        <f t="shared" ca="1" si="2"/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0"/>
        <v>0</v>
      </c>
    </row>
    <row r="75" spans="2:12" x14ac:dyDescent="0.3">
      <c r="B75" s="28" t="str">
        <f t="shared" ca="1" si="1"/>
        <v/>
      </c>
      <c r="C75" s="29" t="str">
        <f t="shared" ca="1" si="2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0"/>
        <v>0</v>
      </c>
    </row>
    <row r="76" spans="2:12" x14ac:dyDescent="0.3">
      <c r="B76" s="28" t="str">
        <f t="shared" ca="1" si="1"/>
        <v/>
      </c>
      <c r="C76" s="29" t="str">
        <f t="shared" ca="1" si="2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0"/>
        <v>0</v>
      </c>
    </row>
    <row r="77" spans="2:12" x14ac:dyDescent="0.3">
      <c r="B77" s="28" t="str">
        <f t="shared" ca="1" si="1"/>
        <v/>
      </c>
      <c r="C77" s="29" t="str">
        <f t="shared" ca="1" si="2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0"/>
        <v>0</v>
      </c>
    </row>
    <row r="78" spans="2:12" x14ac:dyDescent="0.3">
      <c r="B78" s="28" t="str">
        <f ca="1">IF(D78&lt;&gt;"",DATE(Jahr,_xlfn.SHEET()-2,D78),"")</f>
        <v/>
      </c>
      <c r="C78" s="29" t="str">
        <f ca="1">B78</f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ref="L78:L143" si="3">J78-I78-K78</f>
        <v>0</v>
      </c>
    </row>
    <row r="79" spans="2:12" x14ac:dyDescent="0.3">
      <c r="B79" s="28" t="str">
        <f t="shared" ref="B79:B144" ca="1" si="4">IF(D79&lt;&gt;"",DATE(Jahr,_xlfn.SHEET()-2,D79),"")</f>
        <v/>
      </c>
      <c r="C79" s="29" t="str">
        <f t="shared" ref="C79:C144" ca="1" si="5">B79</f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t="shared" ca="1" si="4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t="shared" ca="1" si="4"/>
        <v/>
      </c>
      <c r="C86" s="29" t="str">
        <f t="shared" ca="1" si="5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7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ca="1">IF(D91&lt;&gt;"",DATE(Jahr,_xlfn.SHEET()-2,D91),"")</f>
        <v/>
      </c>
      <c r="C91" s="29" t="str">
        <f ca="1">B91</f>
        <v/>
      </c>
      <c r="D91" s="57"/>
      <c r="E91" s="57"/>
      <c r="F91" s="57"/>
      <c r="G91" s="57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ca="1">IF(D92&lt;&gt;"",DATE(Jahr,_xlfn.SHEET()-2,D92),"")</f>
        <v/>
      </c>
      <c r="C92" s="29" t="str">
        <f ca="1">B92</f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ca="1">IF(D93&lt;&gt;"",DATE(Jahr,_xlfn.SHEET()-2,D93),"")</f>
        <v/>
      </c>
      <c r="C93" s="29" t="str">
        <f ca="1">B93</f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3"/>
        <v>0</v>
      </c>
    </row>
    <row r="123" spans="2:12" x14ac:dyDescent="0.3">
      <c r="B123" s="28" t="str">
        <f t="shared" ca="1" si="4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3"/>
        <v>0</v>
      </c>
    </row>
    <row r="124" spans="2:12" x14ac:dyDescent="0.3">
      <c r="B124" s="28" t="str">
        <f t="shared" ca="1" si="4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3"/>
        <v>0</v>
      </c>
    </row>
    <row r="125" spans="2:12" x14ac:dyDescent="0.3">
      <c r="B125" s="28" t="str">
        <f t="shared" ca="1" si="4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3"/>
        <v>0</v>
      </c>
    </row>
    <row r="126" spans="2:12" x14ac:dyDescent="0.3">
      <c r="B126" s="28" t="str">
        <f t="shared" ca="1" si="4"/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3"/>
        <v>0</v>
      </c>
    </row>
    <row r="127" spans="2:12" x14ac:dyDescent="0.3">
      <c r="B127" s="28" t="str">
        <f t="shared" ca="1" si="4"/>
        <v/>
      </c>
      <c r="C127" s="29" t="str">
        <f t="shared" ca="1" si="5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3"/>
        <v>0</v>
      </c>
    </row>
    <row r="128" spans="2:12" x14ac:dyDescent="0.3">
      <c r="B128" s="28" t="str">
        <f t="shared" ca="1" si="4"/>
        <v/>
      </c>
      <c r="C128" s="29" t="str">
        <f t="shared" ca="1" si="5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3"/>
        <v>0</v>
      </c>
    </row>
    <row r="129" spans="2:12" x14ac:dyDescent="0.3">
      <c r="B129" s="28" t="str">
        <f t="shared" ca="1" si="4"/>
        <v/>
      </c>
      <c r="C129" s="29" t="str">
        <f t="shared" ca="1" si="5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3"/>
        <v>0</v>
      </c>
    </row>
    <row r="130" spans="2:12" x14ac:dyDescent="0.3">
      <c r="B130" s="28" t="str">
        <f t="shared" ca="1" si="4"/>
        <v/>
      </c>
      <c r="C130" s="29" t="str">
        <f t="shared" ca="1" si="5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3"/>
        <v>0</v>
      </c>
    </row>
    <row r="131" spans="2:12" x14ac:dyDescent="0.3">
      <c r="B131" s="28" t="str">
        <f t="shared" ca="1" si="4"/>
        <v/>
      </c>
      <c r="C131" s="29" t="str">
        <f t="shared" ca="1" si="5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3"/>
        <v>0</v>
      </c>
    </row>
    <row r="132" spans="2:12" x14ac:dyDescent="0.3">
      <c r="B132" s="28" t="str">
        <f t="shared" ca="1" si="4"/>
        <v/>
      </c>
      <c r="C132" s="29" t="str">
        <f t="shared" ca="1" si="5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3"/>
        <v>0</v>
      </c>
    </row>
    <row r="133" spans="2:12" x14ac:dyDescent="0.3">
      <c r="B133" s="28" t="str">
        <f t="shared" ca="1" si="4"/>
        <v/>
      </c>
      <c r="C133" s="29" t="str">
        <f t="shared" ca="1" si="5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3"/>
        <v>0</v>
      </c>
    </row>
    <row r="134" spans="2:12" x14ac:dyDescent="0.3">
      <c r="B134" s="28" t="str">
        <f t="shared" ca="1" si="4"/>
        <v/>
      </c>
      <c r="C134" s="29" t="str">
        <f t="shared" ca="1" si="5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3"/>
        <v>0</v>
      </c>
    </row>
    <row r="135" spans="2:12" x14ac:dyDescent="0.3">
      <c r="B135" s="28" t="str">
        <f t="shared" ca="1" si="4"/>
        <v/>
      </c>
      <c r="C135" s="29" t="str">
        <f t="shared" ca="1" si="5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3"/>
        <v>0</v>
      </c>
    </row>
    <row r="136" spans="2:12" x14ac:dyDescent="0.3">
      <c r="B136" s="28" t="str">
        <f t="shared" ca="1" si="4"/>
        <v/>
      </c>
      <c r="C136" s="29" t="str">
        <f t="shared" ca="1" si="5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3"/>
        <v>0</v>
      </c>
    </row>
    <row r="137" spans="2:12" x14ac:dyDescent="0.3">
      <c r="B137" s="28" t="str">
        <f t="shared" ca="1" si="4"/>
        <v/>
      </c>
      <c r="C137" s="29" t="str">
        <f t="shared" ca="1" si="5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3"/>
        <v>0</v>
      </c>
    </row>
    <row r="138" spans="2:12" x14ac:dyDescent="0.3">
      <c r="B138" s="28" t="str">
        <f t="shared" ca="1" si="4"/>
        <v/>
      </c>
      <c r="C138" s="29" t="str">
        <f t="shared" ca="1" si="5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3"/>
        <v>0</v>
      </c>
    </row>
    <row r="139" spans="2:12" x14ac:dyDescent="0.3">
      <c r="B139" s="28" t="str">
        <f t="shared" ca="1" si="4"/>
        <v/>
      </c>
      <c r="C139" s="29" t="str">
        <f t="shared" ca="1" si="5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3"/>
        <v>0</v>
      </c>
    </row>
    <row r="140" spans="2:12" x14ac:dyDescent="0.3">
      <c r="B140" s="28" t="str">
        <f t="shared" ca="1" si="4"/>
        <v/>
      </c>
      <c r="C140" s="29" t="str">
        <f t="shared" ca="1" si="5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3"/>
        <v>0</v>
      </c>
    </row>
    <row r="141" spans="2:12" x14ac:dyDescent="0.3">
      <c r="B141" s="28" t="str">
        <f t="shared" ca="1" si="4"/>
        <v/>
      </c>
      <c r="C141" s="29" t="str">
        <f t="shared" ca="1" si="5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3"/>
        <v>0</v>
      </c>
    </row>
    <row r="142" spans="2:12" x14ac:dyDescent="0.3">
      <c r="B142" s="28" t="str">
        <f t="shared" ca="1" si="4"/>
        <v/>
      </c>
      <c r="C142" s="29" t="str">
        <f t="shared" ca="1" si="5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3"/>
        <v>0</v>
      </c>
    </row>
    <row r="143" spans="2:12" x14ac:dyDescent="0.3">
      <c r="B143" s="28" t="str">
        <f t="shared" ca="1" si="4"/>
        <v/>
      </c>
      <c r="C143" s="29" t="str">
        <f t="shared" ca="1" si="5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3"/>
        <v>0</v>
      </c>
    </row>
    <row r="144" spans="2:12" x14ac:dyDescent="0.3">
      <c r="B144" s="28" t="str">
        <f t="shared" ca="1" si="4"/>
        <v/>
      </c>
      <c r="C144" s="29" t="str">
        <f t="shared" ca="1" si="5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ref="L144:L207" si="6">J144-I144-K144</f>
        <v>0</v>
      </c>
    </row>
    <row r="145" spans="2:12" x14ac:dyDescent="0.3">
      <c r="B145" s="28" t="str">
        <f t="shared" ref="B145:B208" ca="1" si="7">IF(D145&lt;&gt;"",DATE(Jahr,_xlfn.SHEET()-2,D145),"")</f>
        <v/>
      </c>
      <c r="C145" s="29" t="str">
        <f t="shared" ref="C145:C208" ca="1" si="8">B145</f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6"/>
        <v>0</v>
      </c>
    </row>
    <row r="187" spans="2:12" x14ac:dyDescent="0.3">
      <c r="B187" s="28" t="str">
        <f t="shared" ca="1" si="7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6"/>
        <v>0</v>
      </c>
    </row>
    <row r="188" spans="2:12" x14ac:dyDescent="0.3">
      <c r="B188" s="28" t="str">
        <f t="shared" ca="1" si="7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6"/>
        <v>0</v>
      </c>
    </row>
    <row r="189" spans="2:12" x14ac:dyDescent="0.3">
      <c r="B189" s="28" t="str">
        <f t="shared" ca="1" si="7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6"/>
        <v>0</v>
      </c>
    </row>
    <row r="190" spans="2:12" x14ac:dyDescent="0.3">
      <c r="B190" s="28" t="str">
        <f t="shared" ca="1" si="7"/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6"/>
        <v>0</v>
      </c>
    </row>
    <row r="191" spans="2:12" x14ac:dyDescent="0.3">
      <c r="B191" s="28" t="str">
        <f t="shared" ca="1" si="7"/>
        <v/>
      </c>
      <c r="C191" s="29" t="str">
        <f t="shared" ca="1" si="8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6"/>
        <v>0</v>
      </c>
    </row>
    <row r="192" spans="2:12" x14ac:dyDescent="0.3">
      <c r="B192" s="28" t="str">
        <f t="shared" ca="1" si="7"/>
        <v/>
      </c>
      <c r="C192" s="29" t="str">
        <f t="shared" ca="1" si="8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6"/>
        <v>0</v>
      </c>
    </row>
    <row r="193" spans="2:12" x14ac:dyDescent="0.3">
      <c r="B193" s="28" t="str">
        <f t="shared" ca="1" si="7"/>
        <v/>
      </c>
      <c r="C193" s="29" t="str">
        <f t="shared" ca="1" si="8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6"/>
        <v>0</v>
      </c>
    </row>
    <row r="194" spans="2:12" x14ac:dyDescent="0.3">
      <c r="B194" s="28" t="str">
        <f t="shared" ca="1" si="7"/>
        <v/>
      </c>
      <c r="C194" s="29" t="str">
        <f t="shared" ca="1" si="8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6"/>
        <v>0</v>
      </c>
    </row>
    <row r="195" spans="2:12" x14ac:dyDescent="0.3">
      <c r="B195" s="28" t="str">
        <f t="shared" ca="1" si="7"/>
        <v/>
      </c>
      <c r="C195" s="29" t="str">
        <f t="shared" ca="1" si="8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6"/>
        <v>0</v>
      </c>
    </row>
    <row r="196" spans="2:12" x14ac:dyDescent="0.3">
      <c r="B196" s="28" t="str">
        <f t="shared" ca="1" si="7"/>
        <v/>
      </c>
      <c r="C196" s="29" t="str">
        <f t="shared" ca="1" si="8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6"/>
        <v>0</v>
      </c>
    </row>
    <row r="197" spans="2:12" x14ac:dyDescent="0.3">
      <c r="B197" s="28" t="str">
        <f t="shared" ca="1" si="7"/>
        <v/>
      </c>
      <c r="C197" s="29" t="str">
        <f t="shared" ca="1" si="8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6"/>
        <v>0</v>
      </c>
    </row>
    <row r="198" spans="2:12" x14ac:dyDescent="0.3">
      <c r="B198" s="28" t="str">
        <f t="shared" ca="1" si="7"/>
        <v/>
      </c>
      <c r="C198" s="29" t="str">
        <f t="shared" ca="1" si="8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6"/>
        <v>0</v>
      </c>
    </row>
    <row r="199" spans="2:12" x14ac:dyDescent="0.3">
      <c r="B199" s="28" t="str">
        <f t="shared" ca="1" si="7"/>
        <v/>
      </c>
      <c r="C199" s="29" t="str">
        <f t="shared" ca="1" si="8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6"/>
        <v>0</v>
      </c>
    </row>
    <row r="200" spans="2:12" x14ac:dyDescent="0.3">
      <c r="B200" s="28" t="str">
        <f t="shared" ca="1" si="7"/>
        <v/>
      </c>
      <c r="C200" s="29" t="str">
        <f t="shared" ca="1" si="8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6"/>
        <v>0</v>
      </c>
    </row>
    <row r="201" spans="2:12" x14ac:dyDescent="0.3">
      <c r="B201" s="28" t="str">
        <f t="shared" ca="1" si="7"/>
        <v/>
      </c>
      <c r="C201" s="29" t="str">
        <f t="shared" ca="1" si="8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6"/>
        <v>0</v>
      </c>
    </row>
    <row r="202" spans="2:12" x14ac:dyDescent="0.3">
      <c r="B202" s="28" t="str">
        <f t="shared" ca="1" si="7"/>
        <v/>
      </c>
      <c r="C202" s="29" t="str">
        <f t="shared" ca="1" si="8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6"/>
        <v>0</v>
      </c>
    </row>
    <row r="203" spans="2:12" x14ac:dyDescent="0.3">
      <c r="B203" s="28" t="str">
        <f t="shared" ca="1" si="7"/>
        <v/>
      </c>
      <c r="C203" s="29" t="str">
        <f t="shared" ca="1" si="8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6"/>
        <v>0</v>
      </c>
    </row>
    <row r="204" spans="2:12" x14ac:dyDescent="0.3">
      <c r="B204" s="28" t="str">
        <f t="shared" ca="1" si="7"/>
        <v/>
      </c>
      <c r="C204" s="29" t="str">
        <f t="shared" ca="1" si="8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6"/>
        <v>0</v>
      </c>
    </row>
    <row r="205" spans="2:12" x14ac:dyDescent="0.3">
      <c r="B205" s="28" t="str">
        <f t="shared" ca="1" si="7"/>
        <v/>
      </c>
      <c r="C205" s="29" t="str">
        <f t="shared" ca="1" si="8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6"/>
        <v>0</v>
      </c>
    </row>
    <row r="206" spans="2:12" x14ac:dyDescent="0.3">
      <c r="B206" s="28" t="str">
        <f t="shared" ca="1" si="7"/>
        <v/>
      </c>
      <c r="C206" s="29" t="str">
        <f t="shared" ca="1" si="8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6"/>
        <v>0</v>
      </c>
    </row>
    <row r="207" spans="2:12" x14ac:dyDescent="0.3">
      <c r="B207" s="28" t="str">
        <f t="shared" ca="1" si="7"/>
        <v/>
      </c>
      <c r="C207" s="29" t="str">
        <f t="shared" ca="1" si="8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6"/>
        <v>0</v>
      </c>
    </row>
    <row r="208" spans="2:12" x14ac:dyDescent="0.3">
      <c r="B208" s="28" t="str">
        <f t="shared" ca="1" si="7"/>
        <v/>
      </c>
      <c r="C208" s="29" t="str">
        <f t="shared" ca="1" si="8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ref="L208:L271" si="9">J208-I208-K208</f>
        <v>0</v>
      </c>
    </row>
    <row r="209" spans="2:12" x14ac:dyDescent="0.3">
      <c r="B209" s="28" t="str">
        <f t="shared" ref="B209:B272" ca="1" si="10">IF(D209&lt;&gt;"",DATE(Jahr,_xlfn.SHEET()-2,D209),"")</f>
        <v/>
      </c>
      <c r="C209" s="29" t="str">
        <f t="shared" ref="C209:C272" ca="1" si="11">B209</f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9"/>
        <v>0</v>
      </c>
    </row>
    <row r="251" spans="2:12" x14ac:dyDescent="0.3">
      <c r="B251" s="28" t="str">
        <f t="shared" ca="1" si="10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9"/>
        <v>0</v>
      </c>
    </row>
    <row r="252" spans="2:12" x14ac:dyDescent="0.3">
      <c r="B252" s="28" t="str">
        <f t="shared" ca="1" si="10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9"/>
        <v>0</v>
      </c>
    </row>
    <row r="253" spans="2:12" x14ac:dyDescent="0.3">
      <c r="B253" s="28" t="str">
        <f t="shared" ca="1" si="10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9"/>
        <v>0</v>
      </c>
    </row>
    <row r="254" spans="2:12" x14ac:dyDescent="0.3">
      <c r="B254" s="28" t="str">
        <f t="shared" ca="1" si="10"/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9"/>
        <v>0</v>
      </c>
    </row>
    <row r="255" spans="2:12" x14ac:dyDescent="0.3">
      <c r="B255" s="28" t="str">
        <f t="shared" ca="1" si="10"/>
        <v/>
      </c>
      <c r="C255" s="29" t="str">
        <f t="shared" ca="1" si="11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9"/>
        <v>0</v>
      </c>
    </row>
    <row r="256" spans="2:12" x14ac:dyDescent="0.3">
      <c r="B256" s="28" t="str">
        <f t="shared" ca="1" si="10"/>
        <v/>
      </c>
      <c r="C256" s="29" t="str">
        <f t="shared" ca="1" si="11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9"/>
        <v>0</v>
      </c>
    </row>
    <row r="257" spans="2:12" x14ac:dyDescent="0.3">
      <c r="B257" s="28" t="str">
        <f t="shared" ca="1" si="10"/>
        <v/>
      </c>
      <c r="C257" s="29" t="str">
        <f t="shared" ca="1" si="11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9"/>
        <v>0</v>
      </c>
    </row>
    <row r="258" spans="2:12" x14ac:dyDescent="0.3">
      <c r="B258" s="28" t="str">
        <f t="shared" ca="1" si="10"/>
        <v/>
      </c>
      <c r="C258" s="29" t="str">
        <f t="shared" ca="1" si="11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9"/>
        <v>0</v>
      </c>
    </row>
    <row r="259" spans="2:12" x14ac:dyDescent="0.3">
      <c r="B259" s="28" t="str">
        <f t="shared" ca="1" si="10"/>
        <v/>
      </c>
      <c r="C259" s="29" t="str">
        <f t="shared" ca="1" si="11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9"/>
        <v>0</v>
      </c>
    </row>
    <row r="260" spans="2:12" x14ac:dyDescent="0.3">
      <c r="B260" s="28" t="str">
        <f t="shared" ca="1" si="10"/>
        <v/>
      </c>
      <c r="C260" s="29" t="str">
        <f t="shared" ca="1" si="11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9"/>
        <v>0</v>
      </c>
    </row>
    <row r="261" spans="2:12" x14ac:dyDescent="0.3">
      <c r="B261" s="28" t="str">
        <f t="shared" ca="1" si="10"/>
        <v/>
      </c>
      <c r="C261" s="29" t="str">
        <f t="shared" ca="1" si="11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9"/>
        <v>0</v>
      </c>
    </row>
    <row r="262" spans="2:12" x14ac:dyDescent="0.3">
      <c r="B262" s="28" t="str">
        <f t="shared" ca="1" si="10"/>
        <v/>
      </c>
      <c r="C262" s="29" t="str">
        <f t="shared" ca="1" si="11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9"/>
        <v>0</v>
      </c>
    </row>
    <row r="263" spans="2:12" x14ac:dyDescent="0.3">
      <c r="B263" s="28" t="str">
        <f t="shared" ca="1" si="10"/>
        <v/>
      </c>
      <c r="C263" s="29" t="str">
        <f t="shared" ca="1" si="11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9"/>
        <v>0</v>
      </c>
    </row>
    <row r="264" spans="2:12" x14ac:dyDescent="0.3">
      <c r="B264" s="28" t="str">
        <f t="shared" ca="1" si="10"/>
        <v/>
      </c>
      <c r="C264" s="29" t="str">
        <f t="shared" ca="1" si="11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9"/>
        <v>0</v>
      </c>
    </row>
    <row r="265" spans="2:12" x14ac:dyDescent="0.3">
      <c r="B265" s="28" t="str">
        <f t="shared" ca="1" si="10"/>
        <v/>
      </c>
      <c r="C265" s="29" t="str">
        <f t="shared" ca="1" si="11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9"/>
        <v>0</v>
      </c>
    </row>
    <row r="266" spans="2:12" x14ac:dyDescent="0.3">
      <c r="B266" s="28" t="str">
        <f t="shared" ca="1" si="10"/>
        <v/>
      </c>
      <c r="C266" s="29" t="str">
        <f t="shared" ca="1" si="11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9"/>
        <v>0</v>
      </c>
    </row>
    <row r="267" spans="2:12" x14ac:dyDescent="0.3">
      <c r="B267" s="28" t="str">
        <f t="shared" ca="1" si="10"/>
        <v/>
      </c>
      <c r="C267" s="29" t="str">
        <f t="shared" ca="1" si="11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9"/>
        <v>0</v>
      </c>
    </row>
    <row r="268" spans="2:12" x14ac:dyDescent="0.3">
      <c r="B268" s="28" t="str">
        <f t="shared" ca="1" si="10"/>
        <v/>
      </c>
      <c r="C268" s="29" t="str">
        <f t="shared" ca="1" si="11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9"/>
        <v>0</v>
      </c>
    </row>
    <row r="269" spans="2:12" x14ac:dyDescent="0.3">
      <c r="B269" s="28" t="str">
        <f t="shared" ca="1" si="10"/>
        <v/>
      </c>
      <c r="C269" s="29" t="str">
        <f t="shared" ca="1" si="11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9"/>
        <v>0</v>
      </c>
    </row>
    <row r="270" spans="2:12" x14ac:dyDescent="0.3">
      <c r="B270" s="28" t="str">
        <f t="shared" ca="1" si="10"/>
        <v/>
      </c>
      <c r="C270" s="29" t="str">
        <f t="shared" ca="1" si="11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9"/>
        <v>0</v>
      </c>
    </row>
    <row r="271" spans="2:12" x14ac:dyDescent="0.3">
      <c r="B271" s="28" t="str">
        <f t="shared" ca="1" si="10"/>
        <v/>
      </c>
      <c r="C271" s="29" t="str">
        <f t="shared" ca="1" si="11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9"/>
        <v>0</v>
      </c>
    </row>
    <row r="272" spans="2:12" x14ac:dyDescent="0.3">
      <c r="B272" s="28" t="str">
        <f t="shared" ca="1" si="10"/>
        <v/>
      </c>
      <c r="C272" s="29" t="str">
        <f t="shared" ca="1" si="11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ref="L272:L335" si="12">J272-I272-K272</f>
        <v>0</v>
      </c>
    </row>
    <row r="273" spans="2:12" x14ac:dyDescent="0.3">
      <c r="B273" s="28" t="str">
        <f t="shared" ref="B273:B336" ca="1" si="13">IF(D273&lt;&gt;"",DATE(Jahr,_xlfn.SHEET()-2,D273),"")</f>
        <v/>
      </c>
      <c r="C273" s="29" t="str">
        <f t="shared" ref="C273:C336" ca="1" si="14">B273</f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2"/>
        <v>0</v>
      </c>
    </row>
    <row r="315" spans="2:12" x14ac:dyDescent="0.3">
      <c r="B315" s="28" t="str">
        <f t="shared" ca="1" si="13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2"/>
        <v>0</v>
      </c>
    </row>
    <row r="316" spans="2:12" x14ac:dyDescent="0.3">
      <c r="B316" s="28" t="str">
        <f t="shared" ca="1" si="13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2"/>
        <v>0</v>
      </c>
    </row>
    <row r="317" spans="2:12" x14ac:dyDescent="0.3">
      <c r="B317" s="28" t="str">
        <f t="shared" ca="1" si="13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2"/>
        <v>0</v>
      </c>
    </row>
    <row r="318" spans="2:12" x14ac:dyDescent="0.3">
      <c r="B318" s="28" t="str">
        <f t="shared" ca="1" si="13"/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2"/>
        <v>0</v>
      </c>
    </row>
    <row r="319" spans="2:12" x14ac:dyDescent="0.3">
      <c r="B319" s="28" t="str">
        <f t="shared" ca="1" si="13"/>
        <v/>
      </c>
      <c r="C319" s="29" t="str">
        <f t="shared" ca="1" si="14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2"/>
        <v>0</v>
      </c>
    </row>
    <row r="320" spans="2:12" x14ac:dyDescent="0.3">
      <c r="B320" s="28" t="str">
        <f t="shared" ca="1" si="13"/>
        <v/>
      </c>
      <c r="C320" s="29" t="str">
        <f t="shared" ca="1" si="14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2"/>
        <v>0</v>
      </c>
    </row>
    <row r="321" spans="2:12" x14ac:dyDescent="0.3">
      <c r="B321" s="28" t="str">
        <f t="shared" ca="1" si="13"/>
        <v/>
      </c>
      <c r="C321" s="29" t="str">
        <f t="shared" ca="1" si="14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2"/>
        <v>0</v>
      </c>
    </row>
    <row r="322" spans="2:12" x14ac:dyDescent="0.3">
      <c r="B322" s="28" t="str">
        <f t="shared" ca="1" si="13"/>
        <v/>
      </c>
      <c r="C322" s="29" t="str">
        <f t="shared" ca="1" si="14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2"/>
        <v>0</v>
      </c>
    </row>
    <row r="323" spans="2:12" x14ac:dyDescent="0.3">
      <c r="B323" s="28" t="str">
        <f t="shared" ca="1" si="13"/>
        <v/>
      </c>
      <c r="C323" s="29" t="str">
        <f t="shared" ca="1" si="14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2"/>
        <v>0</v>
      </c>
    </row>
    <row r="324" spans="2:12" x14ac:dyDescent="0.3">
      <c r="B324" s="28" t="str">
        <f t="shared" ca="1" si="13"/>
        <v/>
      </c>
      <c r="C324" s="29" t="str">
        <f t="shared" ca="1" si="14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2"/>
        <v>0</v>
      </c>
    </row>
    <row r="325" spans="2:12" x14ac:dyDescent="0.3">
      <c r="B325" s="28" t="str">
        <f t="shared" ca="1" si="13"/>
        <v/>
      </c>
      <c r="C325" s="29" t="str">
        <f t="shared" ca="1" si="14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2"/>
        <v>0</v>
      </c>
    </row>
    <row r="326" spans="2:12" x14ac:dyDescent="0.3">
      <c r="B326" s="28" t="str">
        <f t="shared" ca="1" si="13"/>
        <v/>
      </c>
      <c r="C326" s="29" t="str">
        <f t="shared" ca="1" si="14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2"/>
        <v>0</v>
      </c>
    </row>
    <row r="327" spans="2:12" x14ac:dyDescent="0.3">
      <c r="B327" s="28" t="str">
        <f t="shared" ca="1" si="13"/>
        <v/>
      </c>
      <c r="C327" s="29" t="str">
        <f t="shared" ca="1" si="14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2"/>
        <v>0</v>
      </c>
    </row>
    <row r="328" spans="2:12" x14ac:dyDescent="0.3">
      <c r="B328" s="28" t="str">
        <f t="shared" ca="1" si="13"/>
        <v/>
      </c>
      <c r="C328" s="29" t="str">
        <f t="shared" ca="1" si="14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2"/>
        <v>0</v>
      </c>
    </row>
    <row r="329" spans="2:12" x14ac:dyDescent="0.3">
      <c r="B329" s="28" t="str">
        <f t="shared" ca="1" si="13"/>
        <v/>
      </c>
      <c r="C329" s="29" t="str">
        <f t="shared" ca="1" si="14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2"/>
        <v>0</v>
      </c>
    </row>
    <row r="330" spans="2:12" x14ac:dyDescent="0.3">
      <c r="B330" s="28" t="str">
        <f t="shared" ca="1" si="13"/>
        <v/>
      </c>
      <c r="C330" s="29" t="str">
        <f t="shared" ca="1" si="14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2"/>
        <v>0</v>
      </c>
    </row>
    <row r="331" spans="2:12" x14ac:dyDescent="0.3">
      <c r="B331" s="28" t="str">
        <f t="shared" ca="1" si="13"/>
        <v/>
      </c>
      <c r="C331" s="29" t="str">
        <f t="shared" ca="1" si="14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2"/>
        <v>0</v>
      </c>
    </row>
    <row r="332" spans="2:12" x14ac:dyDescent="0.3">
      <c r="B332" s="28" t="str">
        <f t="shared" ca="1" si="13"/>
        <v/>
      </c>
      <c r="C332" s="29" t="str">
        <f t="shared" ca="1" si="14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2"/>
        <v>0</v>
      </c>
    </row>
    <row r="333" spans="2:12" x14ac:dyDescent="0.3">
      <c r="B333" s="28" t="str">
        <f t="shared" ca="1" si="13"/>
        <v/>
      </c>
      <c r="C333" s="29" t="str">
        <f t="shared" ca="1" si="14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2"/>
        <v>0</v>
      </c>
    </row>
    <row r="334" spans="2:12" x14ac:dyDescent="0.3">
      <c r="B334" s="28" t="str">
        <f t="shared" ca="1" si="13"/>
        <v/>
      </c>
      <c r="C334" s="29" t="str">
        <f t="shared" ca="1" si="14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2"/>
        <v>0</v>
      </c>
    </row>
    <row r="335" spans="2:12" x14ac:dyDescent="0.3">
      <c r="B335" s="28" t="str">
        <f t="shared" ca="1" si="13"/>
        <v/>
      </c>
      <c r="C335" s="29" t="str">
        <f t="shared" ca="1" si="14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2"/>
        <v>0</v>
      </c>
    </row>
    <row r="336" spans="2:12" x14ac:dyDescent="0.3">
      <c r="B336" s="28" t="str">
        <f t="shared" ca="1" si="13"/>
        <v/>
      </c>
      <c r="C336" s="29" t="str">
        <f t="shared" ca="1" si="14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ref="L336:L399" si="15">J336-I336-K336</f>
        <v>0</v>
      </c>
    </row>
    <row r="337" spans="2:12" x14ac:dyDescent="0.3">
      <c r="B337" s="28" t="str">
        <f t="shared" ref="B337:B400" ca="1" si="16">IF(D337&lt;&gt;"",DATE(Jahr,_xlfn.SHEET()-2,D337),"")</f>
        <v/>
      </c>
      <c r="C337" s="29" t="str">
        <f t="shared" ref="C337:C400" ca="1" si="17">B337</f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5"/>
        <v>0</v>
      </c>
    </row>
    <row r="379" spans="2:12" x14ac:dyDescent="0.3">
      <c r="B379" s="28" t="str">
        <f t="shared" ca="1" si="16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5"/>
        <v>0</v>
      </c>
    </row>
    <row r="380" spans="2:12" x14ac:dyDescent="0.3">
      <c r="B380" s="28" t="str">
        <f t="shared" ca="1" si="16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5"/>
        <v>0</v>
      </c>
    </row>
    <row r="381" spans="2:12" x14ac:dyDescent="0.3">
      <c r="B381" s="28" t="str">
        <f t="shared" ca="1" si="16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5"/>
        <v>0</v>
      </c>
    </row>
    <row r="382" spans="2:12" x14ac:dyDescent="0.3">
      <c r="B382" s="28" t="str">
        <f t="shared" ca="1" si="16"/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5"/>
        <v>0</v>
      </c>
    </row>
    <row r="383" spans="2:12" x14ac:dyDescent="0.3">
      <c r="B383" s="28" t="str">
        <f t="shared" ca="1" si="16"/>
        <v/>
      </c>
      <c r="C383" s="29" t="str">
        <f t="shared" ca="1" si="17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5"/>
        <v>0</v>
      </c>
    </row>
    <row r="384" spans="2:12" x14ac:dyDescent="0.3">
      <c r="B384" s="28" t="str">
        <f t="shared" ca="1" si="16"/>
        <v/>
      </c>
      <c r="C384" s="29" t="str">
        <f t="shared" ca="1" si="17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5"/>
        <v>0</v>
      </c>
    </row>
    <row r="385" spans="2:12" x14ac:dyDescent="0.3">
      <c r="B385" s="28" t="str">
        <f t="shared" ca="1" si="16"/>
        <v/>
      </c>
      <c r="C385" s="29" t="str">
        <f t="shared" ca="1" si="17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5"/>
        <v>0</v>
      </c>
    </row>
    <row r="386" spans="2:12" x14ac:dyDescent="0.3">
      <c r="B386" s="28" t="str">
        <f t="shared" ca="1" si="16"/>
        <v/>
      </c>
      <c r="C386" s="29" t="str">
        <f t="shared" ca="1" si="17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5"/>
        <v>0</v>
      </c>
    </row>
    <row r="387" spans="2:12" x14ac:dyDescent="0.3">
      <c r="B387" s="28" t="str">
        <f t="shared" ca="1" si="16"/>
        <v/>
      </c>
      <c r="C387" s="29" t="str">
        <f t="shared" ca="1" si="17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5"/>
        <v>0</v>
      </c>
    </row>
    <row r="388" spans="2:12" x14ac:dyDescent="0.3">
      <c r="B388" s="28" t="str">
        <f t="shared" ca="1" si="16"/>
        <v/>
      </c>
      <c r="C388" s="29" t="str">
        <f t="shared" ca="1" si="17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5"/>
        <v>0</v>
      </c>
    </row>
    <row r="389" spans="2:12" x14ac:dyDescent="0.3">
      <c r="B389" s="28" t="str">
        <f t="shared" ca="1" si="16"/>
        <v/>
      </c>
      <c r="C389" s="29" t="str">
        <f t="shared" ca="1" si="17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5"/>
        <v>0</v>
      </c>
    </row>
    <row r="390" spans="2:12" x14ac:dyDescent="0.3">
      <c r="B390" s="28" t="str">
        <f t="shared" ca="1" si="16"/>
        <v/>
      </c>
      <c r="C390" s="29" t="str">
        <f t="shared" ca="1" si="17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5"/>
        <v>0</v>
      </c>
    </row>
    <row r="391" spans="2:12" x14ac:dyDescent="0.3">
      <c r="B391" s="28" t="str">
        <f t="shared" ca="1" si="16"/>
        <v/>
      </c>
      <c r="C391" s="29" t="str">
        <f t="shared" ca="1" si="17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5"/>
        <v>0</v>
      </c>
    </row>
    <row r="392" spans="2:12" x14ac:dyDescent="0.3">
      <c r="B392" s="28" t="str">
        <f t="shared" ca="1" si="16"/>
        <v/>
      </c>
      <c r="C392" s="29" t="str">
        <f t="shared" ca="1" si="17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5"/>
        <v>0</v>
      </c>
    </row>
    <row r="393" spans="2:12" x14ac:dyDescent="0.3">
      <c r="B393" s="28" t="str">
        <f t="shared" ca="1" si="16"/>
        <v/>
      </c>
      <c r="C393" s="29" t="str">
        <f t="shared" ca="1" si="17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5"/>
        <v>0</v>
      </c>
    </row>
    <row r="394" spans="2:12" x14ac:dyDescent="0.3">
      <c r="B394" s="28" t="str">
        <f t="shared" ca="1" si="16"/>
        <v/>
      </c>
      <c r="C394" s="29" t="str">
        <f t="shared" ca="1" si="17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5"/>
        <v>0</v>
      </c>
    </row>
    <row r="395" spans="2:12" x14ac:dyDescent="0.3">
      <c r="B395" s="28" t="str">
        <f t="shared" ca="1" si="16"/>
        <v/>
      </c>
      <c r="C395" s="29" t="str">
        <f t="shared" ca="1" si="17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5"/>
        <v>0</v>
      </c>
    </row>
    <row r="396" spans="2:12" x14ac:dyDescent="0.3">
      <c r="B396" s="28" t="str">
        <f t="shared" ca="1" si="16"/>
        <v/>
      </c>
      <c r="C396" s="29" t="str">
        <f t="shared" ca="1" si="17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5"/>
        <v>0</v>
      </c>
    </row>
    <row r="397" spans="2:12" x14ac:dyDescent="0.3">
      <c r="B397" s="28" t="str">
        <f t="shared" ca="1" si="16"/>
        <v/>
      </c>
      <c r="C397" s="29" t="str">
        <f t="shared" ca="1" si="17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5"/>
        <v>0</v>
      </c>
    </row>
    <row r="398" spans="2:12" x14ac:dyDescent="0.3">
      <c r="B398" s="28" t="str">
        <f t="shared" ca="1" si="16"/>
        <v/>
      </c>
      <c r="C398" s="29" t="str">
        <f t="shared" ca="1" si="17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5"/>
        <v>0</v>
      </c>
    </row>
    <row r="399" spans="2:12" x14ac:dyDescent="0.3">
      <c r="B399" s="28" t="str">
        <f t="shared" ca="1" si="16"/>
        <v/>
      </c>
      <c r="C399" s="29" t="str">
        <f t="shared" ca="1" si="17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5"/>
        <v>0</v>
      </c>
    </row>
    <row r="400" spans="2:12" x14ac:dyDescent="0.3">
      <c r="B400" s="28" t="str">
        <f t="shared" ca="1" si="16"/>
        <v/>
      </c>
      <c r="C400" s="29" t="str">
        <f t="shared" ca="1" si="17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ref="L400:L463" si="18">J400-I400-K400</f>
        <v>0</v>
      </c>
    </row>
    <row r="401" spans="2:12" x14ac:dyDescent="0.3">
      <c r="B401" s="28" t="str">
        <f t="shared" ref="B401:B464" ca="1" si="19">IF(D401&lt;&gt;"",DATE(Jahr,_xlfn.SHEET()-2,D401),"")</f>
        <v/>
      </c>
      <c r="C401" s="29" t="str">
        <f t="shared" ref="C401:C464" ca="1" si="20">B401</f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8"/>
        <v>0</v>
      </c>
    </row>
    <row r="443" spans="2:12" x14ac:dyDescent="0.3">
      <c r="B443" s="28" t="str">
        <f t="shared" ca="1" si="19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8"/>
        <v>0</v>
      </c>
    </row>
    <row r="444" spans="2:12" x14ac:dyDescent="0.3">
      <c r="B444" s="28" t="str">
        <f t="shared" ca="1" si="19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8"/>
        <v>0</v>
      </c>
    </row>
    <row r="445" spans="2:12" x14ac:dyDescent="0.3">
      <c r="B445" s="28" t="str">
        <f t="shared" ca="1" si="19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8"/>
        <v>0</v>
      </c>
    </row>
    <row r="446" spans="2:12" x14ac:dyDescent="0.3">
      <c r="B446" s="28" t="str">
        <f t="shared" ca="1" si="19"/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18"/>
        <v>0</v>
      </c>
    </row>
    <row r="447" spans="2:12" x14ac:dyDescent="0.3">
      <c r="B447" s="28" t="str">
        <f t="shared" ca="1" si="19"/>
        <v/>
      </c>
      <c r="C447" s="29" t="str">
        <f t="shared" ca="1" si="20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18"/>
        <v>0</v>
      </c>
    </row>
    <row r="448" spans="2:12" x14ac:dyDescent="0.3">
      <c r="B448" s="28" t="str">
        <f t="shared" ca="1" si="19"/>
        <v/>
      </c>
      <c r="C448" s="29" t="str">
        <f t="shared" ca="1" si="20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18"/>
        <v>0</v>
      </c>
    </row>
    <row r="449" spans="2:12" x14ac:dyDescent="0.3">
      <c r="B449" s="28" t="str">
        <f t="shared" ca="1" si="19"/>
        <v/>
      </c>
      <c r="C449" s="29" t="str">
        <f t="shared" ca="1" si="20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18"/>
        <v>0</v>
      </c>
    </row>
    <row r="450" spans="2:12" x14ac:dyDescent="0.3">
      <c r="B450" s="28" t="str">
        <f t="shared" ca="1" si="19"/>
        <v/>
      </c>
      <c r="C450" s="29" t="str">
        <f t="shared" ca="1" si="20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18"/>
        <v>0</v>
      </c>
    </row>
    <row r="451" spans="2:12" x14ac:dyDescent="0.3">
      <c r="B451" s="28" t="str">
        <f t="shared" ca="1" si="19"/>
        <v/>
      </c>
      <c r="C451" s="29" t="str">
        <f t="shared" ca="1" si="20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18"/>
        <v>0</v>
      </c>
    </row>
    <row r="452" spans="2:12" x14ac:dyDescent="0.3">
      <c r="B452" s="28" t="str">
        <f t="shared" ca="1" si="19"/>
        <v/>
      </c>
      <c r="C452" s="29" t="str">
        <f t="shared" ca="1" si="20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18"/>
        <v>0</v>
      </c>
    </row>
    <row r="453" spans="2:12" x14ac:dyDescent="0.3">
      <c r="B453" s="28" t="str">
        <f t="shared" ca="1" si="19"/>
        <v/>
      </c>
      <c r="C453" s="29" t="str">
        <f t="shared" ca="1" si="20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18"/>
        <v>0</v>
      </c>
    </row>
    <row r="454" spans="2:12" x14ac:dyDescent="0.3">
      <c r="B454" s="28" t="str">
        <f t="shared" ca="1" si="19"/>
        <v/>
      </c>
      <c r="C454" s="29" t="str">
        <f t="shared" ca="1" si="20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18"/>
        <v>0</v>
      </c>
    </row>
    <row r="455" spans="2:12" x14ac:dyDescent="0.3">
      <c r="B455" s="28" t="str">
        <f t="shared" ca="1" si="19"/>
        <v/>
      </c>
      <c r="C455" s="29" t="str">
        <f t="shared" ca="1" si="20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18"/>
        <v>0</v>
      </c>
    </row>
    <row r="456" spans="2:12" x14ac:dyDescent="0.3">
      <c r="B456" s="28" t="str">
        <f t="shared" ca="1" si="19"/>
        <v/>
      </c>
      <c r="C456" s="29" t="str">
        <f t="shared" ca="1" si="20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18"/>
        <v>0</v>
      </c>
    </row>
    <row r="457" spans="2:12" x14ac:dyDescent="0.3">
      <c r="B457" s="28" t="str">
        <f t="shared" ca="1" si="19"/>
        <v/>
      </c>
      <c r="C457" s="29" t="str">
        <f t="shared" ca="1" si="20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18"/>
        <v>0</v>
      </c>
    </row>
    <row r="458" spans="2:12" x14ac:dyDescent="0.3">
      <c r="B458" s="28" t="str">
        <f t="shared" ca="1" si="19"/>
        <v/>
      </c>
      <c r="C458" s="29" t="str">
        <f t="shared" ca="1" si="20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18"/>
        <v>0</v>
      </c>
    </row>
    <row r="459" spans="2:12" x14ac:dyDescent="0.3">
      <c r="B459" s="28" t="str">
        <f t="shared" ca="1" si="19"/>
        <v/>
      </c>
      <c r="C459" s="29" t="str">
        <f t="shared" ca="1" si="20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18"/>
        <v>0</v>
      </c>
    </row>
    <row r="460" spans="2:12" x14ac:dyDescent="0.3">
      <c r="B460" s="28" t="str">
        <f t="shared" ca="1" si="19"/>
        <v/>
      </c>
      <c r="C460" s="29" t="str">
        <f t="shared" ca="1" si="20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18"/>
        <v>0</v>
      </c>
    </row>
    <row r="461" spans="2:12" x14ac:dyDescent="0.3">
      <c r="B461" s="28" t="str">
        <f t="shared" ca="1" si="19"/>
        <v/>
      </c>
      <c r="C461" s="29" t="str">
        <f t="shared" ca="1" si="20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18"/>
        <v>0</v>
      </c>
    </row>
    <row r="462" spans="2:12" x14ac:dyDescent="0.3">
      <c r="B462" s="28" t="str">
        <f t="shared" ca="1" si="19"/>
        <v/>
      </c>
      <c r="C462" s="29" t="str">
        <f t="shared" ca="1" si="20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18"/>
        <v>0</v>
      </c>
    </row>
    <row r="463" spans="2:12" x14ac:dyDescent="0.3">
      <c r="B463" s="28" t="str">
        <f t="shared" ca="1" si="19"/>
        <v/>
      </c>
      <c r="C463" s="29" t="str">
        <f t="shared" ca="1" si="20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18"/>
        <v>0</v>
      </c>
    </row>
    <row r="464" spans="2:12" x14ac:dyDescent="0.3">
      <c r="B464" s="28" t="str">
        <f t="shared" ca="1" si="19"/>
        <v/>
      </c>
      <c r="C464" s="29" t="str">
        <f t="shared" ca="1" si="20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ref="L464:L527" si="21">J464-I464-K464</f>
        <v>0</v>
      </c>
    </row>
    <row r="465" spans="2:12" x14ac:dyDescent="0.3">
      <c r="B465" s="28" t="str">
        <f t="shared" ref="B465:B528" ca="1" si="22">IF(D465&lt;&gt;"",DATE(Jahr,_xlfn.SHEET()-2,D465),"")</f>
        <v/>
      </c>
      <c r="C465" s="29" t="str">
        <f t="shared" ref="C465:C528" ca="1" si="23">B465</f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1"/>
        <v>0</v>
      </c>
    </row>
    <row r="507" spans="2:12" x14ac:dyDescent="0.3">
      <c r="B507" s="28" t="str">
        <f t="shared" ca="1" si="22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1"/>
        <v>0</v>
      </c>
    </row>
    <row r="508" spans="2:12" x14ac:dyDescent="0.3">
      <c r="B508" s="28" t="str">
        <f t="shared" ca="1" si="22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1"/>
        <v>0</v>
      </c>
    </row>
    <row r="509" spans="2:12" x14ac:dyDescent="0.3">
      <c r="B509" s="28" t="str">
        <f t="shared" ca="1" si="22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1"/>
        <v>0</v>
      </c>
    </row>
    <row r="510" spans="2:12" x14ac:dyDescent="0.3">
      <c r="B510" s="28" t="str">
        <f t="shared" ca="1" si="22"/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1"/>
        <v>0</v>
      </c>
    </row>
    <row r="511" spans="2:12" x14ac:dyDescent="0.3">
      <c r="B511" s="28" t="str">
        <f t="shared" ca="1" si="22"/>
        <v/>
      </c>
      <c r="C511" s="29" t="str">
        <f t="shared" ca="1" si="23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1"/>
        <v>0</v>
      </c>
    </row>
    <row r="512" spans="2:12" x14ac:dyDescent="0.3">
      <c r="B512" s="28" t="str">
        <f t="shared" ca="1" si="22"/>
        <v/>
      </c>
      <c r="C512" s="29" t="str">
        <f t="shared" ca="1" si="23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1"/>
        <v>0</v>
      </c>
    </row>
    <row r="513" spans="2:12" x14ac:dyDescent="0.3">
      <c r="B513" s="28" t="str">
        <f t="shared" ca="1" si="22"/>
        <v/>
      </c>
      <c r="C513" s="29" t="str">
        <f t="shared" ca="1" si="23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1"/>
        <v>0</v>
      </c>
    </row>
    <row r="514" spans="2:12" x14ac:dyDescent="0.3">
      <c r="B514" s="28" t="str">
        <f t="shared" ca="1" si="22"/>
        <v/>
      </c>
      <c r="C514" s="29" t="str">
        <f t="shared" ca="1" si="23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1"/>
        <v>0</v>
      </c>
    </row>
    <row r="515" spans="2:12" x14ac:dyDescent="0.3">
      <c r="B515" s="28" t="str">
        <f t="shared" ca="1" si="22"/>
        <v/>
      </c>
      <c r="C515" s="29" t="str">
        <f t="shared" ca="1" si="23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1"/>
        <v>0</v>
      </c>
    </row>
    <row r="516" spans="2:12" x14ac:dyDescent="0.3">
      <c r="B516" s="28" t="str">
        <f t="shared" ca="1" si="22"/>
        <v/>
      </c>
      <c r="C516" s="29" t="str">
        <f t="shared" ca="1" si="23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1"/>
        <v>0</v>
      </c>
    </row>
    <row r="517" spans="2:12" x14ac:dyDescent="0.3">
      <c r="B517" s="28" t="str">
        <f t="shared" ca="1" si="22"/>
        <v/>
      </c>
      <c r="C517" s="29" t="str">
        <f t="shared" ca="1" si="23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1"/>
        <v>0</v>
      </c>
    </row>
    <row r="518" spans="2:12" x14ac:dyDescent="0.3">
      <c r="B518" s="28" t="str">
        <f t="shared" ca="1" si="22"/>
        <v/>
      </c>
      <c r="C518" s="29" t="str">
        <f t="shared" ca="1" si="23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1"/>
        <v>0</v>
      </c>
    </row>
    <row r="519" spans="2:12" x14ac:dyDescent="0.3">
      <c r="B519" s="28" t="str">
        <f t="shared" ca="1" si="22"/>
        <v/>
      </c>
      <c r="C519" s="29" t="str">
        <f t="shared" ca="1" si="23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1"/>
        <v>0</v>
      </c>
    </row>
    <row r="520" spans="2:12" x14ac:dyDescent="0.3">
      <c r="B520" s="28" t="str">
        <f t="shared" ca="1" si="22"/>
        <v/>
      </c>
      <c r="C520" s="29" t="str">
        <f t="shared" ca="1" si="23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1"/>
        <v>0</v>
      </c>
    </row>
    <row r="521" spans="2:12" x14ac:dyDescent="0.3">
      <c r="B521" s="28" t="str">
        <f t="shared" ca="1" si="22"/>
        <v/>
      </c>
      <c r="C521" s="29" t="str">
        <f t="shared" ca="1" si="23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1"/>
        <v>0</v>
      </c>
    </row>
    <row r="522" spans="2:12" x14ac:dyDescent="0.3">
      <c r="B522" s="28" t="str">
        <f t="shared" ca="1" si="22"/>
        <v/>
      </c>
      <c r="C522" s="29" t="str">
        <f t="shared" ca="1" si="23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1"/>
        <v>0</v>
      </c>
    </row>
    <row r="523" spans="2:12" x14ac:dyDescent="0.3">
      <c r="B523" s="28" t="str">
        <f t="shared" ca="1" si="22"/>
        <v/>
      </c>
      <c r="C523" s="29" t="str">
        <f t="shared" ca="1" si="23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1"/>
        <v>0</v>
      </c>
    </row>
    <row r="524" spans="2:12" x14ac:dyDescent="0.3">
      <c r="B524" s="28" t="str">
        <f t="shared" ca="1" si="22"/>
        <v/>
      </c>
      <c r="C524" s="29" t="str">
        <f t="shared" ca="1" si="23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1"/>
        <v>0</v>
      </c>
    </row>
    <row r="525" spans="2:12" x14ac:dyDescent="0.3">
      <c r="B525" s="28" t="str">
        <f t="shared" ca="1" si="22"/>
        <v/>
      </c>
      <c r="C525" s="29" t="str">
        <f t="shared" ca="1" si="23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1"/>
        <v>0</v>
      </c>
    </row>
    <row r="526" spans="2:12" x14ac:dyDescent="0.3">
      <c r="B526" s="28" t="str">
        <f t="shared" ca="1" si="22"/>
        <v/>
      </c>
      <c r="C526" s="29" t="str">
        <f t="shared" ca="1" si="23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1"/>
        <v>0</v>
      </c>
    </row>
    <row r="527" spans="2:12" x14ac:dyDescent="0.3">
      <c r="B527" s="28" t="str">
        <f t="shared" ca="1" si="22"/>
        <v/>
      </c>
      <c r="C527" s="29" t="str">
        <f t="shared" ca="1" si="23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1"/>
        <v>0</v>
      </c>
    </row>
    <row r="528" spans="2:12" x14ac:dyDescent="0.3">
      <c r="B528" s="28" t="str">
        <f t="shared" ca="1" si="22"/>
        <v/>
      </c>
      <c r="C528" s="29" t="str">
        <f t="shared" ca="1" si="23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ref="L528:L591" si="24">J528-I528-K528</f>
        <v>0</v>
      </c>
    </row>
    <row r="529" spans="2:12" x14ac:dyDescent="0.3">
      <c r="B529" s="28" t="str">
        <f t="shared" ref="B529:B592" ca="1" si="25">IF(D529&lt;&gt;"",DATE(Jahr,_xlfn.SHEET()-2,D529),"")</f>
        <v/>
      </c>
      <c r="C529" s="29" t="str">
        <f t="shared" ref="C529:C592" ca="1" si="26">B529</f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4"/>
        <v>0</v>
      </c>
    </row>
    <row r="571" spans="2:12" x14ac:dyDescent="0.3">
      <c r="B571" s="28" t="str">
        <f t="shared" ca="1" si="25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4"/>
        <v>0</v>
      </c>
    </row>
    <row r="572" spans="2:12" x14ac:dyDescent="0.3">
      <c r="B572" s="28" t="str">
        <f t="shared" ca="1" si="25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4"/>
        <v>0</v>
      </c>
    </row>
    <row r="573" spans="2:12" x14ac:dyDescent="0.3">
      <c r="B573" s="28" t="str">
        <f t="shared" ca="1" si="25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4"/>
        <v>0</v>
      </c>
    </row>
    <row r="574" spans="2:12" x14ac:dyDescent="0.3">
      <c r="B574" s="28" t="str">
        <f t="shared" ca="1" si="25"/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4"/>
        <v>0</v>
      </c>
    </row>
    <row r="575" spans="2:12" x14ac:dyDescent="0.3">
      <c r="B575" s="28" t="str">
        <f t="shared" ca="1" si="25"/>
        <v/>
      </c>
      <c r="C575" s="29" t="str">
        <f t="shared" ca="1" si="26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4"/>
        <v>0</v>
      </c>
    </row>
    <row r="576" spans="2:12" x14ac:dyDescent="0.3">
      <c r="B576" s="28" t="str">
        <f t="shared" ca="1" si="25"/>
        <v/>
      </c>
      <c r="C576" s="29" t="str">
        <f t="shared" ca="1" si="26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4"/>
        <v>0</v>
      </c>
    </row>
    <row r="577" spans="2:12" x14ac:dyDescent="0.3">
      <c r="B577" s="28" t="str">
        <f t="shared" ca="1" si="25"/>
        <v/>
      </c>
      <c r="C577" s="29" t="str">
        <f t="shared" ca="1" si="26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4"/>
        <v>0</v>
      </c>
    </row>
    <row r="578" spans="2:12" x14ac:dyDescent="0.3">
      <c r="B578" s="28" t="str">
        <f t="shared" ca="1" si="25"/>
        <v/>
      </c>
      <c r="C578" s="29" t="str">
        <f t="shared" ca="1" si="26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4"/>
        <v>0</v>
      </c>
    </row>
    <row r="579" spans="2:12" x14ac:dyDescent="0.3">
      <c r="B579" s="28" t="str">
        <f t="shared" ca="1" si="25"/>
        <v/>
      </c>
      <c r="C579" s="29" t="str">
        <f t="shared" ca="1" si="26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4"/>
        <v>0</v>
      </c>
    </row>
    <row r="580" spans="2:12" x14ac:dyDescent="0.3">
      <c r="B580" s="28" t="str">
        <f t="shared" ca="1" si="25"/>
        <v/>
      </c>
      <c r="C580" s="29" t="str">
        <f t="shared" ca="1" si="26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4"/>
        <v>0</v>
      </c>
    </row>
    <row r="581" spans="2:12" x14ac:dyDescent="0.3">
      <c r="B581" s="28" t="str">
        <f t="shared" ca="1" si="25"/>
        <v/>
      </c>
      <c r="C581" s="29" t="str">
        <f t="shared" ca="1" si="26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4"/>
        <v>0</v>
      </c>
    </row>
    <row r="582" spans="2:12" x14ac:dyDescent="0.3">
      <c r="B582" s="28" t="str">
        <f t="shared" ca="1" si="25"/>
        <v/>
      </c>
      <c r="C582" s="29" t="str">
        <f t="shared" ca="1" si="26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4"/>
        <v>0</v>
      </c>
    </row>
    <row r="583" spans="2:12" x14ac:dyDescent="0.3">
      <c r="B583" s="28" t="str">
        <f t="shared" ca="1" si="25"/>
        <v/>
      </c>
      <c r="C583" s="29" t="str">
        <f t="shared" ca="1" si="26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4"/>
        <v>0</v>
      </c>
    </row>
    <row r="584" spans="2:12" x14ac:dyDescent="0.3">
      <c r="B584" s="28" t="str">
        <f t="shared" ca="1" si="25"/>
        <v/>
      </c>
      <c r="C584" s="29" t="str">
        <f t="shared" ca="1" si="26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4"/>
        <v>0</v>
      </c>
    </row>
    <row r="585" spans="2:12" x14ac:dyDescent="0.3">
      <c r="B585" s="28" t="str">
        <f t="shared" ca="1" si="25"/>
        <v/>
      </c>
      <c r="C585" s="29" t="str">
        <f t="shared" ca="1" si="26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4"/>
        <v>0</v>
      </c>
    </row>
    <row r="586" spans="2:12" x14ac:dyDescent="0.3">
      <c r="B586" s="28" t="str">
        <f t="shared" ca="1" si="25"/>
        <v/>
      </c>
      <c r="C586" s="29" t="str">
        <f t="shared" ca="1" si="26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4"/>
        <v>0</v>
      </c>
    </row>
    <row r="587" spans="2:12" x14ac:dyDescent="0.3">
      <c r="B587" s="28" t="str">
        <f t="shared" ca="1" si="25"/>
        <v/>
      </c>
      <c r="C587" s="29" t="str">
        <f t="shared" ca="1" si="26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4"/>
        <v>0</v>
      </c>
    </row>
    <row r="588" spans="2:12" x14ac:dyDescent="0.3">
      <c r="B588" s="28" t="str">
        <f t="shared" ca="1" si="25"/>
        <v/>
      </c>
      <c r="C588" s="29" t="str">
        <f t="shared" ca="1" si="26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4"/>
        <v>0</v>
      </c>
    </row>
    <row r="589" spans="2:12" x14ac:dyDescent="0.3">
      <c r="B589" s="28" t="str">
        <f t="shared" ca="1" si="25"/>
        <v/>
      </c>
      <c r="C589" s="29" t="str">
        <f t="shared" ca="1" si="26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4"/>
        <v>0</v>
      </c>
    </row>
    <row r="590" spans="2:12" x14ac:dyDescent="0.3">
      <c r="B590" s="28" t="str">
        <f t="shared" ca="1" si="25"/>
        <v/>
      </c>
      <c r="C590" s="29" t="str">
        <f t="shared" ca="1" si="26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4"/>
        <v>0</v>
      </c>
    </row>
    <row r="591" spans="2:12" x14ac:dyDescent="0.3">
      <c r="B591" s="28" t="str">
        <f t="shared" ca="1" si="25"/>
        <v/>
      </c>
      <c r="C591" s="29" t="str">
        <f t="shared" ca="1" si="26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4"/>
        <v>0</v>
      </c>
    </row>
    <row r="592" spans="2:12" x14ac:dyDescent="0.3">
      <c r="B592" s="28" t="str">
        <f t="shared" ca="1" si="25"/>
        <v/>
      </c>
      <c r="C592" s="29" t="str">
        <f t="shared" ca="1" si="26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ref="L592:L655" si="27">J592-I592-K592</f>
        <v>0</v>
      </c>
    </row>
    <row r="593" spans="2:12" x14ac:dyDescent="0.3">
      <c r="B593" s="28" t="str">
        <f t="shared" ref="B593:B656" ca="1" si="28">IF(D593&lt;&gt;"",DATE(Jahr,_xlfn.SHEET()-2,D593),"")</f>
        <v/>
      </c>
      <c r="C593" s="29" t="str">
        <f t="shared" ref="C593:C656" ca="1" si="29">B593</f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7"/>
        <v>0</v>
      </c>
    </row>
    <row r="635" spans="2:12" x14ac:dyDescent="0.3">
      <c r="B635" s="28" t="str">
        <f t="shared" ca="1" si="28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7"/>
        <v>0</v>
      </c>
    </row>
    <row r="636" spans="2:12" x14ac:dyDescent="0.3">
      <c r="B636" s="28" t="str">
        <f t="shared" ca="1" si="28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7"/>
        <v>0</v>
      </c>
    </row>
    <row r="637" spans="2:12" x14ac:dyDescent="0.3">
      <c r="B637" s="28" t="str">
        <f t="shared" ca="1" si="28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7"/>
        <v>0</v>
      </c>
    </row>
    <row r="638" spans="2:12" x14ac:dyDescent="0.3">
      <c r="B638" s="28" t="str">
        <f t="shared" ca="1" si="28"/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27"/>
        <v>0</v>
      </c>
    </row>
    <row r="639" spans="2:12" x14ac:dyDescent="0.3">
      <c r="B639" s="28" t="str">
        <f t="shared" ca="1" si="28"/>
        <v/>
      </c>
      <c r="C639" s="29" t="str">
        <f t="shared" ca="1" si="29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27"/>
        <v>0</v>
      </c>
    </row>
    <row r="640" spans="2:12" x14ac:dyDescent="0.3">
      <c r="B640" s="28" t="str">
        <f t="shared" ca="1" si="28"/>
        <v/>
      </c>
      <c r="C640" s="29" t="str">
        <f t="shared" ca="1" si="29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27"/>
        <v>0</v>
      </c>
    </row>
    <row r="641" spans="2:12" x14ac:dyDescent="0.3">
      <c r="B641" s="28" t="str">
        <f t="shared" ca="1" si="28"/>
        <v/>
      </c>
      <c r="C641" s="29" t="str">
        <f t="shared" ca="1" si="29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27"/>
        <v>0</v>
      </c>
    </row>
    <row r="642" spans="2:12" x14ac:dyDescent="0.3">
      <c r="B642" s="28" t="str">
        <f t="shared" ca="1" si="28"/>
        <v/>
      </c>
      <c r="C642" s="29" t="str">
        <f t="shared" ca="1" si="29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27"/>
        <v>0</v>
      </c>
    </row>
    <row r="643" spans="2:12" x14ac:dyDescent="0.3">
      <c r="B643" s="28" t="str">
        <f t="shared" ca="1" si="28"/>
        <v/>
      </c>
      <c r="C643" s="29" t="str">
        <f t="shared" ca="1" si="29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27"/>
        <v>0</v>
      </c>
    </row>
    <row r="644" spans="2:12" x14ac:dyDescent="0.3">
      <c r="B644" s="28" t="str">
        <f t="shared" ca="1" si="28"/>
        <v/>
      </c>
      <c r="C644" s="29" t="str">
        <f t="shared" ca="1" si="29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27"/>
        <v>0</v>
      </c>
    </row>
    <row r="645" spans="2:12" x14ac:dyDescent="0.3">
      <c r="B645" s="28" t="str">
        <f t="shared" ca="1" si="28"/>
        <v/>
      </c>
      <c r="C645" s="29" t="str">
        <f t="shared" ca="1" si="29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27"/>
        <v>0</v>
      </c>
    </row>
    <row r="646" spans="2:12" x14ac:dyDescent="0.3">
      <c r="B646" s="28" t="str">
        <f t="shared" ca="1" si="28"/>
        <v/>
      </c>
      <c r="C646" s="29" t="str">
        <f t="shared" ca="1" si="29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27"/>
        <v>0</v>
      </c>
    </row>
    <row r="647" spans="2:12" x14ac:dyDescent="0.3">
      <c r="B647" s="28" t="str">
        <f t="shared" ca="1" si="28"/>
        <v/>
      </c>
      <c r="C647" s="29" t="str">
        <f t="shared" ca="1" si="29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27"/>
        <v>0</v>
      </c>
    </row>
    <row r="648" spans="2:12" x14ac:dyDescent="0.3">
      <c r="B648" s="28" t="str">
        <f t="shared" ca="1" si="28"/>
        <v/>
      </c>
      <c r="C648" s="29" t="str">
        <f t="shared" ca="1" si="29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27"/>
        <v>0</v>
      </c>
    </row>
    <row r="649" spans="2:12" x14ac:dyDescent="0.3">
      <c r="B649" s="28" t="str">
        <f t="shared" ca="1" si="28"/>
        <v/>
      </c>
      <c r="C649" s="29" t="str">
        <f t="shared" ca="1" si="29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27"/>
        <v>0</v>
      </c>
    </row>
    <row r="650" spans="2:12" x14ac:dyDescent="0.3">
      <c r="B650" s="28" t="str">
        <f t="shared" ca="1" si="28"/>
        <v/>
      </c>
      <c r="C650" s="29" t="str">
        <f t="shared" ca="1" si="29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27"/>
        <v>0</v>
      </c>
    </row>
    <row r="651" spans="2:12" x14ac:dyDescent="0.3">
      <c r="B651" s="28" t="str">
        <f t="shared" ca="1" si="28"/>
        <v/>
      </c>
      <c r="C651" s="29" t="str">
        <f t="shared" ca="1" si="29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27"/>
        <v>0</v>
      </c>
    </row>
    <row r="652" spans="2:12" x14ac:dyDescent="0.3">
      <c r="B652" s="28" t="str">
        <f t="shared" ca="1" si="28"/>
        <v/>
      </c>
      <c r="C652" s="29" t="str">
        <f t="shared" ca="1" si="29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27"/>
        <v>0</v>
      </c>
    </row>
    <row r="653" spans="2:12" x14ac:dyDescent="0.3">
      <c r="B653" s="28" t="str">
        <f t="shared" ca="1" si="28"/>
        <v/>
      </c>
      <c r="C653" s="29" t="str">
        <f t="shared" ca="1" si="29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27"/>
        <v>0</v>
      </c>
    </row>
    <row r="654" spans="2:12" x14ac:dyDescent="0.3">
      <c r="B654" s="28" t="str">
        <f t="shared" ca="1" si="28"/>
        <v/>
      </c>
      <c r="C654" s="29" t="str">
        <f t="shared" ca="1" si="29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27"/>
        <v>0</v>
      </c>
    </row>
    <row r="655" spans="2:12" x14ac:dyDescent="0.3">
      <c r="B655" s="28" t="str">
        <f t="shared" ca="1" si="28"/>
        <v/>
      </c>
      <c r="C655" s="29" t="str">
        <f t="shared" ca="1" si="29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27"/>
        <v>0</v>
      </c>
    </row>
    <row r="656" spans="2:12" x14ac:dyDescent="0.3">
      <c r="B656" s="28" t="str">
        <f t="shared" ca="1" si="28"/>
        <v/>
      </c>
      <c r="C656" s="29" t="str">
        <f t="shared" ca="1" si="29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ref="L656:L719" si="30">J656-I656-K656</f>
        <v>0</v>
      </c>
    </row>
    <row r="657" spans="2:12" x14ac:dyDescent="0.3">
      <c r="B657" s="28" t="str">
        <f t="shared" ref="B657:B720" ca="1" si="31">IF(D657&lt;&gt;"",DATE(Jahr,_xlfn.SHEET()-2,D657),"")</f>
        <v/>
      </c>
      <c r="C657" s="29" t="str">
        <f t="shared" ref="C657:C720" ca="1" si="32">B657</f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0"/>
        <v>0</v>
      </c>
    </row>
    <row r="699" spans="2:12" x14ac:dyDescent="0.3">
      <c r="B699" s="28" t="str">
        <f t="shared" ca="1" si="31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0"/>
        <v>0</v>
      </c>
    </row>
    <row r="700" spans="2:12" x14ac:dyDescent="0.3">
      <c r="B700" s="28" t="str">
        <f t="shared" ca="1" si="31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0"/>
        <v>0</v>
      </c>
    </row>
    <row r="701" spans="2:12" x14ac:dyDescent="0.3">
      <c r="B701" s="28" t="str">
        <f t="shared" ca="1" si="31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0"/>
        <v>0</v>
      </c>
    </row>
    <row r="702" spans="2:12" x14ac:dyDescent="0.3">
      <c r="B702" s="28" t="str">
        <f t="shared" ca="1" si="31"/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0"/>
        <v>0</v>
      </c>
    </row>
    <row r="703" spans="2:12" x14ac:dyDescent="0.3">
      <c r="B703" s="28" t="str">
        <f t="shared" ca="1" si="31"/>
        <v/>
      </c>
      <c r="C703" s="29" t="str">
        <f t="shared" ca="1" si="32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0"/>
        <v>0</v>
      </c>
    </row>
    <row r="704" spans="2:12" x14ac:dyDescent="0.3">
      <c r="B704" s="28" t="str">
        <f t="shared" ca="1" si="31"/>
        <v/>
      </c>
      <c r="C704" s="29" t="str">
        <f t="shared" ca="1" si="32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0"/>
        <v>0</v>
      </c>
    </row>
    <row r="705" spans="2:12" x14ac:dyDescent="0.3">
      <c r="B705" s="28" t="str">
        <f t="shared" ca="1" si="31"/>
        <v/>
      </c>
      <c r="C705" s="29" t="str">
        <f t="shared" ca="1" si="32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0"/>
        <v>0</v>
      </c>
    </row>
    <row r="706" spans="2:12" x14ac:dyDescent="0.3">
      <c r="B706" s="28" t="str">
        <f t="shared" ca="1" si="31"/>
        <v/>
      </c>
      <c r="C706" s="29" t="str">
        <f t="shared" ca="1" si="32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0"/>
        <v>0</v>
      </c>
    </row>
    <row r="707" spans="2:12" x14ac:dyDescent="0.3">
      <c r="B707" s="28" t="str">
        <f t="shared" ca="1" si="31"/>
        <v/>
      </c>
      <c r="C707" s="29" t="str">
        <f t="shared" ca="1" si="32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0"/>
        <v>0</v>
      </c>
    </row>
    <row r="708" spans="2:12" x14ac:dyDescent="0.3">
      <c r="B708" s="28" t="str">
        <f t="shared" ca="1" si="31"/>
        <v/>
      </c>
      <c r="C708" s="29" t="str">
        <f t="shared" ca="1" si="32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0"/>
        <v>0</v>
      </c>
    </row>
    <row r="709" spans="2:12" x14ac:dyDescent="0.3">
      <c r="B709" s="28" t="str">
        <f t="shared" ca="1" si="31"/>
        <v/>
      </c>
      <c r="C709" s="29" t="str">
        <f t="shared" ca="1" si="32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0"/>
        <v>0</v>
      </c>
    </row>
    <row r="710" spans="2:12" x14ac:dyDescent="0.3">
      <c r="B710" s="28" t="str">
        <f t="shared" ca="1" si="31"/>
        <v/>
      </c>
      <c r="C710" s="29" t="str">
        <f t="shared" ca="1" si="32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0"/>
        <v>0</v>
      </c>
    </row>
    <row r="711" spans="2:12" x14ac:dyDescent="0.3">
      <c r="B711" s="28" t="str">
        <f t="shared" ca="1" si="31"/>
        <v/>
      </c>
      <c r="C711" s="29" t="str">
        <f t="shared" ca="1" si="32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0"/>
        <v>0</v>
      </c>
    </row>
    <row r="712" spans="2:12" x14ac:dyDescent="0.3">
      <c r="B712" s="28" t="str">
        <f t="shared" ca="1" si="31"/>
        <v/>
      </c>
      <c r="C712" s="29" t="str">
        <f t="shared" ca="1" si="32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0"/>
        <v>0</v>
      </c>
    </row>
    <row r="713" spans="2:12" x14ac:dyDescent="0.3">
      <c r="B713" s="28" t="str">
        <f t="shared" ca="1" si="31"/>
        <v/>
      </c>
      <c r="C713" s="29" t="str">
        <f t="shared" ca="1" si="32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0"/>
        <v>0</v>
      </c>
    </row>
    <row r="714" spans="2:12" x14ac:dyDescent="0.3">
      <c r="B714" s="28" t="str">
        <f t="shared" ca="1" si="31"/>
        <v/>
      </c>
      <c r="C714" s="29" t="str">
        <f t="shared" ca="1" si="32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0"/>
        <v>0</v>
      </c>
    </row>
    <row r="715" spans="2:12" x14ac:dyDescent="0.3">
      <c r="B715" s="28" t="str">
        <f t="shared" ca="1" si="31"/>
        <v/>
      </c>
      <c r="C715" s="29" t="str">
        <f t="shared" ca="1" si="32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0"/>
        <v>0</v>
      </c>
    </row>
    <row r="716" spans="2:12" x14ac:dyDescent="0.3">
      <c r="B716" s="28" t="str">
        <f t="shared" ca="1" si="31"/>
        <v/>
      </c>
      <c r="C716" s="29" t="str">
        <f t="shared" ca="1" si="32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0"/>
        <v>0</v>
      </c>
    </row>
    <row r="717" spans="2:12" x14ac:dyDescent="0.3">
      <c r="B717" s="28" t="str">
        <f t="shared" ca="1" si="31"/>
        <v/>
      </c>
      <c r="C717" s="29" t="str">
        <f t="shared" ca="1" si="32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0"/>
        <v>0</v>
      </c>
    </row>
    <row r="718" spans="2:12" x14ac:dyDescent="0.3">
      <c r="B718" s="28" t="str">
        <f t="shared" ca="1" si="31"/>
        <v/>
      </c>
      <c r="C718" s="29" t="str">
        <f t="shared" ca="1" si="32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0"/>
        <v>0</v>
      </c>
    </row>
    <row r="719" spans="2:12" x14ac:dyDescent="0.3">
      <c r="B719" s="28" t="str">
        <f t="shared" ca="1" si="31"/>
        <v/>
      </c>
      <c r="C719" s="29" t="str">
        <f t="shared" ca="1" si="32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0"/>
        <v>0</v>
      </c>
    </row>
    <row r="720" spans="2:12" x14ac:dyDescent="0.3">
      <c r="B720" s="28" t="str">
        <f t="shared" ca="1" si="31"/>
        <v/>
      </c>
      <c r="C720" s="29" t="str">
        <f t="shared" ca="1" si="32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ref="L720:L783" si="33">J720-I720-K720</f>
        <v>0</v>
      </c>
    </row>
    <row r="721" spans="2:12" x14ac:dyDescent="0.3">
      <c r="B721" s="28" t="str">
        <f t="shared" ref="B721:B784" ca="1" si="34">IF(D721&lt;&gt;"",DATE(Jahr,_xlfn.SHEET()-2,D721),"")</f>
        <v/>
      </c>
      <c r="C721" s="29" t="str">
        <f t="shared" ref="C721:C784" ca="1" si="35">B721</f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3"/>
        <v>0</v>
      </c>
    </row>
    <row r="763" spans="2:12" x14ac:dyDescent="0.3">
      <c r="B763" s="28" t="str">
        <f t="shared" ca="1" si="34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3"/>
        <v>0</v>
      </c>
    </row>
    <row r="764" spans="2:12" x14ac:dyDescent="0.3">
      <c r="B764" s="28" t="str">
        <f t="shared" ca="1" si="34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3"/>
        <v>0</v>
      </c>
    </row>
    <row r="765" spans="2:12" x14ac:dyDescent="0.3">
      <c r="B765" s="28" t="str">
        <f t="shared" ca="1" si="34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3"/>
        <v>0</v>
      </c>
    </row>
    <row r="766" spans="2:12" x14ac:dyDescent="0.3">
      <c r="B766" s="28" t="str">
        <f t="shared" ca="1" si="34"/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3"/>
        <v>0</v>
      </c>
    </row>
    <row r="767" spans="2:12" x14ac:dyDescent="0.3">
      <c r="B767" s="28" t="str">
        <f t="shared" ca="1" si="34"/>
        <v/>
      </c>
      <c r="C767" s="29" t="str">
        <f t="shared" ca="1" si="35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3"/>
        <v>0</v>
      </c>
    </row>
    <row r="768" spans="2:12" x14ac:dyDescent="0.3">
      <c r="B768" s="28" t="str">
        <f t="shared" ca="1" si="34"/>
        <v/>
      </c>
      <c r="C768" s="29" t="str">
        <f t="shared" ca="1" si="35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3"/>
        <v>0</v>
      </c>
    </row>
    <row r="769" spans="2:12" x14ac:dyDescent="0.3">
      <c r="B769" s="28" t="str">
        <f t="shared" ca="1" si="34"/>
        <v/>
      </c>
      <c r="C769" s="29" t="str">
        <f t="shared" ca="1" si="35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3"/>
        <v>0</v>
      </c>
    </row>
    <row r="770" spans="2:12" x14ac:dyDescent="0.3">
      <c r="B770" s="28" t="str">
        <f t="shared" ca="1" si="34"/>
        <v/>
      </c>
      <c r="C770" s="29" t="str">
        <f t="shared" ca="1" si="35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3"/>
        <v>0</v>
      </c>
    </row>
    <row r="771" spans="2:12" x14ac:dyDescent="0.3">
      <c r="B771" s="28" t="str">
        <f t="shared" ca="1" si="34"/>
        <v/>
      </c>
      <c r="C771" s="29" t="str">
        <f t="shared" ca="1" si="35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3"/>
        <v>0</v>
      </c>
    </row>
    <row r="772" spans="2:12" x14ac:dyDescent="0.3">
      <c r="B772" s="28" t="str">
        <f t="shared" ca="1" si="34"/>
        <v/>
      </c>
      <c r="C772" s="29" t="str">
        <f t="shared" ca="1" si="35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3"/>
        <v>0</v>
      </c>
    </row>
    <row r="773" spans="2:12" x14ac:dyDescent="0.3">
      <c r="B773" s="28" t="str">
        <f t="shared" ca="1" si="34"/>
        <v/>
      </c>
      <c r="C773" s="29" t="str">
        <f t="shared" ca="1" si="35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3"/>
        <v>0</v>
      </c>
    </row>
    <row r="774" spans="2:12" x14ac:dyDescent="0.3">
      <c r="B774" s="28" t="str">
        <f t="shared" ca="1" si="34"/>
        <v/>
      </c>
      <c r="C774" s="29" t="str">
        <f t="shared" ca="1" si="35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3"/>
        <v>0</v>
      </c>
    </row>
    <row r="775" spans="2:12" x14ac:dyDescent="0.3">
      <c r="B775" s="28" t="str">
        <f t="shared" ca="1" si="34"/>
        <v/>
      </c>
      <c r="C775" s="29" t="str">
        <f t="shared" ca="1" si="35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3"/>
        <v>0</v>
      </c>
    </row>
    <row r="776" spans="2:12" x14ac:dyDescent="0.3">
      <c r="B776" s="28" t="str">
        <f t="shared" ca="1" si="34"/>
        <v/>
      </c>
      <c r="C776" s="29" t="str">
        <f t="shared" ca="1" si="35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3"/>
        <v>0</v>
      </c>
    </row>
    <row r="777" spans="2:12" x14ac:dyDescent="0.3">
      <c r="B777" s="28" t="str">
        <f t="shared" ca="1" si="34"/>
        <v/>
      </c>
      <c r="C777" s="29" t="str">
        <f t="shared" ca="1" si="35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3"/>
        <v>0</v>
      </c>
    </row>
    <row r="778" spans="2:12" x14ac:dyDescent="0.3">
      <c r="B778" s="28" t="str">
        <f t="shared" ca="1" si="34"/>
        <v/>
      </c>
      <c r="C778" s="29" t="str">
        <f t="shared" ca="1" si="35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3"/>
        <v>0</v>
      </c>
    </row>
    <row r="779" spans="2:12" x14ac:dyDescent="0.3">
      <c r="B779" s="28" t="str">
        <f t="shared" ca="1" si="34"/>
        <v/>
      </c>
      <c r="C779" s="29" t="str">
        <f t="shared" ca="1" si="35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3"/>
        <v>0</v>
      </c>
    </row>
    <row r="780" spans="2:12" x14ac:dyDescent="0.3">
      <c r="B780" s="28" t="str">
        <f t="shared" ca="1" si="34"/>
        <v/>
      </c>
      <c r="C780" s="29" t="str">
        <f t="shared" ca="1" si="35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3"/>
        <v>0</v>
      </c>
    </row>
    <row r="781" spans="2:12" x14ac:dyDescent="0.3">
      <c r="B781" s="28" t="str">
        <f t="shared" ca="1" si="34"/>
        <v/>
      </c>
      <c r="C781" s="29" t="str">
        <f t="shared" ca="1" si="35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3"/>
        <v>0</v>
      </c>
    </row>
    <row r="782" spans="2:12" x14ac:dyDescent="0.3">
      <c r="B782" s="28" t="str">
        <f t="shared" ca="1" si="34"/>
        <v/>
      </c>
      <c r="C782" s="29" t="str">
        <f t="shared" ca="1" si="35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3"/>
        <v>0</v>
      </c>
    </row>
    <row r="783" spans="2:12" x14ac:dyDescent="0.3">
      <c r="B783" s="28" t="str">
        <f t="shared" ca="1" si="34"/>
        <v/>
      </c>
      <c r="C783" s="29" t="str">
        <f t="shared" ca="1" si="35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3"/>
        <v>0</v>
      </c>
    </row>
    <row r="784" spans="2:12" x14ac:dyDescent="0.3">
      <c r="B784" s="28" t="str">
        <f t="shared" ca="1" si="34"/>
        <v/>
      </c>
      <c r="C784" s="29" t="str">
        <f t="shared" ca="1" si="35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ref="L784:L847" si="36">J784-I784-K784</f>
        <v>0</v>
      </c>
    </row>
    <row r="785" spans="2:12" x14ac:dyDescent="0.3">
      <c r="B785" s="28" t="str">
        <f t="shared" ref="B785:B848" ca="1" si="37">IF(D785&lt;&gt;"",DATE(Jahr,_xlfn.SHEET()-2,D785),"")</f>
        <v/>
      </c>
      <c r="C785" s="29" t="str">
        <f t="shared" ref="C785:C848" ca="1" si="38">B785</f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6"/>
        <v>0</v>
      </c>
    </row>
    <row r="827" spans="2:12" x14ac:dyDescent="0.3">
      <c r="B827" s="28" t="str">
        <f t="shared" ca="1" si="37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6"/>
        <v>0</v>
      </c>
    </row>
    <row r="828" spans="2:12" x14ac:dyDescent="0.3">
      <c r="B828" s="28" t="str">
        <f t="shared" ca="1" si="37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6"/>
        <v>0</v>
      </c>
    </row>
    <row r="829" spans="2:12" x14ac:dyDescent="0.3">
      <c r="B829" s="28" t="str">
        <f t="shared" ca="1" si="37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6"/>
        <v>0</v>
      </c>
    </row>
    <row r="830" spans="2:12" x14ac:dyDescent="0.3">
      <c r="B830" s="28" t="str">
        <f t="shared" ca="1" si="37"/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6"/>
        <v>0</v>
      </c>
    </row>
    <row r="831" spans="2:12" x14ac:dyDescent="0.3">
      <c r="B831" s="28" t="str">
        <f t="shared" ca="1" si="37"/>
        <v/>
      </c>
      <c r="C831" s="29" t="str">
        <f t="shared" ca="1" si="38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6"/>
        <v>0</v>
      </c>
    </row>
    <row r="832" spans="2:12" x14ac:dyDescent="0.3">
      <c r="B832" s="28" t="str">
        <f t="shared" ca="1" si="37"/>
        <v/>
      </c>
      <c r="C832" s="29" t="str">
        <f t="shared" ca="1" si="38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6"/>
        <v>0</v>
      </c>
    </row>
    <row r="833" spans="2:12" x14ac:dyDescent="0.3">
      <c r="B833" s="28" t="str">
        <f t="shared" ca="1" si="37"/>
        <v/>
      </c>
      <c r="C833" s="29" t="str">
        <f t="shared" ca="1" si="38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6"/>
        <v>0</v>
      </c>
    </row>
    <row r="834" spans="2:12" x14ac:dyDescent="0.3">
      <c r="B834" s="28" t="str">
        <f t="shared" ca="1" si="37"/>
        <v/>
      </c>
      <c r="C834" s="29" t="str">
        <f t="shared" ca="1" si="38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6"/>
        <v>0</v>
      </c>
    </row>
    <row r="835" spans="2:12" x14ac:dyDescent="0.3">
      <c r="B835" s="28" t="str">
        <f t="shared" ca="1" si="37"/>
        <v/>
      </c>
      <c r="C835" s="29" t="str">
        <f t="shared" ca="1" si="38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6"/>
        <v>0</v>
      </c>
    </row>
    <row r="836" spans="2:12" x14ac:dyDescent="0.3">
      <c r="B836" s="28" t="str">
        <f t="shared" ca="1" si="37"/>
        <v/>
      </c>
      <c r="C836" s="29" t="str">
        <f t="shared" ca="1" si="38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6"/>
        <v>0</v>
      </c>
    </row>
    <row r="837" spans="2:12" x14ac:dyDescent="0.3">
      <c r="B837" s="28" t="str">
        <f t="shared" ca="1" si="37"/>
        <v/>
      </c>
      <c r="C837" s="29" t="str">
        <f t="shared" ca="1" si="38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6"/>
        <v>0</v>
      </c>
    </row>
    <row r="838" spans="2:12" x14ac:dyDescent="0.3">
      <c r="B838" s="28" t="str">
        <f t="shared" ca="1" si="37"/>
        <v/>
      </c>
      <c r="C838" s="29" t="str">
        <f t="shared" ca="1" si="38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6"/>
        <v>0</v>
      </c>
    </row>
    <row r="839" spans="2:12" x14ac:dyDescent="0.3">
      <c r="B839" s="28" t="str">
        <f t="shared" ca="1" si="37"/>
        <v/>
      </c>
      <c r="C839" s="29" t="str">
        <f t="shared" ca="1" si="38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6"/>
        <v>0</v>
      </c>
    </row>
    <row r="840" spans="2:12" x14ac:dyDescent="0.3">
      <c r="B840" s="28" t="str">
        <f t="shared" ca="1" si="37"/>
        <v/>
      </c>
      <c r="C840" s="29" t="str">
        <f t="shared" ca="1" si="38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6"/>
        <v>0</v>
      </c>
    </row>
    <row r="841" spans="2:12" x14ac:dyDescent="0.3">
      <c r="B841" s="28" t="str">
        <f t="shared" ca="1" si="37"/>
        <v/>
      </c>
      <c r="C841" s="29" t="str">
        <f t="shared" ca="1" si="38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6"/>
        <v>0</v>
      </c>
    </row>
    <row r="842" spans="2:12" x14ac:dyDescent="0.3">
      <c r="B842" s="28" t="str">
        <f t="shared" ca="1" si="37"/>
        <v/>
      </c>
      <c r="C842" s="29" t="str">
        <f t="shared" ca="1" si="38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36"/>
        <v>0</v>
      </c>
    </row>
    <row r="843" spans="2:12" x14ac:dyDescent="0.3">
      <c r="B843" s="28" t="str">
        <f t="shared" ca="1" si="37"/>
        <v/>
      </c>
      <c r="C843" s="29" t="str">
        <f t="shared" ca="1" si="38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6"/>
        <v>0</v>
      </c>
    </row>
    <row r="844" spans="2:12" x14ac:dyDescent="0.3">
      <c r="B844" s="28" t="str">
        <f t="shared" ca="1" si="37"/>
        <v/>
      </c>
      <c r="C844" s="29" t="str">
        <f t="shared" ca="1" si="38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6"/>
        <v>0</v>
      </c>
    </row>
    <row r="845" spans="2:12" x14ac:dyDescent="0.3">
      <c r="B845" s="28" t="str">
        <f t="shared" ca="1" si="37"/>
        <v/>
      </c>
      <c r="C845" s="29" t="str">
        <f t="shared" ca="1" si="38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6"/>
        <v>0</v>
      </c>
    </row>
    <row r="846" spans="2:12" x14ac:dyDescent="0.3">
      <c r="B846" s="28" t="str">
        <f t="shared" ca="1" si="37"/>
        <v/>
      </c>
      <c r="C846" s="29" t="str">
        <f t="shared" ca="1" si="38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6"/>
        <v>0</v>
      </c>
    </row>
    <row r="847" spans="2:12" x14ac:dyDescent="0.3">
      <c r="B847" s="28" t="str">
        <f t="shared" ca="1" si="37"/>
        <v/>
      </c>
      <c r="C847" s="29" t="str">
        <f t="shared" ca="1" si="38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6"/>
        <v>0</v>
      </c>
    </row>
    <row r="848" spans="2:12" x14ac:dyDescent="0.3">
      <c r="B848" s="28" t="str">
        <f t="shared" ca="1" si="37"/>
        <v/>
      </c>
      <c r="C848" s="29" t="str">
        <f t="shared" ca="1" si="38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ref="L848:L911" si="39">J848-I848-K848</f>
        <v>0</v>
      </c>
    </row>
    <row r="849" spans="2:12" x14ac:dyDescent="0.3">
      <c r="B849" s="28" t="str">
        <f t="shared" ref="B849:B912" ca="1" si="40">IF(D849&lt;&gt;"",DATE(Jahr,_xlfn.SHEET()-2,D849),"")</f>
        <v/>
      </c>
      <c r="C849" s="29" t="str">
        <f t="shared" ref="C849:C912" ca="1" si="41">B849</f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39"/>
        <v>0</v>
      </c>
    </row>
    <row r="891" spans="2:12" x14ac:dyDescent="0.3">
      <c r="B891" s="28" t="str">
        <f t="shared" ca="1" si="40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39"/>
        <v>0</v>
      </c>
    </row>
    <row r="892" spans="2:12" x14ac:dyDescent="0.3">
      <c r="B892" s="28" t="str">
        <f t="shared" ca="1" si="40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39"/>
        <v>0</v>
      </c>
    </row>
    <row r="893" spans="2:12" x14ac:dyDescent="0.3">
      <c r="B893" s="28" t="str">
        <f t="shared" ca="1" si="40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39"/>
        <v>0</v>
      </c>
    </row>
    <row r="894" spans="2:12" x14ac:dyDescent="0.3">
      <c r="B894" s="28" t="str">
        <f t="shared" ca="1" si="40"/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39"/>
        <v>0</v>
      </c>
    </row>
    <row r="895" spans="2:12" x14ac:dyDescent="0.3">
      <c r="B895" s="28" t="str">
        <f t="shared" ca="1" si="40"/>
        <v/>
      </c>
      <c r="C895" s="29" t="str">
        <f t="shared" ca="1" si="41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39"/>
        <v>0</v>
      </c>
    </row>
    <row r="896" spans="2:12" x14ac:dyDescent="0.3">
      <c r="B896" s="28" t="str">
        <f t="shared" ca="1" si="40"/>
        <v/>
      </c>
      <c r="C896" s="29" t="str">
        <f t="shared" ca="1" si="41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39"/>
        <v>0</v>
      </c>
    </row>
    <row r="897" spans="2:12" x14ac:dyDescent="0.3">
      <c r="B897" s="28" t="str">
        <f t="shared" ca="1" si="40"/>
        <v/>
      </c>
      <c r="C897" s="29" t="str">
        <f t="shared" ca="1" si="41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39"/>
        <v>0</v>
      </c>
    </row>
    <row r="898" spans="2:12" x14ac:dyDescent="0.3">
      <c r="B898" s="28" t="str">
        <f t="shared" ca="1" si="40"/>
        <v/>
      </c>
      <c r="C898" s="29" t="str">
        <f t="shared" ca="1" si="41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39"/>
        <v>0</v>
      </c>
    </row>
    <row r="899" spans="2:12" x14ac:dyDescent="0.3">
      <c r="B899" s="28" t="str">
        <f t="shared" ca="1" si="40"/>
        <v/>
      </c>
      <c r="C899" s="29" t="str">
        <f t="shared" ca="1" si="41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39"/>
        <v>0</v>
      </c>
    </row>
    <row r="900" spans="2:12" x14ac:dyDescent="0.3">
      <c r="B900" s="28" t="str">
        <f t="shared" ca="1" si="40"/>
        <v/>
      </c>
      <c r="C900" s="29" t="str">
        <f t="shared" ca="1" si="41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39"/>
        <v>0</v>
      </c>
    </row>
    <row r="901" spans="2:12" x14ac:dyDescent="0.3">
      <c r="B901" s="28" t="str">
        <f t="shared" ca="1" si="40"/>
        <v/>
      </c>
      <c r="C901" s="29" t="str">
        <f t="shared" ca="1" si="41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39"/>
        <v>0</v>
      </c>
    </row>
    <row r="902" spans="2:12" x14ac:dyDescent="0.3">
      <c r="B902" s="28" t="str">
        <f t="shared" ca="1" si="40"/>
        <v/>
      </c>
      <c r="C902" s="29" t="str">
        <f t="shared" ca="1" si="41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39"/>
        <v>0</v>
      </c>
    </row>
    <row r="903" spans="2:12" x14ac:dyDescent="0.3">
      <c r="B903" s="28" t="str">
        <f t="shared" ca="1" si="40"/>
        <v/>
      </c>
      <c r="C903" s="29" t="str">
        <f t="shared" ca="1" si="41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39"/>
        <v>0</v>
      </c>
    </row>
    <row r="904" spans="2:12" x14ac:dyDescent="0.3">
      <c r="B904" s="28" t="str">
        <f t="shared" ca="1" si="40"/>
        <v/>
      </c>
      <c r="C904" s="29" t="str">
        <f t="shared" ca="1" si="41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39"/>
        <v>0</v>
      </c>
    </row>
    <row r="905" spans="2:12" x14ac:dyDescent="0.3">
      <c r="B905" s="28" t="str">
        <f t="shared" ca="1" si="40"/>
        <v/>
      </c>
      <c r="C905" s="29" t="str">
        <f t="shared" ca="1" si="41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39"/>
        <v>0</v>
      </c>
    </row>
    <row r="906" spans="2:12" x14ac:dyDescent="0.3">
      <c r="B906" s="28" t="str">
        <f t="shared" ca="1" si="40"/>
        <v/>
      </c>
      <c r="C906" s="29" t="str">
        <f t="shared" ca="1" si="41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39"/>
        <v>0</v>
      </c>
    </row>
    <row r="907" spans="2:12" x14ac:dyDescent="0.3">
      <c r="B907" s="28" t="str">
        <f t="shared" ca="1" si="40"/>
        <v/>
      </c>
      <c r="C907" s="29" t="str">
        <f t="shared" ca="1" si="41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39"/>
        <v>0</v>
      </c>
    </row>
    <row r="908" spans="2:12" x14ac:dyDescent="0.3">
      <c r="B908" s="28" t="str">
        <f t="shared" ca="1" si="40"/>
        <v/>
      </c>
      <c r="C908" s="29" t="str">
        <f t="shared" ca="1" si="41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39"/>
        <v>0</v>
      </c>
    </row>
    <row r="909" spans="2:12" x14ac:dyDescent="0.3">
      <c r="B909" s="28" t="str">
        <f t="shared" ca="1" si="40"/>
        <v/>
      </c>
      <c r="C909" s="29" t="str">
        <f t="shared" ca="1" si="41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39"/>
        <v>0</v>
      </c>
    </row>
    <row r="910" spans="2:12" x14ac:dyDescent="0.3">
      <c r="B910" s="28" t="str">
        <f t="shared" ca="1" si="40"/>
        <v/>
      </c>
      <c r="C910" s="29" t="str">
        <f t="shared" ca="1" si="41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39"/>
        <v>0</v>
      </c>
    </row>
    <row r="911" spans="2:12" x14ac:dyDescent="0.3">
      <c r="B911" s="28" t="str">
        <f t="shared" ca="1" si="40"/>
        <v/>
      </c>
      <c r="C911" s="29" t="str">
        <f t="shared" ca="1" si="41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39"/>
        <v>0</v>
      </c>
    </row>
    <row r="912" spans="2:12" x14ac:dyDescent="0.3">
      <c r="B912" s="28" t="str">
        <f t="shared" ca="1" si="40"/>
        <v/>
      </c>
      <c r="C912" s="29" t="str">
        <f t="shared" ca="1" si="41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ref="L912:L975" si="42">J912-I912-K912</f>
        <v>0</v>
      </c>
    </row>
    <row r="913" spans="2:12" x14ac:dyDescent="0.3">
      <c r="B913" s="28" t="str">
        <f t="shared" ref="B913:B976" ca="1" si="43">IF(D913&lt;&gt;"",DATE(Jahr,_xlfn.SHEET()-2,D913),"")</f>
        <v/>
      </c>
      <c r="C913" s="29" t="str">
        <f t="shared" ref="C913:C976" ca="1" si="44">B913</f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2"/>
        <v>0</v>
      </c>
    </row>
    <row r="955" spans="2:12" x14ac:dyDescent="0.3">
      <c r="B955" s="28" t="str">
        <f t="shared" ca="1" si="43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2"/>
        <v>0</v>
      </c>
    </row>
    <row r="956" spans="2:12" x14ac:dyDescent="0.3">
      <c r="B956" s="28" t="str">
        <f t="shared" ca="1" si="43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2"/>
        <v>0</v>
      </c>
    </row>
    <row r="957" spans="2:12" x14ac:dyDescent="0.3">
      <c r="B957" s="28" t="str">
        <f t="shared" ca="1" si="43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2"/>
        <v>0</v>
      </c>
    </row>
    <row r="958" spans="2:12" x14ac:dyDescent="0.3">
      <c r="B958" s="28" t="str">
        <f t="shared" ca="1" si="43"/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2"/>
        <v>0</v>
      </c>
    </row>
    <row r="959" spans="2:12" x14ac:dyDescent="0.3">
      <c r="B959" s="28" t="str">
        <f t="shared" ca="1" si="43"/>
        <v/>
      </c>
      <c r="C959" s="29" t="str">
        <f t="shared" ca="1" si="44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2"/>
        <v>0</v>
      </c>
    </row>
    <row r="960" spans="2:12" x14ac:dyDescent="0.3">
      <c r="B960" s="28" t="str">
        <f t="shared" ca="1" si="43"/>
        <v/>
      </c>
      <c r="C960" s="29" t="str">
        <f t="shared" ca="1" si="44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2"/>
        <v>0</v>
      </c>
    </row>
    <row r="961" spans="2:12" x14ac:dyDescent="0.3">
      <c r="B961" s="28" t="str">
        <f t="shared" ca="1" si="43"/>
        <v/>
      </c>
      <c r="C961" s="29" t="str">
        <f t="shared" ca="1" si="44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2"/>
        <v>0</v>
      </c>
    </row>
    <row r="962" spans="2:12" x14ac:dyDescent="0.3">
      <c r="B962" s="28" t="str">
        <f t="shared" ca="1" si="43"/>
        <v/>
      </c>
      <c r="C962" s="29" t="str">
        <f t="shared" ca="1" si="44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2"/>
        <v>0</v>
      </c>
    </row>
    <row r="963" spans="2:12" x14ac:dyDescent="0.3">
      <c r="B963" s="28" t="str">
        <f t="shared" ca="1" si="43"/>
        <v/>
      </c>
      <c r="C963" s="29" t="str">
        <f t="shared" ca="1" si="44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2"/>
        <v>0</v>
      </c>
    </row>
    <row r="964" spans="2:12" x14ac:dyDescent="0.3">
      <c r="B964" s="28" t="str">
        <f t="shared" ca="1" si="43"/>
        <v/>
      </c>
      <c r="C964" s="29" t="str">
        <f t="shared" ca="1" si="44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2"/>
        <v>0</v>
      </c>
    </row>
    <row r="965" spans="2:12" x14ac:dyDescent="0.3">
      <c r="B965" s="28" t="str">
        <f t="shared" ca="1" si="43"/>
        <v/>
      </c>
      <c r="C965" s="29" t="str">
        <f t="shared" ca="1" si="44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2"/>
        <v>0</v>
      </c>
    </row>
    <row r="966" spans="2:12" x14ac:dyDescent="0.3">
      <c r="B966" s="28" t="str">
        <f t="shared" ca="1" si="43"/>
        <v/>
      </c>
      <c r="C966" s="29" t="str">
        <f t="shared" ca="1" si="44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2"/>
        <v>0</v>
      </c>
    </row>
    <row r="967" spans="2:12" x14ac:dyDescent="0.3">
      <c r="B967" s="28" t="str">
        <f t="shared" ca="1" si="43"/>
        <v/>
      </c>
      <c r="C967" s="29" t="str">
        <f t="shared" ca="1" si="44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2"/>
        <v>0</v>
      </c>
    </row>
    <row r="968" spans="2:12" x14ac:dyDescent="0.3">
      <c r="B968" s="28" t="str">
        <f t="shared" ca="1" si="43"/>
        <v/>
      </c>
      <c r="C968" s="29" t="str">
        <f t="shared" ca="1" si="44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2"/>
        <v>0</v>
      </c>
    </row>
    <row r="969" spans="2:12" x14ac:dyDescent="0.3">
      <c r="B969" s="28" t="str">
        <f t="shared" ca="1" si="43"/>
        <v/>
      </c>
      <c r="C969" s="29" t="str">
        <f t="shared" ca="1" si="44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2"/>
        <v>0</v>
      </c>
    </row>
    <row r="970" spans="2:12" x14ac:dyDescent="0.3">
      <c r="B970" s="28" t="str">
        <f t="shared" ca="1" si="43"/>
        <v/>
      </c>
      <c r="C970" s="29" t="str">
        <f t="shared" ca="1" si="44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si="42"/>
        <v>0</v>
      </c>
    </row>
    <row r="971" spans="2:12" x14ac:dyDescent="0.3">
      <c r="B971" s="28" t="str">
        <f t="shared" ca="1" si="43"/>
        <v/>
      </c>
      <c r="C971" s="29" t="str">
        <f t="shared" ca="1" si="44"/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2"/>
        <v>0</v>
      </c>
    </row>
    <row r="972" spans="2:12" x14ac:dyDescent="0.3">
      <c r="B972" s="28" t="str">
        <f t="shared" ca="1" si="43"/>
        <v/>
      </c>
      <c r="C972" s="29" t="str">
        <f t="shared" ca="1" si="44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2"/>
        <v>0</v>
      </c>
    </row>
    <row r="973" spans="2:12" x14ac:dyDescent="0.3">
      <c r="B973" s="28" t="str">
        <f t="shared" ca="1" si="43"/>
        <v/>
      </c>
      <c r="C973" s="29" t="str">
        <f t="shared" ca="1" si="44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2"/>
        <v>0</v>
      </c>
    </row>
    <row r="974" spans="2:12" x14ac:dyDescent="0.3">
      <c r="B974" s="28" t="str">
        <f t="shared" ca="1" si="43"/>
        <v/>
      </c>
      <c r="C974" s="29" t="str">
        <f t="shared" ca="1" si="44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2"/>
        <v>0</v>
      </c>
    </row>
    <row r="975" spans="2:12" x14ac:dyDescent="0.3">
      <c r="B975" s="28" t="str">
        <f t="shared" ca="1" si="43"/>
        <v/>
      </c>
      <c r="C975" s="29" t="str">
        <f t="shared" ca="1" si="44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2"/>
        <v>0</v>
      </c>
    </row>
    <row r="976" spans="2:12" x14ac:dyDescent="0.3">
      <c r="B976" s="28" t="str">
        <f t="shared" ca="1" si="43"/>
        <v/>
      </c>
      <c r="C976" s="29" t="str">
        <f t="shared" ca="1" si="44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ref="L976:L1005" si="45">J976-I976-K976</f>
        <v>0</v>
      </c>
    </row>
    <row r="977" spans="2:12" x14ac:dyDescent="0.3">
      <c r="B977" s="28" t="str">
        <f t="shared" ref="B977:B1005" ca="1" si="46">IF(D977&lt;&gt;"",DATE(Jahr,_xlfn.SHEET()-2,D977),"")</f>
        <v/>
      </c>
      <c r="C977" s="29" t="str">
        <f t="shared" ref="C977:C1005" ca="1" si="47">B977</f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3" spans="2:12" x14ac:dyDescent="0.3">
      <c r="B983" s="28" t="str">
        <f t="shared" ca="1" si="46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B984" s="28" t="str">
        <f t="shared" ca="1" si="46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5"/>
        <v>0</v>
      </c>
    </row>
    <row r="985" spans="2:12" x14ac:dyDescent="0.3">
      <c r="B985" s="28" t="str">
        <f t="shared" ca="1" si="46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5"/>
        <v>0</v>
      </c>
    </row>
    <row r="986" spans="2:12" x14ac:dyDescent="0.3">
      <c r="B986" s="28" t="str">
        <f t="shared" ca="1" si="46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5"/>
        <v>0</v>
      </c>
    </row>
    <row r="987" spans="2:12" x14ac:dyDescent="0.3">
      <c r="B987" s="28" t="str">
        <f t="shared" ca="1" si="46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5"/>
        <v>0</v>
      </c>
    </row>
    <row r="988" spans="2:12" x14ac:dyDescent="0.3">
      <c r="B988" s="28" t="str">
        <f t="shared" ca="1" si="46"/>
        <v/>
      </c>
      <c r="C988" s="29" t="str">
        <f t="shared" ca="1" si="47"/>
        <v/>
      </c>
      <c r="D988" s="57"/>
      <c r="E988" s="57"/>
      <c r="F988" s="57"/>
      <c r="G988" s="58"/>
      <c r="H988" s="58"/>
      <c r="I988" s="59"/>
      <c r="J988" s="59"/>
      <c r="K988" s="59"/>
      <c r="L988" s="5">
        <f t="shared" si="45"/>
        <v>0</v>
      </c>
    </row>
    <row r="989" spans="2:12" x14ac:dyDescent="0.3">
      <c r="B989" s="28" t="str">
        <f t="shared" ca="1" si="46"/>
        <v/>
      </c>
      <c r="C989" s="29" t="str">
        <f t="shared" ca="1" si="47"/>
        <v/>
      </c>
      <c r="D989" s="57"/>
      <c r="E989" s="57"/>
      <c r="F989" s="57"/>
      <c r="G989" s="58"/>
      <c r="H989" s="58"/>
      <c r="I989" s="59"/>
      <c r="J989" s="59"/>
      <c r="K989" s="59"/>
      <c r="L989" s="5">
        <f t="shared" si="45"/>
        <v>0</v>
      </c>
    </row>
    <row r="990" spans="2:12" x14ac:dyDescent="0.3">
      <c r="B990" s="28" t="str">
        <f t="shared" ca="1" si="46"/>
        <v/>
      </c>
      <c r="C990" s="29" t="str">
        <f t="shared" ca="1" si="47"/>
        <v/>
      </c>
      <c r="D990" s="57"/>
      <c r="E990" s="57"/>
      <c r="F990" s="57"/>
      <c r="G990" s="58"/>
      <c r="H990" s="58"/>
      <c r="I990" s="59"/>
      <c r="J990" s="59"/>
      <c r="K990" s="59"/>
      <c r="L990" s="5">
        <f t="shared" si="45"/>
        <v>0</v>
      </c>
    </row>
    <row r="991" spans="2:12" x14ac:dyDescent="0.3">
      <c r="B991" s="28" t="str">
        <f t="shared" ca="1" si="46"/>
        <v/>
      </c>
      <c r="C991" s="29" t="str">
        <f t="shared" ca="1" si="47"/>
        <v/>
      </c>
      <c r="D991" s="57"/>
      <c r="E991" s="57"/>
      <c r="F991" s="57"/>
      <c r="G991" s="58"/>
      <c r="H991" s="58"/>
      <c r="I991" s="59"/>
      <c r="J991" s="59"/>
      <c r="K991" s="59"/>
      <c r="L991" s="5">
        <f t="shared" si="45"/>
        <v>0</v>
      </c>
    </row>
    <row r="992" spans="2:12" x14ac:dyDescent="0.3">
      <c r="B992" s="28" t="str">
        <f t="shared" ca="1" si="46"/>
        <v/>
      </c>
      <c r="C992" s="29" t="str">
        <f t="shared" ca="1" si="47"/>
        <v/>
      </c>
      <c r="D992" s="57"/>
      <c r="E992" s="57"/>
      <c r="F992" s="57"/>
      <c r="G992" s="58"/>
      <c r="H992" s="58"/>
      <c r="I992" s="59"/>
      <c r="J992" s="59"/>
      <c r="K992" s="59"/>
      <c r="L992" s="5">
        <f t="shared" si="45"/>
        <v>0</v>
      </c>
    </row>
    <row r="993" spans="2:12" x14ac:dyDescent="0.3">
      <c r="B993" s="28" t="str">
        <f t="shared" ca="1" si="46"/>
        <v/>
      </c>
      <c r="C993" s="29" t="str">
        <f t="shared" ca="1" si="47"/>
        <v/>
      </c>
      <c r="D993" s="57"/>
      <c r="E993" s="57"/>
      <c r="F993" s="57"/>
      <c r="G993" s="58"/>
      <c r="H993" s="58"/>
      <c r="I993" s="59"/>
      <c r="J993" s="59"/>
      <c r="K993" s="59"/>
      <c r="L993" s="5">
        <f t="shared" si="45"/>
        <v>0</v>
      </c>
    </row>
    <row r="994" spans="2:12" x14ac:dyDescent="0.3">
      <c r="B994" s="28" t="str">
        <f t="shared" ca="1" si="46"/>
        <v/>
      </c>
      <c r="C994" s="29" t="str">
        <f t="shared" ca="1" si="47"/>
        <v/>
      </c>
      <c r="D994" s="57"/>
      <c r="E994" s="57"/>
      <c r="F994" s="57"/>
      <c r="G994" s="58"/>
      <c r="H994" s="58"/>
      <c r="I994" s="59"/>
      <c r="J994" s="59"/>
      <c r="K994" s="59"/>
      <c r="L994" s="5">
        <f t="shared" si="45"/>
        <v>0</v>
      </c>
    </row>
    <row r="995" spans="2:12" x14ac:dyDescent="0.3">
      <c r="B995" s="28" t="str">
        <f t="shared" ca="1" si="46"/>
        <v/>
      </c>
      <c r="C995" s="29" t="str">
        <f t="shared" ca="1" si="47"/>
        <v/>
      </c>
      <c r="D995" s="57"/>
      <c r="E995" s="57"/>
      <c r="F995" s="57"/>
      <c r="G995" s="58"/>
      <c r="H995" s="58"/>
      <c r="I995" s="59"/>
      <c r="J995" s="59"/>
      <c r="K995" s="59"/>
      <c r="L995" s="5">
        <f t="shared" si="45"/>
        <v>0</v>
      </c>
    </row>
    <row r="996" spans="2:12" x14ac:dyDescent="0.3">
      <c r="B996" s="28" t="str">
        <f t="shared" ca="1" si="46"/>
        <v/>
      </c>
      <c r="C996" s="29" t="str">
        <f t="shared" ca="1" si="47"/>
        <v/>
      </c>
      <c r="D996" s="57"/>
      <c r="E996" s="57"/>
      <c r="F996" s="57"/>
      <c r="G996" s="58"/>
      <c r="H996" s="58"/>
      <c r="I996" s="59"/>
      <c r="J996" s="59"/>
      <c r="K996" s="59"/>
      <c r="L996" s="5">
        <f t="shared" si="45"/>
        <v>0</v>
      </c>
    </row>
    <row r="997" spans="2:12" x14ac:dyDescent="0.3">
      <c r="B997" s="28" t="str">
        <f t="shared" ca="1" si="46"/>
        <v/>
      </c>
      <c r="C997" s="29" t="str">
        <f t="shared" ca="1" si="47"/>
        <v/>
      </c>
      <c r="D997" s="57"/>
      <c r="E997" s="57"/>
      <c r="F997" s="57"/>
      <c r="G997" s="58"/>
      <c r="H997" s="58"/>
      <c r="I997" s="59"/>
      <c r="J997" s="59"/>
      <c r="K997" s="59"/>
      <c r="L997" s="5">
        <f t="shared" si="45"/>
        <v>0</v>
      </c>
    </row>
    <row r="998" spans="2:12" x14ac:dyDescent="0.3">
      <c r="B998" s="28" t="str">
        <f t="shared" ca="1" si="46"/>
        <v/>
      </c>
      <c r="C998" s="29" t="str">
        <f t="shared" ca="1" si="47"/>
        <v/>
      </c>
      <c r="D998" s="57"/>
      <c r="E998" s="57"/>
      <c r="F998" s="57"/>
      <c r="G998" s="58"/>
      <c r="H998" s="58"/>
      <c r="I998" s="59"/>
      <c r="J998" s="59"/>
      <c r="K998" s="59"/>
      <c r="L998" s="5">
        <f t="shared" si="45"/>
        <v>0</v>
      </c>
    </row>
    <row r="999" spans="2:12" x14ac:dyDescent="0.3">
      <c r="B999" s="28" t="str">
        <f t="shared" ca="1" si="46"/>
        <v/>
      </c>
      <c r="C999" s="29" t="str">
        <f t="shared" ca="1" si="47"/>
        <v/>
      </c>
      <c r="D999" s="57"/>
      <c r="E999" s="57"/>
      <c r="F999" s="57"/>
      <c r="G999" s="58"/>
      <c r="H999" s="58"/>
      <c r="I999" s="59"/>
      <c r="J999" s="59"/>
      <c r="K999" s="59"/>
      <c r="L999" s="5">
        <f t="shared" si="45"/>
        <v>0</v>
      </c>
    </row>
    <row r="1000" spans="2:12" x14ac:dyDescent="0.3">
      <c r="B1000" s="28" t="str">
        <f t="shared" ca="1" si="46"/>
        <v/>
      </c>
      <c r="C1000" s="29" t="str">
        <f t="shared" ca="1" si="47"/>
        <v/>
      </c>
      <c r="D1000" s="57"/>
      <c r="E1000" s="57"/>
      <c r="F1000" s="57"/>
      <c r="G1000" s="58"/>
      <c r="H1000" s="58"/>
      <c r="I1000" s="59"/>
      <c r="J1000" s="59"/>
      <c r="K1000" s="59"/>
      <c r="L1000" s="5">
        <f t="shared" si="45"/>
        <v>0</v>
      </c>
    </row>
    <row r="1001" spans="2:12" x14ac:dyDescent="0.3">
      <c r="B1001" s="28" t="str">
        <f t="shared" ca="1" si="46"/>
        <v/>
      </c>
      <c r="C1001" s="29" t="str">
        <f t="shared" ca="1" si="47"/>
        <v/>
      </c>
      <c r="D1001" s="57"/>
      <c r="E1001" s="57"/>
      <c r="F1001" s="57"/>
      <c r="G1001" s="58"/>
      <c r="H1001" s="58"/>
      <c r="I1001" s="59"/>
      <c r="J1001" s="59"/>
      <c r="K1001" s="59"/>
      <c r="L1001" s="5">
        <f t="shared" si="45"/>
        <v>0</v>
      </c>
    </row>
    <row r="1002" spans="2:12" x14ac:dyDescent="0.3">
      <c r="B1002" s="28" t="str">
        <f t="shared" ca="1" si="46"/>
        <v/>
      </c>
      <c r="C1002" s="29" t="str">
        <f t="shared" ca="1" si="47"/>
        <v/>
      </c>
      <c r="D1002" s="57"/>
      <c r="E1002" s="57"/>
      <c r="F1002" s="57"/>
      <c r="G1002" s="58"/>
      <c r="H1002" s="58"/>
      <c r="I1002" s="59"/>
      <c r="J1002" s="59"/>
      <c r="K1002" s="59"/>
      <c r="L1002" s="5">
        <f t="shared" si="45"/>
        <v>0</v>
      </c>
    </row>
    <row r="1003" spans="2:12" x14ac:dyDescent="0.3">
      <c r="B1003" s="28" t="str">
        <f t="shared" ca="1" si="46"/>
        <v/>
      </c>
      <c r="C1003" s="29" t="str">
        <f t="shared" ca="1" si="47"/>
        <v/>
      </c>
      <c r="D1003" s="57"/>
      <c r="E1003" s="57"/>
      <c r="F1003" s="57"/>
      <c r="G1003" s="58"/>
      <c r="H1003" s="58"/>
      <c r="I1003" s="59"/>
      <c r="J1003" s="59"/>
      <c r="K1003" s="59"/>
      <c r="L1003" s="5">
        <f t="shared" si="45"/>
        <v>0</v>
      </c>
    </row>
    <row r="1004" spans="2:12" x14ac:dyDescent="0.3">
      <c r="B1004" s="28" t="str">
        <f t="shared" ca="1" si="46"/>
        <v/>
      </c>
      <c r="C1004" s="29" t="str">
        <f t="shared" ca="1" si="47"/>
        <v/>
      </c>
      <c r="D1004" s="57"/>
      <c r="E1004" s="57"/>
      <c r="F1004" s="57"/>
      <c r="G1004" s="58"/>
      <c r="H1004" s="58"/>
      <c r="I1004" s="59"/>
      <c r="J1004" s="59"/>
      <c r="K1004" s="59"/>
      <c r="L1004" s="5">
        <f t="shared" si="45"/>
        <v>0</v>
      </c>
    </row>
    <row r="1005" spans="2:12" x14ac:dyDescent="0.3">
      <c r="B1005" s="28" t="str">
        <f t="shared" ca="1" si="46"/>
        <v/>
      </c>
      <c r="C1005" s="29" t="str">
        <f t="shared" ca="1" si="47"/>
        <v/>
      </c>
      <c r="D1005" s="57"/>
      <c r="E1005" s="57"/>
      <c r="F1005" s="57"/>
      <c r="G1005" s="58"/>
      <c r="H1005" s="58"/>
      <c r="I1005" s="59"/>
      <c r="J1005" s="59"/>
      <c r="K1005" s="59"/>
      <c r="L1005" s="5">
        <f t="shared" si="45"/>
        <v>0</v>
      </c>
    </row>
    <row r="1009" spans="12:12" x14ac:dyDescent="0.3">
      <c r="L1009" s="109">
        <f>SUBTOTAL(9,L23:L108)</f>
        <v>0</v>
      </c>
    </row>
  </sheetData>
  <autoFilter ref="B8:L1008" xr:uid="{00000000-0009-0000-0000-000008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1005">
    <cfRule type="expression" dxfId="39" priority="1">
      <formula>AND($D9&lt;&gt;"",NOT(ISNUMBER($D9)))</formula>
    </cfRule>
    <cfRule type="expression" dxfId="38" priority="2">
      <formula>OR($D9&lt;=0,DAY(DATE(YEAR($C9),MONTH($C9)+1,1)-1) &lt;$D9)</formula>
    </cfRule>
    <cfRule type="expression" dxfId="36" priority="4">
      <formula>AND($D9&lt;&gt;"",WEEKDAY($B9,2)=6)</formula>
    </cfRule>
    <cfRule type="expression" dxfId="35" priority="5">
      <formula>AND($D9&lt;&gt;"",WEEKDAY($B9,2)=7)</formula>
    </cfRule>
    <cfRule type="expression" dxfId="34" priority="6">
      <formula>AND($D9&lt;&gt;"",WEEKDAY($B9,2)&lt;6)</formula>
    </cfRule>
  </conditionalFormatting>
  <dataValidations count="2">
    <dataValidation type="list" allowBlank="1" showInputMessage="1" showErrorMessage="1" sqref="G9:G1005" xr:uid="{F154C3F6-A973-4083-9616-B7275F7D7E8A}">
      <formula1>Arbeitspakete</formula1>
    </dataValidation>
    <dataValidation type="list" allowBlank="1" showInputMessage="1" showErrorMessage="1" sqref="F9 F11:F1005" xr:uid="{14EA6B60-17AE-4444-98D5-7B7A95BAFB24}">
      <formula1>Projektnamen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3E57E87A-F4B2-4DFC-96A0-8AA203A335CA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B9:B1005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T961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9" sqref="F9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8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SUM(L9:L960)*24</f>
        <v>0</v>
      </c>
    </row>
    <row r="5" spans="2:12" x14ac:dyDescent="0.3">
      <c r="B5" t="s">
        <v>67</v>
      </c>
      <c r="D5" t="str">
        <f ca="1">TEXT("1. "&amp;_xlfn.SHEET()-2,"MMMM")</f>
        <v>August</v>
      </c>
      <c r="G5" s="121"/>
      <c r="H5" s="121"/>
      <c r="I5" s="119" t="s">
        <v>70</v>
      </c>
      <c r="J5" s="119"/>
      <c r="K5" s="119"/>
      <c r="L5" s="9">
        <f ca="1">L4-L3</f>
        <v>-8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-142.99999999999997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>
        <f ca="1">IF(D9&lt;&gt;"",DATE(Jahr,_xlfn.SHEET()-2,D9),"")</f>
        <v>45870</v>
      </c>
      <c r="C9" s="29">
        <f ca="1">B9</f>
        <v>45870</v>
      </c>
      <c r="D9" s="57">
        <v>1</v>
      </c>
      <c r="E9" s="57" t="s">
        <v>122</v>
      </c>
      <c r="F9" s="57"/>
      <c r="G9" s="58"/>
      <c r="H9" s="58"/>
      <c r="I9" s="59"/>
      <c r="J9" s="59"/>
      <c r="K9" s="59"/>
      <c r="L9" s="5">
        <f t="shared" ref="L9:L36" si="0">J9-I9-K9</f>
        <v>0</v>
      </c>
    </row>
    <row r="10" spans="2:12" x14ac:dyDescent="0.3">
      <c r="B10" s="28" t="str">
        <f t="shared" ref="B10:B36" ca="1" si="1">IF(D10&lt;&gt;"",DATE(Jahr,_xlfn.SHEET()-2,D10),"")</f>
        <v/>
      </c>
      <c r="C10" s="29" t="str">
        <f t="shared" ref="C10:C36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ca="1">IF(D11&lt;&gt;"",DATE(Jahr,_xlfn.SHEET()-2,D11),"")</f>
        <v/>
      </c>
      <c r="C11" s="29" t="str">
        <f ca="1">B11</f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  <c r="T22" s="88"/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  <c r="T23" s="89"/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  <c r="T24" s="89"/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  <c r="T25" s="89"/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  <c r="T26" s="91"/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</row>
    <row r="33" spans="2:12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</row>
    <row r="34" spans="2:12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</row>
    <row r="35" spans="2:12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12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</row>
    <row r="37" spans="2:12" ht="15.6" customHeight="1" x14ac:dyDescent="0.3">
      <c r="B37" s="28" t="str">
        <f t="shared" ref="B37:B99" ca="1" si="3">IF(D37&lt;&gt;"",DATE(Jahr,_xlfn.SHEET()-2,D37),"")</f>
        <v/>
      </c>
      <c r="C37" s="29" t="str">
        <f t="shared" ref="C37:C99" ca="1" si="4">B37</f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ref="L37:L98" si="5">J37-I37-K37</f>
        <v>0</v>
      </c>
    </row>
    <row r="38" spans="2:12" x14ac:dyDescent="0.3">
      <c r="B38" s="28" t="str">
        <f t="shared" ca="1" si="3"/>
        <v/>
      </c>
      <c r="C38" s="29" t="str">
        <f t="shared" ca="1" si="4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5"/>
        <v>0</v>
      </c>
    </row>
    <row r="39" spans="2:12" x14ac:dyDescent="0.3">
      <c r="B39" s="28" t="str">
        <f t="shared" ca="1" si="3"/>
        <v/>
      </c>
      <c r="C39" s="29" t="str">
        <f t="shared" ca="1" si="4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5"/>
        <v>0</v>
      </c>
    </row>
    <row r="40" spans="2:12" x14ac:dyDescent="0.3">
      <c r="B40" s="28" t="str">
        <f t="shared" ca="1" si="3"/>
        <v/>
      </c>
      <c r="C40" s="29" t="str">
        <f t="shared" ca="1" si="4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5"/>
        <v>0</v>
      </c>
    </row>
    <row r="41" spans="2:12" x14ac:dyDescent="0.3">
      <c r="B41" s="28" t="str">
        <f t="shared" ca="1" si="3"/>
        <v/>
      </c>
      <c r="C41" s="29" t="str">
        <f t="shared" ca="1" si="4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5"/>
        <v>0</v>
      </c>
    </row>
    <row r="42" spans="2:12" x14ac:dyDescent="0.3">
      <c r="B42" s="28" t="str">
        <f t="shared" ca="1" si="3"/>
        <v/>
      </c>
      <c r="C42" s="29" t="str">
        <f t="shared" ca="1" si="4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5"/>
        <v>0</v>
      </c>
    </row>
    <row r="43" spans="2:12" x14ac:dyDescent="0.3">
      <c r="B43" s="28" t="str">
        <f t="shared" ca="1" si="3"/>
        <v/>
      </c>
      <c r="C43" s="29" t="str">
        <f t="shared" ca="1" si="4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5"/>
        <v>0</v>
      </c>
    </row>
    <row r="44" spans="2:12" x14ac:dyDescent="0.3">
      <c r="B44" s="28" t="str">
        <f t="shared" ca="1" si="3"/>
        <v/>
      </c>
      <c r="C44" s="29" t="str">
        <f t="shared" ca="1" si="4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5"/>
        <v>0</v>
      </c>
    </row>
    <row r="45" spans="2:12" x14ac:dyDescent="0.3">
      <c r="B45" s="28" t="str">
        <f t="shared" ca="1" si="3"/>
        <v/>
      </c>
      <c r="C45" s="29" t="str">
        <f t="shared" ca="1" si="4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5"/>
        <v>0</v>
      </c>
    </row>
    <row r="46" spans="2:12" x14ac:dyDescent="0.3">
      <c r="B46" s="28" t="str">
        <f t="shared" ca="1" si="3"/>
        <v/>
      </c>
      <c r="C46" s="29" t="str">
        <f t="shared" ca="1" si="4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5"/>
        <v>0</v>
      </c>
    </row>
    <row r="47" spans="2:12" x14ac:dyDescent="0.3">
      <c r="B47" s="28" t="str">
        <f t="shared" ca="1" si="3"/>
        <v/>
      </c>
      <c r="C47" s="29" t="str">
        <f t="shared" ca="1" si="4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5"/>
        <v>0</v>
      </c>
    </row>
    <row r="48" spans="2:12" x14ac:dyDescent="0.3">
      <c r="B48" s="28" t="str">
        <f ca="1">IF(D48&lt;&gt;"",DATE(Jahr,_xlfn.SHEET()-2,D48),"")</f>
        <v/>
      </c>
      <c r="C48" s="29" t="str">
        <f ca="1">B48</f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5"/>
        <v>0</v>
      </c>
    </row>
    <row r="49" spans="2:12" x14ac:dyDescent="0.3">
      <c r="B49" s="28" t="str">
        <f t="shared" ca="1" si="3"/>
        <v/>
      </c>
      <c r="C49" s="29" t="str">
        <f t="shared" ca="1" si="4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5"/>
        <v>0</v>
      </c>
    </row>
    <row r="50" spans="2:12" x14ac:dyDescent="0.3">
      <c r="B50" s="28" t="str">
        <f t="shared" ca="1" si="3"/>
        <v/>
      </c>
      <c r="C50" s="29" t="str">
        <f t="shared" ca="1" si="4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5"/>
        <v>0</v>
      </c>
    </row>
    <row r="51" spans="2:12" x14ac:dyDescent="0.3">
      <c r="B51" s="28" t="str">
        <f t="shared" ca="1" si="3"/>
        <v/>
      </c>
      <c r="C51" s="29" t="str">
        <f t="shared" ca="1" si="4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5"/>
        <v>0</v>
      </c>
    </row>
    <row r="52" spans="2:12" x14ac:dyDescent="0.3">
      <c r="B52" s="28" t="str">
        <f t="shared" ca="1" si="3"/>
        <v/>
      </c>
      <c r="C52" s="29" t="str">
        <f t="shared" ca="1" si="4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5"/>
        <v>0</v>
      </c>
    </row>
    <row r="53" spans="2:12" x14ac:dyDescent="0.3">
      <c r="B53" s="28" t="str">
        <f t="shared" ca="1" si="3"/>
        <v/>
      </c>
      <c r="C53" s="29" t="str">
        <f t="shared" ca="1" si="4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5"/>
        <v>0</v>
      </c>
    </row>
    <row r="54" spans="2:12" x14ac:dyDescent="0.3">
      <c r="B54" s="28" t="str">
        <f t="shared" ca="1" si="3"/>
        <v/>
      </c>
      <c r="C54" s="29" t="str">
        <f t="shared" ca="1" si="4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5"/>
        <v>0</v>
      </c>
    </row>
    <row r="55" spans="2:12" x14ac:dyDescent="0.3">
      <c r="B55" s="28" t="str">
        <f t="shared" ca="1" si="3"/>
        <v/>
      </c>
      <c r="C55" s="29" t="str">
        <f t="shared" ca="1" si="4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5"/>
        <v>0</v>
      </c>
    </row>
    <row r="56" spans="2:12" x14ac:dyDescent="0.3">
      <c r="B56" s="28" t="str">
        <f t="shared" ca="1" si="3"/>
        <v/>
      </c>
      <c r="C56" s="29" t="str">
        <f t="shared" ca="1" si="4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5"/>
        <v>0</v>
      </c>
    </row>
    <row r="57" spans="2:12" x14ac:dyDescent="0.3">
      <c r="B57" s="28" t="str">
        <f t="shared" ca="1" si="3"/>
        <v/>
      </c>
      <c r="C57" s="29" t="str">
        <f t="shared" ca="1" si="4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5"/>
        <v>0</v>
      </c>
    </row>
    <row r="58" spans="2:12" x14ac:dyDescent="0.3">
      <c r="B58" s="28" t="str">
        <f t="shared" ca="1" si="3"/>
        <v/>
      </c>
      <c r="C58" s="29" t="str">
        <f t="shared" ca="1" si="4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5"/>
        <v>0</v>
      </c>
    </row>
    <row r="59" spans="2:12" x14ac:dyDescent="0.3">
      <c r="B59" s="28" t="str">
        <f t="shared" ca="1" si="3"/>
        <v/>
      </c>
      <c r="C59" s="29" t="str">
        <f t="shared" ca="1" si="4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5"/>
        <v>0</v>
      </c>
    </row>
    <row r="60" spans="2:12" x14ac:dyDescent="0.3">
      <c r="B60" s="28" t="str">
        <f t="shared" ca="1" si="3"/>
        <v/>
      </c>
      <c r="C60" s="29" t="str">
        <f t="shared" ca="1" si="4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5"/>
        <v>0</v>
      </c>
    </row>
    <row r="61" spans="2:12" x14ac:dyDescent="0.3">
      <c r="B61" s="28" t="str">
        <f t="shared" ca="1" si="3"/>
        <v/>
      </c>
      <c r="C61" s="29" t="str">
        <f t="shared" ca="1" si="4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5"/>
        <v>0</v>
      </c>
    </row>
    <row r="62" spans="2:12" x14ac:dyDescent="0.3">
      <c r="B62" s="28" t="str">
        <f t="shared" ca="1" si="3"/>
        <v/>
      </c>
      <c r="C62" s="29" t="str">
        <f t="shared" ca="1" si="4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5"/>
        <v>0</v>
      </c>
    </row>
    <row r="63" spans="2:12" x14ac:dyDescent="0.3">
      <c r="B63" s="28" t="str">
        <f t="shared" ca="1" si="3"/>
        <v/>
      </c>
      <c r="C63" s="29" t="str">
        <f t="shared" ca="1" si="4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5"/>
        <v>0</v>
      </c>
    </row>
    <row r="64" spans="2:12" x14ac:dyDescent="0.3">
      <c r="B64" s="28" t="str">
        <f t="shared" ca="1" si="3"/>
        <v/>
      </c>
      <c r="C64" s="29" t="str">
        <f t="shared" ca="1" si="4"/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5"/>
        <v>0</v>
      </c>
    </row>
    <row r="65" spans="2:12" x14ac:dyDescent="0.3">
      <c r="B65" s="28" t="str">
        <f t="shared" ca="1" si="3"/>
        <v/>
      </c>
      <c r="C65" s="29" t="str">
        <f t="shared" ca="1" si="4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5"/>
        <v>0</v>
      </c>
    </row>
    <row r="66" spans="2:12" x14ac:dyDescent="0.3">
      <c r="B66" s="28" t="str">
        <f t="shared" ca="1" si="3"/>
        <v/>
      </c>
      <c r="C66" s="29" t="str">
        <f t="shared" ca="1" si="4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5"/>
        <v>0</v>
      </c>
    </row>
    <row r="67" spans="2:12" x14ac:dyDescent="0.3">
      <c r="B67" s="28" t="str">
        <f t="shared" ca="1" si="3"/>
        <v/>
      </c>
      <c r="C67" s="29" t="str">
        <f t="shared" ca="1" si="4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5"/>
        <v>0</v>
      </c>
    </row>
    <row r="68" spans="2:12" x14ac:dyDescent="0.3">
      <c r="B68" s="28" t="str">
        <f t="shared" ca="1" si="3"/>
        <v/>
      </c>
      <c r="C68" s="29" t="str">
        <f t="shared" ca="1" si="4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5"/>
        <v>0</v>
      </c>
    </row>
    <row r="69" spans="2:12" x14ac:dyDescent="0.3">
      <c r="B69" s="28" t="str">
        <f t="shared" ca="1" si="3"/>
        <v/>
      </c>
      <c r="C69" s="29" t="str">
        <f t="shared" ca="1" si="4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5"/>
        <v>0</v>
      </c>
    </row>
    <row r="70" spans="2:12" x14ac:dyDescent="0.3">
      <c r="B70" s="28" t="str">
        <f t="shared" ca="1" si="3"/>
        <v/>
      </c>
      <c r="C70" s="29" t="str">
        <f t="shared" ca="1" si="4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5"/>
        <v>0</v>
      </c>
    </row>
    <row r="71" spans="2:12" x14ac:dyDescent="0.3">
      <c r="B71" s="28" t="str">
        <f t="shared" ca="1" si="3"/>
        <v/>
      </c>
      <c r="C71" s="29" t="str">
        <f t="shared" ca="1" si="4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5"/>
        <v>0</v>
      </c>
    </row>
    <row r="72" spans="2:12" x14ac:dyDescent="0.3">
      <c r="B72" s="28" t="str">
        <f t="shared" ca="1" si="3"/>
        <v/>
      </c>
      <c r="C72" s="29" t="str">
        <f t="shared" ca="1" si="4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5"/>
        <v>0</v>
      </c>
    </row>
    <row r="73" spans="2:12" x14ac:dyDescent="0.3">
      <c r="B73" s="28" t="str">
        <f t="shared" ca="1" si="3"/>
        <v/>
      </c>
      <c r="C73" s="29" t="str">
        <f t="shared" ca="1" si="4"/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5"/>
        <v>0</v>
      </c>
    </row>
    <row r="74" spans="2:12" x14ac:dyDescent="0.3">
      <c r="B74" s="28" t="str">
        <f t="shared" ca="1" si="3"/>
        <v/>
      </c>
      <c r="C74" s="29" t="str">
        <f t="shared" ca="1" si="4"/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5"/>
        <v>0</v>
      </c>
    </row>
    <row r="75" spans="2:12" x14ac:dyDescent="0.3">
      <c r="B75" s="28" t="str">
        <f t="shared" ca="1" si="3"/>
        <v/>
      </c>
      <c r="C75" s="29" t="str">
        <f t="shared" ca="1" si="4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5"/>
        <v>0</v>
      </c>
    </row>
    <row r="76" spans="2:12" x14ac:dyDescent="0.3">
      <c r="B76" s="28" t="str">
        <f t="shared" ca="1" si="3"/>
        <v/>
      </c>
      <c r="C76" s="29" t="str">
        <f t="shared" ca="1" si="4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5"/>
        <v>0</v>
      </c>
    </row>
    <row r="77" spans="2:12" x14ac:dyDescent="0.3">
      <c r="B77" s="28" t="str">
        <f t="shared" ca="1" si="3"/>
        <v/>
      </c>
      <c r="C77" s="29" t="str">
        <f t="shared" ca="1" si="4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5"/>
        <v>0</v>
      </c>
    </row>
    <row r="78" spans="2:12" x14ac:dyDescent="0.3">
      <c r="B78" s="28" t="str">
        <f t="shared" ca="1" si="3"/>
        <v/>
      </c>
      <c r="C78" s="29" t="str">
        <f t="shared" ca="1" si="4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5"/>
        <v>0</v>
      </c>
    </row>
    <row r="79" spans="2:12" x14ac:dyDescent="0.3">
      <c r="B79" s="28" t="str">
        <f t="shared" ca="1" si="3"/>
        <v/>
      </c>
      <c r="C79" s="29" t="str">
        <f t="shared" ca="1" si="4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5"/>
        <v>0</v>
      </c>
    </row>
    <row r="80" spans="2:12" x14ac:dyDescent="0.3">
      <c r="B80" s="28" t="str">
        <f t="shared" ca="1" si="3"/>
        <v/>
      </c>
      <c r="C80" s="29" t="str">
        <f t="shared" ca="1" si="4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5"/>
        <v>0</v>
      </c>
    </row>
    <row r="81" spans="2:12" x14ac:dyDescent="0.3">
      <c r="B81" s="28" t="str">
        <f t="shared" ca="1" si="3"/>
        <v/>
      </c>
      <c r="C81" s="29" t="str">
        <f t="shared" ca="1" si="4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5"/>
        <v>0</v>
      </c>
    </row>
    <row r="82" spans="2:12" x14ac:dyDescent="0.3">
      <c r="B82" s="28" t="str">
        <f t="shared" ca="1" si="3"/>
        <v/>
      </c>
      <c r="C82" s="29" t="str">
        <f t="shared" ca="1" si="4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5"/>
        <v>0</v>
      </c>
    </row>
    <row r="83" spans="2:12" x14ac:dyDescent="0.3">
      <c r="B83" s="28" t="str">
        <f t="shared" ca="1" si="3"/>
        <v/>
      </c>
      <c r="C83" s="29" t="str">
        <f t="shared" ca="1" si="4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5"/>
        <v>0</v>
      </c>
    </row>
    <row r="84" spans="2:12" x14ac:dyDescent="0.3">
      <c r="B84" s="28" t="str">
        <f t="shared" ca="1" si="3"/>
        <v/>
      </c>
      <c r="C84" s="29" t="str">
        <f t="shared" ca="1" si="4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5"/>
        <v>0</v>
      </c>
    </row>
    <row r="85" spans="2:12" x14ac:dyDescent="0.3">
      <c r="B85" s="28" t="str">
        <f t="shared" ca="1" si="3"/>
        <v/>
      </c>
      <c r="C85" s="29" t="str">
        <f t="shared" ca="1" si="4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5"/>
        <v>0</v>
      </c>
    </row>
    <row r="86" spans="2:12" x14ac:dyDescent="0.3">
      <c r="B86" s="28" t="str">
        <f t="shared" ca="1" si="3"/>
        <v/>
      </c>
      <c r="C86" s="29" t="str">
        <f t="shared" ca="1" si="4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5"/>
        <v>0</v>
      </c>
    </row>
    <row r="87" spans="2:12" x14ac:dyDescent="0.3">
      <c r="B87" s="28" t="str">
        <f t="shared" ca="1" si="3"/>
        <v/>
      </c>
      <c r="C87" s="29" t="str">
        <f t="shared" ca="1" si="4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5"/>
        <v>0</v>
      </c>
    </row>
    <row r="88" spans="2:12" x14ac:dyDescent="0.3">
      <c r="B88" s="28" t="str">
        <f t="shared" ca="1" si="3"/>
        <v/>
      </c>
      <c r="C88" s="29" t="str">
        <f t="shared" ca="1" si="4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5"/>
        <v>0</v>
      </c>
    </row>
    <row r="89" spans="2:12" x14ac:dyDescent="0.3">
      <c r="B89" s="28" t="str">
        <f t="shared" ca="1" si="3"/>
        <v/>
      </c>
      <c r="C89" s="29" t="str">
        <f t="shared" ca="1" si="4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5"/>
        <v>0</v>
      </c>
    </row>
    <row r="90" spans="2:12" x14ac:dyDescent="0.3">
      <c r="B90" s="28" t="str">
        <f t="shared" ca="1" si="3"/>
        <v/>
      </c>
      <c r="C90" s="29" t="str">
        <f t="shared" ca="1" si="4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5"/>
        <v>0</v>
      </c>
    </row>
    <row r="91" spans="2:12" x14ac:dyDescent="0.3">
      <c r="B91" s="28" t="str">
        <f t="shared" ca="1" si="3"/>
        <v/>
      </c>
      <c r="C91" s="29" t="str">
        <f t="shared" ca="1" si="4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5"/>
        <v>0</v>
      </c>
    </row>
    <row r="92" spans="2:12" x14ac:dyDescent="0.3">
      <c r="B92" s="28" t="str">
        <f t="shared" ca="1" si="3"/>
        <v/>
      </c>
      <c r="C92" s="29" t="str">
        <f t="shared" ca="1" si="4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5"/>
        <v>0</v>
      </c>
    </row>
    <row r="93" spans="2:12" x14ac:dyDescent="0.3">
      <c r="B93" s="28" t="str">
        <f t="shared" ca="1" si="3"/>
        <v/>
      </c>
      <c r="C93" s="29" t="str">
        <f t="shared" ca="1" si="4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5"/>
        <v>0</v>
      </c>
    </row>
    <row r="94" spans="2:12" x14ac:dyDescent="0.3">
      <c r="B94" s="28" t="str">
        <f t="shared" ca="1" si="3"/>
        <v/>
      </c>
      <c r="C94" s="29" t="str">
        <f t="shared" ca="1" si="4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5"/>
        <v>0</v>
      </c>
    </row>
    <row r="95" spans="2:12" x14ac:dyDescent="0.3">
      <c r="B95" s="28" t="str">
        <f t="shared" ca="1" si="3"/>
        <v/>
      </c>
      <c r="C95" s="29" t="str">
        <f t="shared" ca="1" si="4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5"/>
        <v>0</v>
      </c>
    </row>
    <row r="96" spans="2:12" x14ac:dyDescent="0.3">
      <c r="B96" s="28" t="str">
        <f t="shared" ca="1" si="3"/>
        <v/>
      </c>
      <c r="C96" s="29" t="str">
        <f t="shared" ca="1" si="4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5"/>
        <v>0</v>
      </c>
    </row>
    <row r="97" spans="2:12" x14ac:dyDescent="0.3">
      <c r="B97" s="28" t="str">
        <f t="shared" ca="1" si="3"/>
        <v/>
      </c>
      <c r="C97" s="29" t="str">
        <f t="shared" ca="1" si="4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5"/>
        <v>0</v>
      </c>
    </row>
    <row r="98" spans="2:12" x14ac:dyDescent="0.3">
      <c r="B98" s="28" t="str">
        <f t="shared" ca="1" si="3"/>
        <v/>
      </c>
      <c r="C98" s="29" t="str">
        <f t="shared" ca="1" si="4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5"/>
        <v>0</v>
      </c>
    </row>
    <row r="99" spans="2:12" x14ac:dyDescent="0.3">
      <c r="B99" s="28" t="str">
        <f t="shared" ca="1" si="3"/>
        <v/>
      </c>
      <c r="C99" s="29" t="str">
        <f t="shared" ca="1" si="4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ref="L99:L162" si="6">J99-I99-K99</f>
        <v>0</v>
      </c>
    </row>
    <row r="100" spans="2:12" x14ac:dyDescent="0.3">
      <c r="B100" s="28" t="str">
        <f t="shared" ref="B100:B163" ca="1" si="7">IF(D100&lt;&gt;"",DATE(Jahr,_xlfn.SHEET()-2,D100),"")</f>
        <v/>
      </c>
      <c r="C100" s="29" t="str">
        <f t="shared" ref="C100:C163" ca="1" si="8">B100</f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6"/>
        <v>0</v>
      </c>
    </row>
    <row r="101" spans="2:12" x14ac:dyDescent="0.3">
      <c r="B101" s="28" t="str">
        <f t="shared" ca="1" si="7"/>
        <v/>
      </c>
      <c r="C101" s="29" t="str">
        <f t="shared" ca="1" si="8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6"/>
        <v>0</v>
      </c>
    </row>
    <row r="102" spans="2:12" x14ac:dyDescent="0.3">
      <c r="B102" s="28" t="str">
        <f t="shared" ca="1" si="7"/>
        <v/>
      </c>
      <c r="C102" s="29" t="str">
        <f t="shared" ca="1" si="8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6"/>
        <v>0</v>
      </c>
    </row>
    <row r="103" spans="2:12" x14ac:dyDescent="0.3">
      <c r="B103" s="28" t="str">
        <f t="shared" ca="1" si="7"/>
        <v/>
      </c>
      <c r="C103" s="29" t="str">
        <f t="shared" ca="1" si="8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6"/>
        <v>0</v>
      </c>
    </row>
    <row r="104" spans="2:12" x14ac:dyDescent="0.3">
      <c r="B104" s="28" t="str">
        <f t="shared" ca="1" si="7"/>
        <v/>
      </c>
      <c r="C104" s="29" t="str">
        <f t="shared" ca="1" si="8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6"/>
        <v>0</v>
      </c>
    </row>
    <row r="105" spans="2:12" x14ac:dyDescent="0.3">
      <c r="B105" s="28" t="str">
        <f t="shared" ca="1" si="7"/>
        <v/>
      </c>
      <c r="C105" s="29" t="str">
        <f t="shared" ca="1" si="8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6"/>
        <v>0</v>
      </c>
    </row>
    <row r="106" spans="2:12" x14ac:dyDescent="0.3">
      <c r="B106" s="28" t="str">
        <f t="shared" ca="1" si="7"/>
        <v/>
      </c>
      <c r="C106" s="29" t="str">
        <f t="shared" ca="1" si="8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6"/>
        <v>0</v>
      </c>
    </row>
    <row r="107" spans="2:12" x14ac:dyDescent="0.3">
      <c r="B107" s="28" t="str">
        <f t="shared" ca="1" si="7"/>
        <v/>
      </c>
      <c r="C107" s="29" t="str">
        <f t="shared" ca="1" si="8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6"/>
        <v>0</v>
      </c>
    </row>
    <row r="108" spans="2:12" x14ac:dyDescent="0.3">
      <c r="B108" s="28" t="str">
        <f t="shared" ca="1" si="7"/>
        <v/>
      </c>
      <c r="C108" s="29" t="str">
        <f t="shared" ca="1" si="8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6"/>
        <v>0</v>
      </c>
    </row>
    <row r="109" spans="2:12" x14ac:dyDescent="0.3">
      <c r="B109" s="28" t="str">
        <f t="shared" ca="1" si="7"/>
        <v/>
      </c>
      <c r="C109" s="29" t="str">
        <f t="shared" ca="1" si="8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6"/>
        <v>0</v>
      </c>
    </row>
    <row r="110" spans="2:12" x14ac:dyDescent="0.3">
      <c r="B110" s="28" t="str">
        <f t="shared" ca="1" si="7"/>
        <v/>
      </c>
      <c r="C110" s="29" t="str">
        <f t="shared" ca="1" si="8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6"/>
        <v>0</v>
      </c>
    </row>
    <row r="111" spans="2:12" x14ac:dyDescent="0.3">
      <c r="B111" s="28" t="str">
        <f t="shared" ca="1" si="7"/>
        <v/>
      </c>
      <c r="C111" s="29" t="str">
        <f t="shared" ca="1" si="8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6"/>
        <v>0</v>
      </c>
    </row>
    <row r="112" spans="2:12" x14ac:dyDescent="0.3">
      <c r="B112" s="28" t="str">
        <f t="shared" ca="1" si="7"/>
        <v/>
      </c>
      <c r="C112" s="29" t="str">
        <f t="shared" ca="1" si="8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6"/>
        <v>0</v>
      </c>
    </row>
    <row r="113" spans="2:12" x14ac:dyDescent="0.3">
      <c r="B113" s="28" t="str">
        <f t="shared" ca="1" si="7"/>
        <v/>
      </c>
      <c r="C113" s="29" t="str">
        <f t="shared" ca="1" si="8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6"/>
        <v>0</v>
      </c>
    </row>
    <row r="114" spans="2:12" x14ac:dyDescent="0.3">
      <c r="B114" s="28" t="str">
        <f t="shared" ca="1" si="7"/>
        <v/>
      </c>
      <c r="C114" s="29" t="str">
        <f t="shared" ca="1" si="8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6"/>
        <v>0</v>
      </c>
    </row>
    <row r="115" spans="2:12" x14ac:dyDescent="0.3">
      <c r="B115" s="28" t="str">
        <f t="shared" ca="1" si="7"/>
        <v/>
      </c>
      <c r="C115" s="29" t="str">
        <f t="shared" ca="1" si="8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6"/>
        <v>0</v>
      </c>
    </row>
    <row r="116" spans="2:12" x14ac:dyDescent="0.3">
      <c r="B116" s="28" t="str">
        <f t="shared" ca="1" si="7"/>
        <v/>
      </c>
      <c r="C116" s="29" t="str">
        <f t="shared" ca="1" si="8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6"/>
        <v>0</v>
      </c>
    </row>
    <row r="117" spans="2:12" x14ac:dyDescent="0.3">
      <c r="B117" s="28" t="str">
        <f t="shared" ca="1" si="7"/>
        <v/>
      </c>
      <c r="C117" s="29" t="str">
        <f t="shared" ca="1" si="8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6"/>
        <v>0</v>
      </c>
    </row>
    <row r="118" spans="2:12" x14ac:dyDescent="0.3">
      <c r="B118" s="28" t="str">
        <f t="shared" ca="1" si="7"/>
        <v/>
      </c>
      <c r="C118" s="29" t="str">
        <f t="shared" ca="1" si="8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6"/>
        <v>0</v>
      </c>
    </row>
    <row r="119" spans="2:12" x14ac:dyDescent="0.3">
      <c r="B119" s="28" t="str">
        <f t="shared" ca="1" si="7"/>
        <v/>
      </c>
      <c r="C119" s="29" t="str">
        <f t="shared" ca="1" si="8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6"/>
        <v>0</v>
      </c>
    </row>
    <row r="120" spans="2:12" x14ac:dyDescent="0.3">
      <c r="B120" s="28" t="str">
        <f t="shared" ca="1" si="7"/>
        <v/>
      </c>
      <c r="C120" s="29" t="str">
        <f t="shared" ca="1" si="8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6"/>
        <v>0</v>
      </c>
    </row>
    <row r="121" spans="2:12" x14ac:dyDescent="0.3">
      <c r="B121" s="28" t="str">
        <f t="shared" ca="1" si="7"/>
        <v/>
      </c>
      <c r="C121" s="29" t="str">
        <f t="shared" ca="1" si="8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6"/>
        <v>0</v>
      </c>
    </row>
    <row r="122" spans="2:12" x14ac:dyDescent="0.3">
      <c r="B122" s="28" t="str">
        <f t="shared" ca="1" si="7"/>
        <v/>
      </c>
      <c r="C122" s="29" t="str">
        <f t="shared" ca="1" si="8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6"/>
        <v>0</v>
      </c>
    </row>
    <row r="123" spans="2:12" x14ac:dyDescent="0.3">
      <c r="B123" s="28" t="str">
        <f t="shared" ca="1" si="7"/>
        <v/>
      </c>
      <c r="C123" s="29" t="str">
        <f t="shared" ca="1" si="8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6"/>
        <v>0</v>
      </c>
    </row>
    <row r="124" spans="2:12" x14ac:dyDescent="0.3">
      <c r="B124" s="28" t="str">
        <f t="shared" ca="1" si="7"/>
        <v/>
      </c>
      <c r="C124" s="29" t="str">
        <f t="shared" ca="1" si="8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6"/>
        <v>0</v>
      </c>
    </row>
    <row r="125" spans="2:12" x14ac:dyDescent="0.3">
      <c r="B125" s="28" t="str">
        <f t="shared" ca="1" si="7"/>
        <v/>
      </c>
      <c r="C125" s="29" t="str">
        <f t="shared" ca="1" si="8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6"/>
        <v>0</v>
      </c>
    </row>
    <row r="126" spans="2:12" x14ac:dyDescent="0.3">
      <c r="B126" s="28" t="str">
        <f t="shared" ca="1" si="7"/>
        <v/>
      </c>
      <c r="C126" s="29" t="str">
        <f t="shared" ca="1" si="8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6"/>
        <v>0</v>
      </c>
    </row>
    <row r="127" spans="2:12" x14ac:dyDescent="0.3">
      <c r="B127" s="28" t="str">
        <f t="shared" ca="1" si="7"/>
        <v/>
      </c>
      <c r="C127" s="29" t="str">
        <f t="shared" ca="1" si="8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6"/>
        <v>0</v>
      </c>
    </row>
    <row r="128" spans="2:12" x14ac:dyDescent="0.3">
      <c r="B128" s="28" t="str">
        <f t="shared" ca="1" si="7"/>
        <v/>
      </c>
      <c r="C128" s="29" t="str">
        <f t="shared" ca="1" si="8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6"/>
        <v>0</v>
      </c>
    </row>
    <row r="129" spans="2:12" x14ac:dyDescent="0.3">
      <c r="B129" s="28" t="str">
        <f t="shared" ca="1" si="7"/>
        <v/>
      </c>
      <c r="C129" s="29" t="str">
        <f t="shared" ca="1" si="8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6"/>
        <v>0</v>
      </c>
    </row>
    <row r="130" spans="2:12" x14ac:dyDescent="0.3">
      <c r="B130" s="28" t="str">
        <f t="shared" ca="1" si="7"/>
        <v/>
      </c>
      <c r="C130" s="29" t="str">
        <f t="shared" ca="1" si="8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6"/>
        <v>0</v>
      </c>
    </row>
    <row r="131" spans="2:12" x14ac:dyDescent="0.3">
      <c r="B131" s="28" t="str">
        <f t="shared" ca="1" si="7"/>
        <v/>
      </c>
      <c r="C131" s="29" t="str">
        <f t="shared" ca="1" si="8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6"/>
        <v>0</v>
      </c>
    </row>
    <row r="132" spans="2:12" x14ac:dyDescent="0.3">
      <c r="B132" s="28" t="str">
        <f t="shared" ca="1" si="7"/>
        <v/>
      </c>
      <c r="C132" s="29" t="str">
        <f t="shared" ca="1" si="8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6"/>
        <v>0</v>
      </c>
    </row>
    <row r="133" spans="2:12" x14ac:dyDescent="0.3">
      <c r="B133" s="28" t="str">
        <f t="shared" ca="1" si="7"/>
        <v/>
      </c>
      <c r="C133" s="29" t="str">
        <f t="shared" ca="1" si="8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6"/>
        <v>0</v>
      </c>
    </row>
    <row r="134" spans="2:12" x14ac:dyDescent="0.3">
      <c r="B134" s="28" t="str">
        <f t="shared" ca="1" si="7"/>
        <v/>
      </c>
      <c r="C134" s="29" t="str">
        <f t="shared" ca="1" si="8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6"/>
        <v>0</v>
      </c>
    </row>
    <row r="135" spans="2:12" x14ac:dyDescent="0.3">
      <c r="B135" s="28" t="str">
        <f t="shared" ca="1" si="7"/>
        <v/>
      </c>
      <c r="C135" s="29" t="str">
        <f t="shared" ca="1" si="8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6"/>
        <v>0</v>
      </c>
    </row>
    <row r="136" spans="2:12" x14ac:dyDescent="0.3">
      <c r="B136" s="28" t="str">
        <f t="shared" ca="1" si="7"/>
        <v/>
      </c>
      <c r="C136" s="29" t="str">
        <f t="shared" ca="1" si="8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6"/>
        <v>0</v>
      </c>
    </row>
    <row r="137" spans="2:12" x14ac:dyDescent="0.3">
      <c r="B137" s="28" t="str">
        <f t="shared" ca="1" si="7"/>
        <v/>
      </c>
      <c r="C137" s="29" t="str">
        <f t="shared" ca="1" si="8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6"/>
        <v>0</v>
      </c>
    </row>
    <row r="138" spans="2:12" x14ac:dyDescent="0.3">
      <c r="B138" s="28" t="str">
        <f t="shared" ca="1" si="7"/>
        <v/>
      </c>
      <c r="C138" s="29" t="str">
        <f t="shared" ca="1" si="8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6"/>
        <v>0</v>
      </c>
    </row>
    <row r="139" spans="2:12" x14ac:dyDescent="0.3">
      <c r="B139" s="28" t="str">
        <f t="shared" ca="1" si="7"/>
        <v/>
      </c>
      <c r="C139" s="29" t="str">
        <f t="shared" ca="1" si="8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ref="L163:L226" si="9">J163-I163-K163</f>
        <v>0</v>
      </c>
    </row>
    <row r="164" spans="2:12" x14ac:dyDescent="0.3">
      <c r="B164" s="28" t="str">
        <f t="shared" ref="B164:B227" ca="1" si="10">IF(D164&lt;&gt;"",DATE(Jahr,_xlfn.SHEET()-2,D164),"")</f>
        <v/>
      </c>
      <c r="C164" s="29" t="str">
        <f t="shared" ref="C164:C227" ca="1" si="11">B164</f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9"/>
        <v>0</v>
      </c>
    </row>
    <row r="165" spans="2:12" x14ac:dyDescent="0.3">
      <c r="B165" s="28" t="str">
        <f t="shared" ca="1" si="10"/>
        <v/>
      </c>
      <c r="C165" s="29" t="str">
        <f t="shared" ca="1" si="11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9"/>
        <v>0</v>
      </c>
    </row>
    <row r="166" spans="2:12" x14ac:dyDescent="0.3">
      <c r="B166" s="28" t="str">
        <f t="shared" ca="1" si="10"/>
        <v/>
      </c>
      <c r="C166" s="29" t="str">
        <f t="shared" ca="1" si="11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9"/>
        <v>0</v>
      </c>
    </row>
    <row r="167" spans="2:12" x14ac:dyDescent="0.3">
      <c r="B167" s="28" t="str">
        <f t="shared" ca="1" si="10"/>
        <v/>
      </c>
      <c r="C167" s="29" t="str">
        <f t="shared" ca="1" si="11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9"/>
        <v>0</v>
      </c>
    </row>
    <row r="168" spans="2:12" x14ac:dyDescent="0.3">
      <c r="B168" s="28" t="str">
        <f t="shared" ca="1" si="10"/>
        <v/>
      </c>
      <c r="C168" s="29" t="str">
        <f t="shared" ca="1" si="11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9"/>
        <v>0</v>
      </c>
    </row>
    <row r="169" spans="2:12" x14ac:dyDescent="0.3">
      <c r="B169" s="28" t="str">
        <f t="shared" ca="1" si="10"/>
        <v/>
      </c>
      <c r="C169" s="29" t="str">
        <f t="shared" ca="1" si="11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9"/>
        <v>0</v>
      </c>
    </row>
    <row r="170" spans="2:12" x14ac:dyDescent="0.3">
      <c r="B170" s="28" t="str">
        <f t="shared" ca="1" si="10"/>
        <v/>
      </c>
      <c r="C170" s="29" t="str">
        <f t="shared" ca="1" si="11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9"/>
        <v>0</v>
      </c>
    </row>
    <row r="171" spans="2:12" x14ac:dyDescent="0.3">
      <c r="B171" s="28" t="str">
        <f t="shared" ca="1" si="10"/>
        <v/>
      </c>
      <c r="C171" s="29" t="str">
        <f t="shared" ca="1" si="11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9"/>
        <v>0</v>
      </c>
    </row>
    <row r="172" spans="2:12" x14ac:dyDescent="0.3">
      <c r="B172" s="28" t="str">
        <f t="shared" ca="1" si="10"/>
        <v/>
      </c>
      <c r="C172" s="29" t="str">
        <f t="shared" ca="1" si="11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9"/>
        <v>0</v>
      </c>
    </row>
    <row r="173" spans="2:12" x14ac:dyDescent="0.3">
      <c r="B173" s="28" t="str">
        <f t="shared" ca="1" si="10"/>
        <v/>
      </c>
      <c r="C173" s="29" t="str">
        <f t="shared" ca="1" si="11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9"/>
        <v>0</v>
      </c>
    </row>
    <row r="174" spans="2:12" x14ac:dyDescent="0.3">
      <c r="B174" s="28" t="str">
        <f t="shared" ca="1" si="10"/>
        <v/>
      </c>
      <c r="C174" s="29" t="str">
        <f t="shared" ca="1" si="11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9"/>
        <v>0</v>
      </c>
    </row>
    <row r="175" spans="2:12" x14ac:dyDescent="0.3">
      <c r="B175" s="28" t="str">
        <f t="shared" ca="1" si="10"/>
        <v/>
      </c>
      <c r="C175" s="29" t="str">
        <f t="shared" ca="1" si="11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9"/>
        <v>0</v>
      </c>
    </row>
    <row r="176" spans="2:12" x14ac:dyDescent="0.3">
      <c r="B176" s="28" t="str">
        <f t="shared" ca="1" si="10"/>
        <v/>
      </c>
      <c r="C176" s="29" t="str">
        <f t="shared" ca="1" si="11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9"/>
        <v>0</v>
      </c>
    </row>
    <row r="177" spans="2:12" x14ac:dyDescent="0.3">
      <c r="B177" s="28" t="str">
        <f t="shared" ca="1" si="10"/>
        <v/>
      </c>
      <c r="C177" s="29" t="str">
        <f t="shared" ca="1" si="11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9"/>
        <v>0</v>
      </c>
    </row>
    <row r="178" spans="2:12" x14ac:dyDescent="0.3">
      <c r="B178" s="28" t="str">
        <f t="shared" ca="1" si="10"/>
        <v/>
      </c>
      <c r="C178" s="29" t="str">
        <f t="shared" ca="1" si="11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9"/>
        <v>0</v>
      </c>
    </row>
    <row r="179" spans="2:12" x14ac:dyDescent="0.3">
      <c r="B179" s="28" t="str">
        <f t="shared" ca="1" si="10"/>
        <v/>
      </c>
      <c r="C179" s="29" t="str">
        <f t="shared" ca="1" si="11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9"/>
        <v>0</v>
      </c>
    </row>
    <row r="180" spans="2:12" x14ac:dyDescent="0.3">
      <c r="B180" s="28" t="str">
        <f t="shared" ca="1" si="10"/>
        <v/>
      </c>
      <c r="C180" s="29" t="str">
        <f t="shared" ca="1" si="11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9"/>
        <v>0</v>
      </c>
    </row>
    <row r="181" spans="2:12" x14ac:dyDescent="0.3">
      <c r="B181" s="28" t="str">
        <f t="shared" ca="1" si="10"/>
        <v/>
      </c>
      <c r="C181" s="29" t="str">
        <f t="shared" ca="1" si="11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9"/>
        <v>0</v>
      </c>
    </row>
    <row r="182" spans="2:12" x14ac:dyDescent="0.3">
      <c r="B182" s="28" t="str">
        <f t="shared" ca="1" si="10"/>
        <v/>
      </c>
      <c r="C182" s="29" t="str">
        <f t="shared" ca="1" si="11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9"/>
        <v>0</v>
      </c>
    </row>
    <row r="183" spans="2:12" x14ac:dyDescent="0.3">
      <c r="B183" s="28" t="str">
        <f t="shared" ca="1" si="10"/>
        <v/>
      </c>
      <c r="C183" s="29" t="str">
        <f t="shared" ca="1" si="11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9"/>
        <v>0</v>
      </c>
    </row>
    <row r="184" spans="2:12" x14ac:dyDescent="0.3">
      <c r="B184" s="28" t="str">
        <f t="shared" ca="1" si="10"/>
        <v/>
      </c>
      <c r="C184" s="29" t="str">
        <f t="shared" ca="1" si="11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9"/>
        <v>0</v>
      </c>
    </row>
    <row r="185" spans="2:12" x14ac:dyDescent="0.3">
      <c r="B185" s="28" t="str">
        <f t="shared" ca="1" si="10"/>
        <v/>
      </c>
      <c r="C185" s="29" t="str">
        <f t="shared" ca="1" si="11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9"/>
        <v>0</v>
      </c>
    </row>
    <row r="186" spans="2:12" x14ac:dyDescent="0.3">
      <c r="B186" s="28" t="str">
        <f t="shared" ca="1" si="10"/>
        <v/>
      </c>
      <c r="C186" s="29" t="str">
        <f t="shared" ca="1" si="11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9"/>
        <v>0</v>
      </c>
    </row>
    <row r="187" spans="2:12" x14ac:dyDescent="0.3">
      <c r="B187" s="28" t="str">
        <f t="shared" ca="1" si="10"/>
        <v/>
      </c>
      <c r="C187" s="29" t="str">
        <f t="shared" ca="1" si="11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9"/>
        <v>0</v>
      </c>
    </row>
    <row r="188" spans="2:12" x14ac:dyDescent="0.3">
      <c r="B188" s="28" t="str">
        <f t="shared" ca="1" si="10"/>
        <v/>
      </c>
      <c r="C188" s="29" t="str">
        <f t="shared" ca="1" si="11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9"/>
        <v>0</v>
      </c>
    </row>
    <row r="189" spans="2:12" x14ac:dyDescent="0.3">
      <c r="B189" s="28" t="str">
        <f t="shared" ca="1" si="10"/>
        <v/>
      </c>
      <c r="C189" s="29" t="str">
        <f t="shared" ca="1" si="11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9"/>
        <v>0</v>
      </c>
    </row>
    <row r="190" spans="2:12" x14ac:dyDescent="0.3">
      <c r="B190" s="28" t="str">
        <f t="shared" ca="1" si="10"/>
        <v/>
      </c>
      <c r="C190" s="29" t="str">
        <f t="shared" ca="1" si="11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9"/>
        <v>0</v>
      </c>
    </row>
    <row r="191" spans="2:12" x14ac:dyDescent="0.3">
      <c r="B191" s="28" t="str">
        <f t="shared" ca="1" si="10"/>
        <v/>
      </c>
      <c r="C191" s="29" t="str">
        <f t="shared" ca="1" si="11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9"/>
        <v>0</v>
      </c>
    </row>
    <row r="192" spans="2:12" x14ac:dyDescent="0.3">
      <c r="B192" s="28" t="str">
        <f t="shared" ca="1" si="10"/>
        <v/>
      </c>
      <c r="C192" s="29" t="str">
        <f t="shared" ca="1" si="11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9"/>
        <v>0</v>
      </c>
    </row>
    <row r="193" spans="2:12" x14ac:dyDescent="0.3">
      <c r="B193" s="28" t="str">
        <f t="shared" ca="1" si="10"/>
        <v/>
      </c>
      <c r="C193" s="29" t="str">
        <f t="shared" ca="1" si="11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9"/>
        <v>0</v>
      </c>
    </row>
    <row r="194" spans="2:12" x14ac:dyDescent="0.3">
      <c r="B194" s="28" t="str">
        <f t="shared" ca="1" si="10"/>
        <v/>
      </c>
      <c r="C194" s="29" t="str">
        <f t="shared" ca="1" si="11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9"/>
        <v>0</v>
      </c>
    </row>
    <row r="195" spans="2:12" x14ac:dyDescent="0.3">
      <c r="B195" s="28" t="str">
        <f t="shared" ca="1" si="10"/>
        <v/>
      </c>
      <c r="C195" s="29" t="str">
        <f t="shared" ca="1" si="11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9"/>
        <v>0</v>
      </c>
    </row>
    <row r="196" spans="2:12" x14ac:dyDescent="0.3">
      <c r="B196" s="28" t="str">
        <f t="shared" ca="1" si="10"/>
        <v/>
      </c>
      <c r="C196" s="29" t="str">
        <f t="shared" ca="1" si="11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9"/>
        <v>0</v>
      </c>
    </row>
    <row r="197" spans="2:12" x14ac:dyDescent="0.3">
      <c r="B197" s="28" t="str">
        <f t="shared" ca="1" si="10"/>
        <v/>
      </c>
      <c r="C197" s="29" t="str">
        <f t="shared" ca="1" si="11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9"/>
        <v>0</v>
      </c>
    </row>
    <row r="198" spans="2:12" x14ac:dyDescent="0.3">
      <c r="B198" s="28" t="str">
        <f t="shared" ca="1" si="10"/>
        <v/>
      </c>
      <c r="C198" s="29" t="str">
        <f t="shared" ca="1" si="11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9"/>
        <v>0</v>
      </c>
    </row>
    <row r="199" spans="2:12" x14ac:dyDescent="0.3">
      <c r="B199" s="28" t="str">
        <f t="shared" ca="1" si="10"/>
        <v/>
      </c>
      <c r="C199" s="29" t="str">
        <f t="shared" ca="1" si="11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9"/>
        <v>0</v>
      </c>
    </row>
    <row r="200" spans="2:12" x14ac:dyDescent="0.3">
      <c r="B200" s="28" t="str">
        <f t="shared" ca="1" si="10"/>
        <v/>
      </c>
      <c r="C200" s="29" t="str">
        <f t="shared" ca="1" si="11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9"/>
        <v>0</v>
      </c>
    </row>
    <row r="201" spans="2:12" x14ac:dyDescent="0.3">
      <c r="B201" s="28" t="str">
        <f t="shared" ca="1" si="10"/>
        <v/>
      </c>
      <c r="C201" s="29" t="str">
        <f t="shared" ca="1" si="11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9"/>
        <v>0</v>
      </c>
    </row>
    <row r="202" spans="2:12" x14ac:dyDescent="0.3">
      <c r="B202" s="28" t="str">
        <f t="shared" ca="1" si="10"/>
        <v/>
      </c>
      <c r="C202" s="29" t="str">
        <f t="shared" ca="1" si="11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9"/>
        <v>0</v>
      </c>
    </row>
    <row r="203" spans="2:12" x14ac:dyDescent="0.3">
      <c r="B203" s="28" t="str">
        <f t="shared" ca="1" si="10"/>
        <v/>
      </c>
      <c r="C203" s="29" t="str">
        <f t="shared" ca="1" si="11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ref="L227:L290" si="12">J227-I227-K227</f>
        <v>0</v>
      </c>
    </row>
    <row r="228" spans="2:12" x14ac:dyDescent="0.3">
      <c r="B228" s="28" t="str">
        <f t="shared" ref="B228:B291" ca="1" si="13">IF(D228&lt;&gt;"",DATE(Jahr,_xlfn.SHEET()-2,D228),"")</f>
        <v/>
      </c>
      <c r="C228" s="29" t="str">
        <f t="shared" ref="C228:C291" ca="1" si="14">B228</f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12"/>
        <v>0</v>
      </c>
    </row>
    <row r="229" spans="2:12" x14ac:dyDescent="0.3">
      <c r="B229" s="28" t="str">
        <f t="shared" ca="1" si="13"/>
        <v/>
      </c>
      <c r="C229" s="29" t="str">
        <f t="shared" ca="1" si="14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12"/>
        <v>0</v>
      </c>
    </row>
    <row r="230" spans="2:12" x14ac:dyDescent="0.3">
      <c r="B230" s="28" t="str">
        <f t="shared" ca="1" si="13"/>
        <v/>
      </c>
      <c r="C230" s="29" t="str">
        <f t="shared" ca="1" si="14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12"/>
        <v>0</v>
      </c>
    </row>
    <row r="231" spans="2:12" x14ac:dyDescent="0.3">
      <c r="B231" s="28" t="str">
        <f t="shared" ca="1" si="13"/>
        <v/>
      </c>
      <c r="C231" s="29" t="str">
        <f t="shared" ca="1" si="14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12"/>
        <v>0</v>
      </c>
    </row>
    <row r="232" spans="2:12" x14ac:dyDescent="0.3">
      <c r="B232" s="28" t="str">
        <f t="shared" ca="1" si="13"/>
        <v/>
      </c>
      <c r="C232" s="29" t="str">
        <f t="shared" ca="1" si="14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12"/>
        <v>0</v>
      </c>
    </row>
    <row r="233" spans="2:12" x14ac:dyDescent="0.3">
      <c r="B233" s="28" t="str">
        <f t="shared" ca="1" si="13"/>
        <v/>
      </c>
      <c r="C233" s="29" t="str">
        <f t="shared" ca="1" si="14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12"/>
        <v>0</v>
      </c>
    </row>
    <row r="234" spans="2:12" x14ac:dyDescent="0.3">
      <c r="B234" s="28" t="str">
        <f t="shared" ca="1" si="13"/>
        <v/>
      </c>
      <c r="C234" s="29" t="str">
        <f t="shared" ca="1" si="14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12"/>
        <v>0</v>
      </c>
    </row>
    <row r="235" spans="2:12" x14ac:dyDescent="0.3">
      <c r="B235" s="28" t="str">
        <f t="shared" ca="1" si="13"/>
        <v/>
      </c>
      <c r="C235" s="29" t="str">
        <f t="shared" ca="1" si="14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12"/>
        <v>0</v>
      </c>
    </row>
    <row r="236" spans="2:12" x14ac:dyDescent="0.3">
      <c r="B236" s="28" t="str">
        <f t="shared" ca="1" si="13"/>
        <v/>
      </c>
      <c r="C236" s="29" t="str">
        <f t="shared" ca="1" si="14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12"/>
        <v>0</v>
      </c>
    </row>
    <row r="237" spans="2:12" x14ac:dyDescent="0.3">
      <c r="B237" s="28" t="str">
        <f t="shared" ca="1" si="13"/>
        <v/>
      </c>
      <c r="C237" s="29" t="str">
        <f t="shared" ca="1" si="14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12"/>
        <v>0</v>
      </c>
    </row>
    <row r="238" spans="2:12" x14ac:dyDescent="0.3">
      <c r="B238" s="28" t="str">
        <f t="shared" ca="1" si="13"/>
        <v/>
      </c>
      <c r="C238" s="29" t="str">
        <f t="shared" ca="1" si="14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12"/>
        <v>0</v>
      </c>
    </row>
    <row r="239" spans="2:12" x14ac:dyDescent="0.3">
      <c r="B239" s="28" t="str">
        <f t="shared" ca="1" si="13"/>
        <v/>
      </c>
      <c r="C239" s="29" t="str">
        <f t="shared" ca="1" si="14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12"/>
        <v>0</v>
      </c>
    </row>
    <row r="240" spans="2:12" x14ac:dyDescent="0.3">
      <c r="B240" s="28" t="str">
        <f t="shared" ca="1" si="13"/>
        <v/>
      </c>
      <c r="C240" s="29" t="str">
        <f t="shared" ca="1" si="14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12"/>
        <v>0</v>
      </c>
    </row>
    <row r="241" spans="2:12" x14ac:dyDescent="0.3">
      <c r="B241" s="28" t="str">
        <f t="shared" ca="1" si="13"/>
        <v/>
      </c>
      <c r="C241" s="29" t="str">
        <f t="shared" ca="1" si="14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12"/>
        <v>0</v>
      </c>
    </row>
    <row r="242" spans="2:12" x14ac:dyDescent="0.3">
      <c r="B242" s="28" t="str">
        <f t="shared" ca="1" si="13"/>
        <v/>
      </c>
      <c r="C242" s="29" t="str">
        <f t="shared" ca="1" si="14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12"/>
        <v>0</v>
      </c>
    </row>
    <row r="243" spans="2:12" x14ac:dyDescent="0.3">
      <c r="B243" s="28" t="str">
        <f t="shared" ca="1" si="13"/>
        <v/>
      </c>
      <c r="C243" s="29" t="str">
        <f t="shared" ca="1" si="14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12"/>
        <v>0</v>
      </c>
    </row>
    <row r="244" spans="2:12" x14ac:dyDescent="0.3">
      <c r="B244" s="28" t="str">
        <f t="shared" ca="1" si="13"/>
        <v/>
      </c>
      <c r="C244" s="29" t="str">
        <f t="shared" ca="1" si="14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12"/>
        <v>0</v>
      </c>
    </row>
    <row r="245" spans="2:12" x14ac:dyDescent="0.3">
      <c r="B245" s="28" t="str">
        <f t="shared" ca="1" si="13"/>
        <v/>
      </c>
      <c r="C245" s="29" t="str">
        <f t="shared" ca="1" si="14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12"/>
        <v>0</v>
      </c>
    </row>
    <row r="246" spans="2:12" x14ac:dyDescent="0.3">
      <c r="B246" s="28" t="str">
        <f t="shared" ca="1" si="13"/>
        <v/>
      </c>
      <c r="C246" s="29" t="str">
        <f t="shared" ca="1" si="14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12"/>
        <v>0</v>
      </c>
    </row>
    <row r="247" spans="2:12" x14ac:dyDescent="0.3">
      <c r="B247" s="28" t="str">
        <f t="shared" ca="1" si="13"/>
        <v/>
      </c>
      <c r="C247" s="29" t="str">
        <f t="shared" ca="1" si="14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12"/>
        <v>0</v>
      </c>
    </row>
    <row r="248" spans="2:12" x14ac:dyDescent="0.3">
      <c r="B248" s="28" t="str">
        <f t="shared" ca="1" si="13"/>
        <v/>
      </c>
      <c r="C248" s="29" t="str">
        <f t="shared" ca="1" si="14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12"/>
        <v>0</v>
      </c>
    </row>
    <row r="249" spans="2:12" x14ac:dyDescent="0.3">
      <c r="B249" s="28" t="str">
        <f t="shared" ca="1" si="13"/>
        <v/>
      </c>
      <c r="C249" s="29" t="str">
        <f t="shared" ca="1" si="14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12"/>
        <v>0</v>
      </c>
    </row>
    <row r="250" spans="2:12" x14ac:dyDescent="0.3">
      <c r="B250" s="28" t="str">
        <f t="shared" ca="1" si="13"/>
        <v/>
      </c>
      <c r="C250" s="29" t="str">
        <f t="shared" ca="1" si="14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12"/>
        <v>0</v>
      </c>
    </row>
    <row r="251" spans="2:12" x14ac:dyDescent="0.3">
      <c r="B251" s="28" t="str">
        <f t="shared" ca="1" si="13"/>
        <v/>
      </c>
      <c r="C251" s="29" t="str">
        <f t="shared" ca="1" si="14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12"/>
        <v>0</v>
      </c>
    </row>
    <row r="252" spans="2:12" x14ac:dyDescent="0.3">
      <c r="B252" s="28" t="str">
        <f t="shared" ca="1" si="13"/>
        <v/>
      </c>
      <c r="C252" s="29" t="str">
        <f t="shared" ca="1" si="14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12"/>
        <v>0</v>
      </c>
    </row>
    <row r="253" spans="2:12" x14ac:dyDescent="0.3">
      <c r="B253" s="28" t="str">
        <f t="shared" ca="1" si="13"/>
        <v/>
      </c>
      <c r="C253" s="29" t="str">
        <f t="shared" ca="1" si="14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12"/>
        <v>0</v>
      </c>
    </row>
    <row r="254" spans="2:12" x14ac:dyDescent="0.3">
      <c r="B254" s="28" t="str">
        <f t="shared" ca="1" si="13"/>
        <v/>
      </c>
      <c r="C254" s="29" t="str">
        <f t="shared" ca="1" si="14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12"/>
        <v>0</v>
      </c>
    </row>
    <row r="255" spans="2:12" x14ac:dyDescent="0.3">
      <c r="B255" s="28" t="str">
        <f t="shared" ca="1" si="13"/>
        <v/>
      </c>
      <c r="C255" s="29" t="str">
        <f t="shared" ca="1" si="14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12"/>
        <v>0</v>
      </c>
    </row>
    <row r="256" spans="2:12" x14ac:dyDescent="0.3">
      <c r="B256" s="28" t="str">
        <f t="shared" ca="1" si="13"/>
        <v/>
      </c>
      <c r="C256" s="29" t="str">
        <f t="shared" ca="1" si="14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12"/>
        <v>0</v>
      </c>
    </row>
    <row r="257" spans="2:12" x14ac:dyDescent="0.3">
      <c r="B257" s="28" t="str">
        <f t="shared" ca="1" si="13"/>
        <v/>
      </c>
      <c r="C257" s="29" t="str">
        <f t="shared" ca="1" si="14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12"/>
        <v>0</v>
      </c>
    </row>
    <row r="258" spans="2:12" x14ac:dyDescent="0.3">
      <c r="B258" s="28" t="str">
        <f t="shared" ca="1" si="13"/>
        <v/>
      </c>
      <c r="C258" s="29" t="str">
        <f t="shared" ca="1" si="14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12"/>
        <v>0</v>
      </c>
    </row>
    <row r="259" spans="2:12" x14ac:dyDescent="0.3">
      <c r="B259" s="28" t="str">
        <f t="shared" ca="1" si="13"/>
        <v/>
      </c>
      <c r="C259" s="29" t="str">
        <f t="shared" ca="1" si="14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12"/>
        <v>0</v>
      </c>
    </row>
    <row r="260" spans="2:12" x14ac:dyDescent="0.3">
      <c r="B260" s="28" t="str">
        <f t="shared" ca="1" si="13"/>
        <v/>
      </c>
      <c r="C260" s="29" t="str">
        <f t="shared" ca="1" si="14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12"/>
        <v>0</v>
      </c>
    </row>
    <row r="261" spans="2:12" x14ac:dyDescent="0.3">
      <c r="B261" s="28" t="str">
        <f t="shared" ca="1" si="13"/>
        <v/>
      </c>
      <c r="C261" s="29" t="str">
        <f t="shared" ca="1" si="14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12"/>
        <v>0</v>
      </c>
    </row>
    <row r="262" spans="2:12" x14ac:dyDescent="0.3">
      <c r="B262" s="28" t="str">
        <f t="shared" ca="1" si="13"/>
        <v/>
      </c>
      <c r="C262" s="29" t="str">
        <f t="shared" ca="1" si="14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12"/>
        <v>0</v>
      </c>
    </row>
    <row r="263" spans="2:12" x14ac:dyDescent="0.3">
      <c r="B263" s="28" t="str">
        <f t="shared" ca="1" si="13"/>
        <v/>
      </c>
      <c r="C263" s="29" t="str">
        <f t="shared" ca="1" si="14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12"/>
        <v>0</v>
      </c>
    </row>
    <row r="264" spans="2:12" x14ac:dyDescent="0.3">
      <c r="B264" s="28" t="str">
        <f t="shared" ca="1" si="13"/>
        <v/>
      </c>
      <c r="C264" s="29" t="str">
        <f t="shared" ca="1" si="14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12"/>
        <v>0</v>
      </c>
    </row>
    <row r="265" spans="2:12" x14ac:dyDescent="0.3">
      <c r="B265" s="28" t="str">
        <f t="shared" ca="1" si="13"/>
        <v/>
      </c>
      <c r="C265" s="29" t="str">
        <f t="shared" ca="1" si="14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12"/>
        <v>0</v>
      </c>
    </row>
    <row r="266" spans="2:12" x14ac:dyDescent="0.3">
      <c r="B266" s="28" t="str">
        <f t="shared" ca="1" si="13"/>
        <v/>
      </c>
      <c r="C266" s="29" t="str">
        <f t="shared" ca="1" si="14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12"/>
        <v>0</v>
      </c>
    </row>
    <row r="267" spans="2:12" x14ac:dyDescent="0.3">
      <c r="B267" s="28" t="str">
        <f t="shared" ca="1" si="13"/>
        <v/>
      </c>
      <c r="C267" s="29" t="str">
        <f t="shared" ca="1" si="14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ref="L291:L354" si="15">J291-I291-K291</f>
        <v>0</v>
      </c>
    </row>
    <row r="292" spans="2:12" x14ac:dyDescent="0.3">
      <c r="B292" s="28" t="str">
        <f t="shared" ref="B292:B355" ca="1" si="16">IF(D292&lt;&gt;"",DATE(Jahr,_xlfn.SHEET()-2,D292),"")</f>
        <v/>
      </c>
      <c r="C292" s="29" t="str">
        <f t="shared" ref="C292:C355" ca="1" si="17">B292</f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5"/>
        <v>0</v>
      </c>
    </row>
    <row r="293" spans="2:12" x14ac:dyDescent="0.3">
      <c r="B293" s="28" t="str">
        <f t="shared" ca="1" si="16"/>
        <v/>
      </c>
      <c r="C293" s="29" t="str">
        <f t="shared" ca="1" si="17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5"/>
        <v>0</v>
      </c>
    </row>
    <row r="294" spans="2:12" x14ac:dyDescent="0.3">
      <c r="B294" s="28" t="str">
        <f t="shared" ca="1" si="16"/>
        <v/>
      </c>
      <c r="C294" s="29" t="str">
        <f t="shared" ca="1" si="17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5"/>
        <v>0</v>
      </c>
    </row>
    <row r="295" spans="2:12" x14ac:dyDescent="0.3">
      <c r="B295" s="28" t="str">
        <f t="shared" ca="1" si="16"/>
        <v/>
      </c>
      <c r="C295" s="29" t="str">
        <f t="shared" ca="1" si="17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5"/>
        <v>0</v>
      </c>
    </row>
    <row r="296" spans="2:12" x14ac:dyDescent="0.3">
      <c r="B296" s="28" t="str">
        <f t="shared" ca="1" si="16"/>
        <v/>
      </c>
      <c r="C296" s="29" t="str">
        <f t="shared" ca="1" si="17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5"/>
        <v>0</v>
      </c>
    </row>
    <row r="297" spans="2:12" x14ac:dyDescent="0.3">
      <c r="B297" s="28" t="str">
        <f t="shared" ca="1" si="16"/>
        <v/>
      </c>
      <c r="C297" s="29" t="str">
        <f t="shared" ca="1" si="17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5"/>
        <v>0</v>
      </c>
    </row>
    <row r="298" spans="2:12" x14ac:dyDescent="0.3">
      <c r="B298" s="28" t="str">
        <f t="shared" ca="1" si="16"/>
        <v/>
      </c>
      <c r="C298" s="29" t="str">
        <f t="shared" ca="1" si="17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5"/>
        <v>0</v>
      </c>
    </row>
    <row r="299" spans="2:12" x14ac:dyDescent="0.3">
      <c r="B299" s="28" t="str">
        <f t="shared" ca="1" si="16"/>
        <v/>
      </c>
      <c r="C299" s="29" t="str">
        <f t="shared" ca="1" si="17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5"/>
        <v>0</v>
      </c>
    </row>
    <row r="300" spans="2:12" x14ac:dyDescent="0.3">
      <c r="B300" s="28" t="str">
        <f t="shared" ca="1" si="16"/>
        <v/>
      </c>
      <c r="C300" s="29" t="str">
        <f t="shared" ca="1" si="17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5"/>
        <v>0</v>
      </c>
    </row>
    <row r="301" spans="2:12" x14ac:dyDescent="0.3">
      <c r="B301" s="28" t="str">
        <f t="shared" ca="1" si="16"/>
        <v/>
      </c>
      <c r="C301" s="29" t="str">
        <f t="shared" ca="1" si="17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5"/>
        <v>0</v>
      </c>
    </row>
    <row r="302" spans="2:12" x14ac:dyDescent="0.3">
      <c r="B302" s="28" t="str">
        <f t="shared" ca="1" si="16"/>
        <v/>
      </c>
      <c r="C302" s="29" t="str">
        <f t="shared" ca="1" si="17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5"/>
        <v>0</v>
      </c>
    </row>
    <row r="303" spans="2:12" x14ac:dyDescent="0.3">
      <c r="B303" s="28" t="str">
        <f t="shared" ca="1" si="16"/>
        <v/>
      </c>
      <c r="C303" s="29" t="str">
        <f t="shared" ca="1" si="17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5"/>
        <v>0</v>
      </c>
    </row>
    <row r="304" spans="2:12" x14ac:dyDescent="0.3">
      <c r="B304" s="28" t="str">
        <f t="shared" ca="1" si="16"/>
        <v/>
      </c>
      <c r="C304" s="29" t="str">
        <f t="shared" ca="1" si="17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5"/>
        <v>0</v>
      </c>
    </row>
    <row r="305" spans="2:12" x14ac:dyDescent="0.3">
      <c r="B305" s="28" t="str">
        <f t="shared" ca="1" si="16"/>
        <v/>
      </c>
      <c r="C305" s="29" t="str">
        <f t="shared" ca="1" si="17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5"/>
        <v>0</v>
      </c>
    </row>
    <row r="306" spans="2:12" x14ac:dyDescent="0.3">
      <c r="B306" s="28" t="str">
        <f t="shared" ca="1" si="16"/>
        <v/>
      </c>
      <c r="C306" s="29" t="str">
        <f t="shared" ca="1" si="17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5"/>
        <v>0</v>
      </c>
    </row>
    <row r="307" spans="2:12" x14ac:dyDescent="0.3">
      <c r="B307" s="28" t="str">
        <f t="shared" ca="1" si="16"/>
        <v/>
      </c>
      <c r="C307" s="29" t="str">
        <f t="shared" ca="1" si="17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5"/>
        <v>0</v>
      </c>
    </row>
    <row r="308" spans="2:12" x14ac:dyDescent="0.3">
      <c r="B308" s="28" t="str">
        <f t="shared" ca="1" si="16"/>
        <v/>
      </c>
      <c r="C308" s="29" t="str">
        <f t="shared" ca="1" si="17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5"/>
        <v>0</v>
      </c>
    </row>
    <row r="309" spans="2:12" x14ac:dyDescent="0.3">
      <c r="B309" s="28" t="str">
        <f t="shared" ca="1" si="16"/>
        <v/>
      </c>
      <c r="C309" s="29" t="str">
        <f t="shared" ca="1" si="17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5"/>
        <v>0</v>
      </c>
    </row>
    <row r="310" spans="2:12" x14ac:dyDescent="0.3">
      <c r="B310" s="28" t="str">
        <f t="shared" ca="1" si="16"/>
        <v/>
      </c>
      <c r="C310" s="29" t="str">
        <f t="shared" ca="1" si="17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5"/>
        <v>0</v>
      </c>
    </row>
    <row r="311" spans="2:12" x14ac:dyDescent="0.3">
      <c r="B311" s="28" t="str">
        <f t="shared" ca="1" si="16"/>
        <v/>
      </c>
      <c r="C311" s="29" t="str">
        <f t="shared" ca="1" si="17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5"/>
        <v>0</v>
      </c>
    </row>
    <row r="312" spans="2:12" x14ac:dyDescent="0.3">
      <c r="B312" s="28" t="str">
        <f t="shared" ca="1" si="16"/>
        <v/>
      </c>
      <c r="C312" s="29" t="str">
        <f t="shared" ca="1" si="17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5"/>
        <v>0</v>
      </c>
    </row>
    <row r="313" spans="2:12" x14ac:dyDescent="0.3">
      <c r="B313" s="28" t="str">
        <f t="shared" ca="1" si="16"/>
        <v/>
      </c>
      <c r="C313" s="29" t="str">
        <f t="shared" ca="1" si="17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5"/>
        <v>0</v>
      </c>
    </row>
    <row r="314" spans="2:12" x14ac:dyDescent="0.3">
      <c r="B314" s="28" t="str">
        <f t="shared" ca="1" si="16"/>
        <v/>
      </c>
      <c r="C314" s="29" t="str">
        <f t="shared" ca="1" si="17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5"/>
        <v>0</v>
      </c>
    </row>
    <row r="315" spans="2:12" x14ac:dyDescent="0.3">
      <c r="B315" s="28" t="str">
        <f t="shared" ca="1" si="16"/>
        <v/>
      </c>
      <c r="C315" s="29" t="str">
        <f t="shared" ca="1" si="17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5"/>
        <v>0</v>
      </c>
    </row>
    <row r="316" spans="2:12" x14ac:dyDescent="0.3">
      <c r="B316" s="28" t="str">
        <f t="shared" ca="1" si="16"/>
        <v/>
      </c>
      <c r="C316" s="29" t="str">
        <f t="shared" ca="1" si="17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5"/>
        <v>0</v>
      </c>
    </row>
    <row r="317" spans="2:12" x14ac:dyDescent="0.3">
      <c r="B317" s="28" t="str">
        <f t="shared" ca="1" si="16"/>
        <v/>
      </c>
      <c r="C317" s="29" t="str">
        <f t="shared" ca="1" si="17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5"/>
        <v>0</v>
      </c>
    </row>
    <row r="318" spans="2:12" x14ac:dyDescent="0.3">
      <c r="B318" s="28" t="str">
        <f t="shared" ca="1" si="16"/>
        <v/>
      </c>
      <c r="C318" s="29" t="str">
        <f t="shared" ca="1" si="17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5"/>
        <v>0</v>
      </c>
    </row>
    <row r="319" spans="2:12" x14ac:dyDescent="0.3">
      <c r="B319" s="28" t="str">
        <f t="shared" ca="1" si="16"/>
        <v/>
      </c>
      <c r="C319" s="29" t="str">
        <f t="shared" ca="1" si="17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5"/>
        <v>0</v>
      </c>
    </row>
    <row r="320" spans="2:12" x14ac:dyDescent="0.3">
      <c r="B320" s="28" t="str">
        <f t="shared" ca="1" si="16"/>
        <v/>
      </c>
      <c r="C320" s="29" t="str">
        <f t="shared" ca="1" si="17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5"/>
        <v>0</v>
      </c>
    </row>
    <row r="321" spans="2:12" x14ac:dyDescent="0.3">
      <c r="B321" s="28" t="str">
        <f t="shared" ca="1" si="16"/>
        <v/>
      </c>
      <c r="C321" s="29" t="str">
        <f t="shared" ca="1" si="17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5"/>
        <v>0</v>
      </c>
    </row>
    <row r="322" spans="2:12" x14ac:dyDescent="0.3">
      <c r="B322" s="28" t="str">
        <f t="shared" ca="1" si="16"/>
        <v/>
      </c>
      <c r="C322" s="29" t="str">
        <f t="shared" ca="1" si="17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5"/>
        <v>0</v>
      </c>
    </row>
    <row r="323" spans="2:12" x14ac:dyDescent="0.3">
      <c r="B323" s="28" t="str">
        <f t="shared" ca="1" si="16"/>
        <v/>
      </c>
      <c r="C323" s="29" t="str">
        <f t="shared" ca="1" si="17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5"/>
        <v>0</v>
      </c>
    </row>
    <row r="324" spans="2:12" x14ac:dyDescent="0.3">
      <c r="B324" s="28" t="str">
        <f t="shared" ca="1" si="16"/>
        <v/>
      </c>
      <c r="C324" s="29" t="str">
        <f t="shared" ca="1" si="17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5"/>
        <v>0</v>
      </c>
    </row>
    <row r="325" spans="2:12" x14ac:dyDescent="0.3">
      <c r="B325" s="28" t="str">
        <f t="shared" ca="1" si="16"/>
        <v/>
      </c>
      <c r="C325" s="29" t="str">
        <f t="shared" ca="1" si="17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5"/>
        <v>0</v>
      </c>
    </row>
    <row r="326" spans="2:12" x14ac:dyDescent="0.3">
      <c r="B326" s="28" t="str">
        <f t="shared" ca="1" si="16"/>
        <v/>
      </c>
      <c r="C326" s="29" t="str">
        <f t="shared" ca="1" si="17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5"/>
        <v>0</v>
      </c>
    </row>
    <row r="327" spans="2:12" x14ac:dyDescent="0.3">
      <c r="B327" s="28" t="str">
        <f t="shared" ca="1" si="16"/>
        <v/>
      </c>
      <c r="C327" s="29" t="str">
        <f t="shared" ca="1" si="17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5"/>
        <v>0</v>
      </c>
    </row>
    <row r="328" spans="2:12" x14ac:dyDescent="0.3">
      <c r="B328" s="28" t="str">
        <f t="shared" ca="1" si="16"/>
        <v/>
      </c>
      <c r="C328" s="29" t="str">
        <f t="shared" ca="1" si="17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5"/>
        <v>0</v>
      </c>
    </row>
    <row r="329" spans="2:12" x14ac:dyDescent="0.3">
      <c r="B329" s="28" t="str">
        <f t="shared" ca="1" si="16"/>
        <v/>
      </c>
      <c r="C329" s="29" t="str">
        <f t="shared" ca="1" si="17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5"/>
        <v>0</v>
      </c>
    </row>
    <row r="330" spans="2:12" x14ac:dyDescent="0.3">
      <c r="B330" s="28" t="str">
        <f t="shared" ca="1" si="16"/>
        <v/>
      </c>
      <c r="C330" s="29" t="str">
        <f t="shared" ca="1" si="17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5"/>
        <v>0</v>
      </c>
    </row>
    <row r="331" spans="2:12" x14ac:dyDescent="0.3">
      <c r="B331" s="28" t="str">
        <f t="shared" ca="1" si="16"/>
        <v/>
      </c>
      <c r="C331" s="29" t="str">
        <f t="shared" ca="1" si="17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ref="L355:L418" si="18">J355-I355-K355</f>
        <v>0</v>
      </c>
    </row>
    <row r="356" spans="2:12" x14ac:dyDescent="0.3">
      <c r="B356" s="28" t="str">
        <f t="shared" ref="B356:B419" ca="1" si="19">IF(D356&lt;&gt;"",DATE(Jahr,_xlfn.SHEET()-2,D356),"")</f>
        <v/>
      </c>
      <c r="C356" s="29" t="str">
        <f t="shared" ref="C356:C419" ca="1" si="20">B356</f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8"/>
        <v>0</v>
      </c>
    </row>
    <row r="357" spans="2:12" x14ac:dyDescent="0.3">
      <c r="B357" s="28" t="str">
        <f t="shared" ca="1" si="19"/>
        <v/>
      </c>
      <c r="C357" s="29" t="str">
        <f t="shared" ca="1" si="20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8"/>
        <v>0</v>
      </c>
    </row>
    <row r="358" spans="2:12" x14ac:dyDescent="0.3">
      <c r="B358" s="28" t="str">
        <f t="shared" ca="1" si="19"/>
        <v/>
      </c>
      <c r="C358" s="29" t="str">
        <f t="shared" ca="1" si="20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8"/>
        <v>0</v>
      </c>
    </row>
    <row r="359" spans="2:12" x14ac:dyDescent="0.3">
      <c r="B359" s="28" t="str">
        <f t="shared" ca="1" si="19"/>
        <v/>
      </c>
      <c r="C359" s="29" t="str">
        <f t="shared" ca="1" si="20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8"/>
        <v>0</v>
      </c>
    </row>
    <row r="360" spans="2:12" x14ac:dyDescent="0.3">
      <c r="B360" s="28" t="str">
        <f t="shared" ca="1" si="19"/>
        <v/>
      </c>
      <c r="C360" s="29" t="str">
        <f t="shared" ca="1" si="20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8"/>
        <v>0</v>
      </c>
    </row>
    <row r="361" spans="2:12" x14ac:dyDescent="0.3">
      <c r="B361" s="28" t="str">
        <f t="shared" ca="1" si="19"/>
        <v/>
      </c>
      <c r="C361" s="29" t="str">
        <f t="shared" ca="1" si="20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8"/>
        <v>0</v>
      </c>
    </row>
    <row r="362" spans="2:12" x14ac:dyDescent="0.3">
      <c r="B362" s="28" t="str">
        <f t="shared" ca="1" si="19"/>
        <v/>
      </c>
      <c r="C362" s="29" t="str">
        <f t="shared" ca="1" si="20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8"/>
        <v>0</v>
      </c>
    </row>
    <row r="363" spans="2:12" x14ac:dyDescent="0.3">
      <c r="B363" s="28" t="str">
        <f t="shared" ca="1" si="19"/>
        <v/>
      </c>
      <c r="C363" s="29" t="str">
        <f t="shared" ca="1" si="20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8"/>
        <v>0</v>
      </c>
    </row>
    <row r="364" spans="2:12" x14ac:dyDescent="0.3">
      <c r="B364" s="28" t="str">
        <f t="shared" ca="1" si="19"/>
        <v/>
      </c>
      <c r="C364" s="29" t="str">
        <f t="shared" ca="1" si="20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8"/>
        <v>0</v>
      </c>
    </row>
    <row r="365" spans="2:12" x14ac:dyDescent="0.3">
      <c r="B365" s="28" t="str">
        <f t="shared" ca="1" si="19"/>
        <v/>
      </c>
      <c r="C365" s="29" t="str">
        <f t="shared" ca="1" si="20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8"/>
        <v>0</v>
      </c>
    </row>
    <row r="366" spans="2:12" x14ac:dyDescent="0.3">
      <c r="B366" s="28" t="str">
        <f t="shared" ca="1" si="19"/>
        <v/>
      </c>
      <c r="C366" s="29" t="str">
        <f t="shared" ca="1" si="20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8"/>
        <v>0</v>
      </c>
    </row>
    <row r="367" spans="2:12" x14ac:dyDescent="0.3">
      <c r="B367" s="28" t="str">
        <f t="shared" ca="1" si="19"/>
        <v/>
      </c>
      <c r="C367" s="29" t="str">
        <f t="shared" ca="1" si="20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8"/>
        <v>0</v>
      </c>
    </row>
    <row r="368" spans="2:12" x14ac:dyDescent="0.3">
      <c r="B368" s="28" t="str">
        <f t="shared" ca="1" si="19"/>
        <v/>
      </c>
      <c r="C368" s="29" t="str">
        <f t="shared" ca="1" si="20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8"/>
        <v>0</v>
      </c>
    </row>
    <row r="369" spans="2:12" x14ac:dyDescent="0.3">
      <c r="B369" s="28" t="str">
        <f t="shared" ca="1" si="19"/>
        <v/>
      </c>
      <c r="C369" s="29" t="str">
        <f t="shared" ca="1" si="20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8"/>
        <v>0</v>
      </c>
    </row>
    <row r="370" spans="2:12" x14ac:dyDescent="0.3">
      <c r="B370" s="28" t="str">
        <f t="shared" ca="1" si="19"/>
        <v/>
      </c>
      <c r="C370" s="29" t="str">
        <f t="shared" ca="1" si="20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8"/>
        <v>0</v>
      </c>
    </row>
    <row r="371" spans="2:12" x14ac:dyDescent="0.3">
      <c r="B371" s="28" t="str">
        <f t="shared" ca="1" si="19"/>
        <v/>
      </c>
      <c r="C371" s="29" t="str">
        <f t="shared" ca="1" si="20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8"/>
        <v>0</v>
      </c>
    </row>
    <row r="372" spans="2:12" x14ac:dyDescent="0.3">
      <c r="B372" s="28" t="str">
        <f t="shared" ca="1" si="19"/>
        <v/>
      </c>
      <c r="C372" s="29" t="str">
        <f t="shared" ca="1" si="20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8"/>
        <v>0</v>
      </c>
    </row>
    <row r="373" spans="2:12" x14ac:dyDescent="0.3">
      <c r="B373" s="28" t="str">
        <f t="shared" ca="1" si="19"/>
        <v/>
      </c>
      <c r="C373" s="29" t="str">
        <f t="shared" ca="1" si="20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8"/>
        <v>0</v>
      </c>
    </row>
    <row r="374" spans="2:12" x14ac:dyDescent="0.3">
      <c r="B374" s="28" t="str">
        <f t="shared" ca="1" si="19"/>
        <v/>
      </c>
      <c r="C374" s="29" t="str">
        <f t="shared" ca="1" si="20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8"/>
        <v>0</v>
      </c>
    </row>
    <row r="375" spans="2:12" x14ac:dyDescent="0.3">
      <c r="B375" s="28" t="str">
        <f t="shared" ca="1" si="19"/>
        <v/>
      </c>
      <c r="C375" s="29" t="str">
        <f t="shared" ca="1" si="20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8"/>
        <v>0</v>
      </c>
    </row>
    <row r="376" spans="2:12" x14ac:dyDescent="0.3">
      <c r="B376" s="28" t="str">
        <f t="shared" ca="1" si="19"/>
        <v/>
      </c>
      <c r="C376" s="29" t="str">
        <f t="shared" ca="1" si="20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8"/>
        <v>0</v>
      </c>
    </row>
    <row r="377" spans="2:12" x14ac:dyDescent="0.3">
      <c r="B377" s="28" t="str">
        <f t="shared" ca="1" si="19"/>
        <v/>
      </c>
      <c r="C377" s="29" t="str">
        <f t="shared" ca="1" si="20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8"/>
        <v>0</v>
      </c>
    </row>
    <row r="378" spans="2:12" x14ac:dyDescent="0.3">
      <c r="B378" s="28" t="str">
        <f t="shared" ca="1" si="19"/>
        <v/>
      </c>
      <c r="C378" s="29" t="str">
        <f t="shared" ca="1" si="20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8"/>
        <v>0</v>
      </c>
    </row>
    <row r="379" spans="2:12" x14ac:dyDescent="0.3">
      <c r="B379" s="28" t="str">
        <f t="shared" ca="1" si="19"/>
        <v/>
      </c>
      <c r="C379" s="29" t="str">
        <f t="shared" ca="1" si="20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8"/>
        <v>0</v>
      </c>
    </row>
    <row r="380" spans="2:12" x14ac:dyDescent="0.3">
      <c r="B380" s="28" t="str">
        <f t="shared" ca="1" si="19"/>
        <v/>
      </c>
      <c r="C380" s="29" t="str">
        <f t="shared" ca="1" si="20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8"/>
        <v>0</v>
      </c>
    </row>
    <row r="381" spans="2:12" x14ac:dyDescent="0.3">
      <c r="B381" s="28" t="str">
        <f t="shared" ca="1" si="19"/>
        <v/>
      </c>
      <c r="C381" s="29" t="str">
        <f t="shared" ca="1" si="20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8"/>
        <v>0</v>
      </c>
    </row>
    <row r="382" spans="2:12" x14ac:dyDescent="0.3">
      <c r="B382" s="28" t="str">
        <f t="shared" ca="1" si="19"/>
        <v/>
      </c>
      <c r="C382" s="29" t="str">
        <f t="shared" ca="1" si="20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8"/>
        <v>0</v>
      </c>
    </row>
    <row r="383" spans="2:12" x14ac:dyDescent="0.3">
      <c r="B383" s="28" t="str">
        <f t="shared" ca="1" si="19"/>
        <v/>
      </c>
      <c r="C383" s="29" t="str">
        <f t="shared" ca="1" si="20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8"/>
        <v>0</v>
      </c>
    </row>
    <row r="384" spans="2:12" x14ac:dyDescent="0.3">
      <c r="B384" s="28" t="str">
        <f t="shared" ca="1" si="19"/>
        <v/>
      </c>
      <c r="C384" s="29" t="str">
        <f t="shared" ca="1" si="20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8"/>
        <v>0</v>
      </c>
    </row>
    <row r="385" spans="2:12" x14ac:dyDescent="0.3">
      <c r="B385" s="28" t="str">
        <f t="shared" ca="1" si="19"/>
        <v/>
      </c>
      <c r="C385" s="29" t="str">
        <f t="shared" ca="1" si="20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8"/>
        <v>0</v>
      </c>
    </row>
    <row r="386" spans="2:12" x14ac:dyDescent="0.3">
      <c r="B386" s="28" t="str">
        <f t="shared" ca="1" si="19"/>
        <v/>
      </c>
      <c r="C386" s="29" t="str">
        <f t="shared" ca="1" si="20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8"/>
        <v>0</v>
      </c>
    </row>
    <row r="387" spans="2:12" x14ac:dyDescent="0.3">
      <c r="B387" s="28" t="str">
        <f t="shared" ca="1" si="19"/>
        <v/>
      </c>
      <c r="C387" s="29" t="str">
        <f t="shared" ca="1" si="20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8"/>
        <v>0</v>
      </c>
    </row>
    <row r="388" spans="2:12" x14ac:dyDescent="0.3">
      <c r="B388" s="28" t="str">
        <f t="shared" ca="1" si="19"/>
        <v/>
      </c>
      <c r="C388" s="29" t="str">
        <f t="shared" ca="1" si="20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8"/>
        <v>0</v>
      </c>
    </row>
    <row r="389" spans="2:12" x14ac:dyDescent="0.3">
      <c r="B389" s="28" t="str">
        <f t="shared" ca="1" si="19"/>
        <v/>
      </c>
      <c r="C389" s="29" t="str">
        <f t="shared" ca="1" si="20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8"/>
        <v>0</v>
      </c>
    </row>
    <row r="390" spans="2:12" x14ac:dyDescent="0.3">
      <c r="B390" s="28" t="str">
        <f t="shared" ca="1" si="19"/>
        <v/>
      </c>
      <c r="C390" s="29" t="str">
        <f t="shared" ca="1" si="20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8"/>
        <v>0</v>
      </c>
    </row>
    <row r="391" spans="2:12" x14ac:dyDescent="0.3">
      <c r="B391" s="28" t="str">
        <f t="shared" ca="1" si="19"/>
        <v/>
      </c>
      <c r="C391" s="29" t="str">
        <f t="shared" ca="1" si="20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8"/>
        <v>0</v>
      </c>
    </row>
    <row r="392" spans="2:12" x14ac:dyDescent="0.3">
      <c r="B392" s="28" t="str">
        <f t="shared" ca="1" si="19"/>
        <v/>
      </c>
      <c r="C392" s="29" t="str">
        <f t="shared" ca="1" si="20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8"/>
        <v>0</v>
      </c>
    </row>
    <row r="393" spans="2:12" x14ac:dyDescent="0.3">
      <c r="B393" s="28" t="str">
        <f t="shared" ca="1" si="19"/>
        <v/>
      </c>
      <c r="C393" s="29" t="str">
        <f t="shared" ca="1" si="20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8"/>
        <v>0</v>
      </c>
    </row>
    <row r="394" spans="2:12" x14ac:dyDescent="0.3">
      <c r="B394" s="28" t="str">
        <f t="shared" ca="1" si="19"/>
        <v/>
      </c>
      <c r="C394" s="29" t="str">
        <f t="shared" ca="1" si="20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8"/>
        <v>0</v>
      </c>
    </row>
    <row r="395" spans="2:12" x14ac:dyDescent="0.3">
      <c r="B395" s="28" t="str">
        <f t="shared" ca="1" si="19"/>
        <v/>
      </c>
      <c r="C395" s="29" t="str">
        <f t="shared" ca="1" si="20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ref="L419:L482" si="21">J419-I419-K419</f>
        <v>0</v>
      </c>
    </row>
    <row r="420" spans="2:12" x14ac:dyDescent="0.3">
      <c r="B420" s="28" t="str">
        <f t="shared" ref="B420:B483" ca="1" si="22">IF(D420&lt;&gt;"",DATE(Jahr,_xlfn.SHEET()-2,D420),"")</f>
        <v/>
      </c>
      <c r="C420" s="29" t="str">
        <f t="shared" ref="C420:C483" ca="1" si="23">B420</f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21"/>
        <v>0</v>
      </c>
    </row>
    <row r="421" spans="2:12" x14ac:dyDescent="0.3">
      <c r="B421" s="28" t="str">
        <f t="shared" ca="1" si="22"/>
        <v/>
      </c>
      <c r="C421" s="29" t="str">
        <f t="shared" ca="1" si="23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21"/>
        <v>0</v>
      </c>
    </row>
    <row r="422" spans="2:12" x14ac:dyDescent="0.3">
      <c r="B422" s="28" t="str">
        <f t="shared" ca="1" si="22"/>
        <v/>
      </c>
      <c r="C422" s="29" t="str">
        <f t="shared" ca="1" si="23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21"/>
        <v>0</v>
      </c>
    </row>
    <row r="423" spans="2:12" x14ac:dyDescent="0.3">
      <c r="B423" s="28" t="str">
        <f t="shared" ca="1" si="22"/>
        <v/>
      </c>
      <c r="C423" s="29" t="str">
        <f t="shared" ca="1" si="23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21"/>
        <v>0</v>
      </c>
    </row>
    <row r="424" spans="2:12" x14ac:dyDescent="0.3">
      <c r="B424" s="28" t="str">
        <f t="shared" ca="1" si="22"/>
        <v/>
      </c>
      <c r="C424" s="29" t="str">
        <f t="shared" ca="1" si="23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21"/>
        <v>0</v>
      </c>
    </row>
    <row r="425" spans="2:12" x14ac:dyDescent="0.3">
      <c r="B425" s="28" t="str">
        <f t="shared" ca="1" si="22"/>
        <v/>
      </c>
      <c r="C425" s="29" t="str">
        <f t="shared" ca="1" si="23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21"/>
        <v>0</v>
      </c>
    </row>
    <row r="426" spans="2:12" x14ac:dyDescent="0.3">
      <c r="B426" s="28" t="str">
        <f t="shared" ca="1" si="22"/>
        <v/>
      </c>
      <c r="C426" s="29" t="str">
        <f t="shared" ca="1" si="23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21"/>
        <v>0</v>
      </c>
    </row>
    <row r="427" spans="2:12" x14ac:dyDescent="0.3">
      <c r="B427" s="28" t="str">
        <f t="shared" ca="1" si="22"/>
        <v/>
      </c>
      <c r="C427" s="29" t="str">
        <f t="shared" ca="1" si="23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21"/>
        <v>0</v>
      </c>
    </row>
    <row r="428" spans="2:12" x14ac:dyDescent="0.3">
      <c r="B428" s="28" t="str">
        <f t="shared" ca="1" si="22"/>
        <v/>
      </c>
      <c r="C428" s="29" t="str">
        <f t="shared" ca="1" si="23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21"/>
        <v>0</v>
      </c>
    </row>
    <row r="429" spans="2:12" x14ac:dyDescent="0.3">
      <c r="B429" s="28" t="str">
        <f t="shared" ca="1" si="22"/>
        <v/>
      </c>
      <c r="C429" s="29" t="str">
        <f t="shared" ca="1" si="23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21"/>
        <v>0</v>
      </c>
    </row>
    <row r="430" spans="2:12" x14ac:dyDescent="0.3">
      <c r="B430" s="28" t="str">
        <f t="shared" ca="1" si="22"/>
        <v/>
      </c>
      <c r="C430" s="29" t="str">
        <f t="shared" ca="1" si="23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21"/>
        <v>0</v>
      </c>
    </row>
    <row r="431" spans="2:12" x14ac:dyDescent="0.3">
      <c r="B431" s="28" t="str">
        <f t="shared" ca="1" si="22"/>
        <v/>
      </c>
      <c r="C431" s="29" t="str">
        <f t="shared" ca="1" si="23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21"/>
        <v>0</v>
      </c>
    </row>
    <row r="432" spans="2:12" x14ac:dyDescent="0.3">
      <c r="B432" s="28" t="str">
        <f t="shared" ca="1" si="22"/>
        <v/>
      </c>
      <c r="C432" s="29" t="str">
        <f t="shared" ca="1" si="23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21"/>
        <v>0</v>
      </c>
    </row>
    <row r="433" spans="2:12" x14ac:dyDescent="0.3">
      <c r="B433" s="28" t="str">
        <f t="shared" ca="1" si="22"/>
        <v/>
      </c>
      <c r="C433" s="29" t="str">
        <f t="shared" ca="1" si="23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21"/>
        <v>0</v>
      </c>
    </row>
    <row r="434" spans="2:12" x14ac:dyDescent="0.3">
      <c r="B434" s="28" t="str">
        <f t="shared" ca="1" si="22"/>
        <v/>
      </c>
      <c r="C434" s="29" t="str">
        <f t="shared" ca="1" si="23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21"/>
        <v>0</v>
      </c>
    </row>
    <row r="435" spans="2:12" x14ac:dyDescent="0.3">
      <c r="B435" s="28" t="str">
        <f t="shared" ca="1" si="22"/>
        <v/>
      </c>
      <c r="C435" s="29" t="str">
        <f t="shared" ca="1" si="23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21"/>
        <v>0</v>
      </c>
    </row>
    <row r="436" spans="2:12" x14ac:dyDescent="0.3">
      <c r="B436" s="28" t="str">
        <f t="shared" ca="1" si="22"/>
        <v/>
      </c>
      <c r="C436" s="29" t="str">
        <f t="shared" ca="1" si="23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21"/>
        <v>0</v>
      </c>
    </row>
    <row r="437" spans="2:12" x14ac:dyDescent="0.3">
      <c r="B437" s="28" t="str">
        <f t="shared" ca="1" si="22"/>
        <v/>
      </c>
      <c r="C437" s="29" t="str">
        <f t="shared" ca="1" si="23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21"/>
        <v>0</v>
      </c>
    </row>
    <row r="438" spans="2:12" x14ac:dyDescent="0.3">
      <c r="B438" s="28" t="str">
        <f t="shared" ca="1" si="22"/>
        <v/>
      </c>
      <c r="C438" s="29" t="str">
        <f t="shared" ca="1" si="23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21"/>
        <v>0</v>
      </c>
    </row>
    <row r="439" spans="2:12" x14ac:dyDescent="0.3">
      <c r="B439" s="28" t="str">
        <f t="shared" ca="1" si="22"/>
        <v/>
      </c>
      <c r="C439" s="29" t="str">
        <f t="shared" ca="1" si="23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21"/>
        <v>0</v>
      </c>
    </row>
    <row r="440" spans="2:12" x14ac:dyDescent="0.3">
      <c r="B440" s="28" t="str">
        <f t="shared" ca="1" si="22"/>
        <v/>
      </c>
      <c r="C440" s="29" t="str">
        <f t="shared" ca="1" si="23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21"/>
        <v>0</v>
      </c>
    </row>
    <row r="441" spans="2:12" x14ac:dyDescent="0.3">
      <c r="B441" s="28" t="str">
        <f t="shared" ca="1" si="22"/>
        <v/>
      </c>
      <c r="C441" s="29" t="str">
        <f t="shared" ca="1" si="23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21"/>
        <v>0</v>
      </c>
    </row>
    <row r="442" spans="2:12" x14ac:dyDescent="0.3">
      <c r="B442" s="28" t="str">
        <f t="shared" ca="1" si="22"/>
        <v/>
      </c>
      <c r="C442" s="29" t="str">
        <f t="shared" ca="1" si="23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21"/>
        <v>0</v>
      </c>
    </row>
    <row r="443" spans="2:12" x14ac:dyDescent="0.3">
      <c r="B443" s="28" t="str">
        <f t="shared" ca="1" si="22"/>
        <v/>
      </c>
      <c r="C443" s="29" t="str">
        <f t="shared" ca="1" si="23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21"/>
        <v>0</v>
      </c>
    </row>
    <row r="444" spans="2:12" x14ac:dyDescent="0.3">
      <c r="B444" s="28" t="str">
        <f t="shared" ca="1" si="22"/>
        <v/>
      </c>
      <c r="C444" s="29" t="str">
        <f t="shared" ca="1" si="23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21"/>
        <v>0</v>
      </c>
    </row>
    <row r="445" spans="2:12" x14ac:dyDescent="0.3">
      <c r="B445" s="28" t="str">
        <f t="shared" ca="1" si="22"/>
        <v/>
      </c>
      <c r="C445" s="29" t="str">
        <f t="shared" ca="1" si="23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21"/>
        <v>0</v>
      </c>
    </row>
    <row r="446" spans="2:12" x14ac:dyDescent="0.3">
      <c r="B446" s="28" t="str">
        <f t="shared" ca="1" si="22"/>
        <v/>
      </c>
      <c r="C446" s="29" t="str">
        <f t="shared" ca="1" si="23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21"/>
        <v>0</v>
      </c>
    </row>
    <row r="447" spans="2:12" x14ac:dyDescent="0.3">
      <c r="B447" s="28" t="str">
        <f t="shared" ca="1" si="22"/>
        <v/>
      </c>
      <c r="C447" s="29" t="str">
        <f t="shared" ca="1" si="23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21"/>
        <v>0</v>
      </c>
    </row>
    <row r="448" spans="2:12" x14ac:dyDescent="0.3">
      <c r="B448" s="28" t="str">
        <f t="shared" ca="1" si="22"/>
        <v/>
      </c>
      <c r="C448" s="29" t="str">
        <f t="shared" ca="1" si="23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21"/>
        <v>0</v>
      </c>
    </row>
    <row r="449" spans="2:12" x14ac:dyDescent="0.3">
      <c r="B449" s="28" t="str">
        <f t="shared" ca="1" si="22"/>
        <v/>
      </c>
      <c r="C449" s="29" t="str">
        <f t="shared" ca="1" si="23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21"/>
        <v>0</v>
      </c>
    </row>
    <row r="450" spans="2:12" x14ac:dyDescent="0.3">
      <c r="B450" s="28" t="str">
        <f t="shared" ca="1" si="22"/>
        <v/>
      </c>
      <c r="C450" s="29" t="str">
        <f t="shared" ca="1" si="23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21"/>
        <v>0</v>
      </c>
    </row>
    <row r="451" spans="2:12" x14ac:dyDescent="0.3">
      <c r="B451" s="28" t="str">
        <f t="shared" ca="1" si="22"/>
        <v/>
      </c>
      <c r="C451" s="29" t="str">
        <f t="shared" ca="1" si="23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21"/>
        <v>0</v>
      </c>
    </row>
    <row r="452" spans="2:12" x14ac:dyDescent="0.3">
      <c r="B452" s="28" t="str">
        <f t="shared" ca="1" si="22"/>
        <v/>
      </c>
      <c r="C452" s="29" t="str">
        <f t="shared" ca="1" si="23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21"/>
        <v>0</v>
      </c>
    </row>
    <row r="453" spans="2:12" x14ac:dyDescent="0.3">
      <c r="B453" s="28" t="str">
        <f t="shared" ca="1" si="22"/>
        <v/>
      </c>
      <c r="C453" s="29" t="str">
        <f t="shared" ca="1" si="23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21"/>
        <v>0</v>
      </c>
    </row>
    <row r="454" spans="2:12" x14ac:dyDescent="0.3">
      <c r="B454" s="28" t="str">
        <f t="shared" ca="1" si="22"/>
        <v/>
      </c>
      <c r="C454" s="29" t="str">
        <f t="shared" ca="1" si="23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21"/>
        <v>0</v>
      </c>
    </row>
    <row r="455" spans="2:12" x14ac:dyDescent="0.3">
      <c r="B455" s="28" t="str">
        <f t="shared" ca="1" si="22"/>
        <v/>
      </c>
      <c r="C455" s="29" t="str">
        <f t="shared" ca="1" si="23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21"/>
        <v>0</v>
      </c>
    </row>
    <row r="456" spans="2:12" x14ac:dyDescent="0.3">
      <c r="B456" s="28" t="str">
        <f t="shared" ca="1" si="22"/>
        <v/>
      </c>
      <c r="C456" s="29" t="str">
        <f t="shared" ca="1" si="23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21"/>
        <v>0</v>
      </c>
    </row>
    <row r="457" spans="2:12" x14ac:dyDescent="0.3">
      <c r="B457" s="28" t="str">
        <f t="shared" ca="1" si="22"/>
        <v/>
      </c>
      <c r="C457" s="29" t="str">
        <f t="shared" ca="1" si="23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21"/>
        <v>0</v>
      </c>
    </row>
    <row r="458" spans="2:12" x14ac:dyDescent="0.3">
      <c r="B458" s="28" t="str">
        <f t="shared" ca="1" si="22"/>
        <v/>
      </c>
      <c r="C458" s="29" t="str">
        <f t="shared" ca="1" si="23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21"/>
        <v>0</v>
      </c>
    </row>
    <row r="459" spans="2:12" x14ac:dyDescent="0.3">
      <c r="B459" s="28" t="str">
        <f t="shared" ca="1" si="22"/>
        <v/>
      </c>
      <c r="C459" s="29" t="str">
        <f t="shared" ca="1" si="23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ref="L483:L546" si="24">J483-I483-K483</f>
        <v>0</v>
      </c>
    </row>
    <row r="484" spans="2:12" x14ac:dyDescent="0.3">
      <c r="B484" s="28" t="str">
        <f t="shared" ref="B484:B547" ca="1" si="25">IF(D484&lt;&gt;"",DATE(Jahr,_xlfn.SHEET()-2,D484),"")</f>
        <v/>
      </c>
      <c r="C484" s="29" t="str">
        <f t="shared" ref="C484:C547" ca="1" si="26">B484</f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4"/>
        <v>0</v>
      </c>
    </row>
    <row r="485" spans="2:12" x14ac:dyDescent="0.3">
      <c r="B485" s="28" t="str">
        <f t="shared" ca="1" si="25"/>
        <v/>
      </c>
      <c r="C485" s="29" t="str">
        <f t="shared" ca="1" si="26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4"/>
        <v>0</v>
      </c>
    </row>
    <row r="486" spans="2:12" x14ac:dyDescent="0.3">
      <c r="B486" s="28" t="str">
        <f t="shared" ca="1" si="25"/>
        <v/>
      </c>
      <c r="C486" s="29" t="str">
        <f t="shared" ca="1" si="26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4"/>
        <v>0</v>
      </c>
    </row>
    <row r="487" spans="2:12" x14ac:dyDescent="0.3">
      <c r="B487" s="28" t="str">
        <f t="shared" ca="1" si="25"/>
        <v/>
      </c>
      <c r="C487" s="29" t="str">
        <f t="shared" ca="1" si="26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4"/>
        <v>0</v>
      </c>
    </row>
    <row r="488" spans="2:12" x14ac:dyDescent="0.3">
      <c r="B488" s="28" t="str">
        <f t="shared" ca="1" si="25"/>
        <v/>
      </c>
      <c r="C488" s="29" t="str">
        <f t="shared" ca="1" si="26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4"/>
        <v>0</v>
      </c>
    </row>
    <row r="489" spans="2:12" x14ac:dyDescent="0.3">
      <c r="B489" s="28" t="str">
        <f t="shared" ca="1" si="25"/>
        <v/>
      </c>
      <c r="C489" s="29" t="str">
        <f t="shared" ca="1" si="26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4"/>
        <v>0</v>
      </c>
    </row>
    <row r="490" spans="2:12" x14ac:dyDescent="0.3">
      <c r="B490" s="28" t="str">
        <f t="shared" ca="1" si="25"/>
        <v/>
      </c>
      <c r="C490" s="29" t="str">
        <f t="shared" ca="1" si="26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4"/>
        <v>0</v>
      </c>
    </row>
    <row r="491" spans="2:12" x14ac:dyDescent="0.3">
      <c r="B491" s="28" t="str">
        <f t="shared" ca="1" si="25"/>
        <v/>
      </c>
      <c r="C491" s="29" t="str">
        <f t="shared" ca="1" si="26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4"/>
        <v>0</v>
      </c>
    </row>
    <row r="492" spans="2:12" x14ac:dyDescent="0.3">
      <c r="B492" s="28" t="str">
        <f t="shared" ca="1" si="25"/>
        <v/>
      </c>
      <c r="C492" s="29" t="str">
        <f t="shared" ca="1" si="26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4"/>
        <v>0</v>
      </c>
    </row>
    <row r="493" spans="2:12" x14ac:dyDescent="0.3">
      <c r="B493" s="28" t="str">
        <f t="shared" ca="1" si="25"/>
        <v/>
      </c>
      <c r="C493" s="29" t="str">
        <f t="shared" ca="1" si="26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4"/>
        <v>0</v>
      </c>
    </row>
    <row r="494" spans="2:12" x14ac:dyDescent="0.3">
      <c r="B494" s="28" t="str">
        <f t="shared" ca="1" si="25"/>
        <v/>
      </c>
      <c r="C494" s="29" t="str">
        <f t="shared" ca="1" si="26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4"/>
        <v>0</v>
      </c>
    </row>
    <row r="495" spans="2:12" x14ac:dyDescent="0.3">
      <c r="B495" s="28" t="str">
        <f t="shared" ca="1" si="25"/>
        <v/>
      </c>
      <c r="C495" s="29" t="str">
        <f t="shared" ca="1" si="26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4"/>
        <v>0</v>
      </c>
    </row>
    <row r="496" spans="2:12" x14ac:dyDescent="0.3">
      <c r="B496" s="28" t="str">
        <f t="shared" ca="1" si="25"/>
        <v/>
      </c>
      <c r="C496" s="29" t="str">
        <f t="shared" ca="1" si="26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4"/>
        <v>0</v>
      </c>
    </row>
    <row r="497" spans="2:12" x14ac:dyDescent="0.3">
      <c r="B497" s="28" t="str">
        <f t="shared" ca="1" si="25"/>
        <v/>
      </c>
      <c r="C497" s="29" t="str">
        <f t="shared" ca="1" si="26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4"/>
        <v>0</v>
      </c>
    </row>
    <row r="498" spans="2:12" x14ac:dyDescent="0.3">
      <c r="B498" s="28" t="str">
        <f t="shared" ca="1" si="25"/>
        <v/>
      </c>
      <c r="C498" s="29" t="str">
        <f t="shared" ca="1" si="26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4"/>
        <v>0</v>
      </c>
    </row>
    <row r="499" spans="2:12" x14ac:dyDescent="0.3">
      <c r="B499" s="28" t="str">
        <f t="shared" ca="1" si="25"/>
        <v/>
      </c>
      <c r="C499" s="29" t="str">
        <f t="shared" ca="1" si="26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4"/>
        <v>0</v>
      </c>
    </row>
    <row r="500" spans="2:12" x14ac:dyDescent="0.3">
      <c r="B500" s="28" t="str">
        <f t="shared" ca="1" si="25"/>
        <v/>
      </c>
      <c r="C500" s="29" t="str">
        <f t="shared" ca="1" si="26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4"/>
        <v>0</v>
      </c>
    </row>
    <row r="501" spans="2:12" x14ac:dyDescent="0.3">
      <c r="B501" s="28" t="str">
        <f t="shared" ca="1" si="25"/>
        <v/>
      </c>
      <c r="C501" s="29" t="str">
        <f t="shared" ca="1" si="26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4"/>
        <v>0</v>
      </c>
    </row>
    <row r="502" spans="2:12" x14ac:dyDescent="0.3">
      <c r="B502" s="28" t="str">
        <f t="shared" ca="1" si="25"/>
        <v/>
      </c>
      <c r="C502" s="29" t="str">
        <f t="shared" ca="1" si="26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4"/>
        <v>0</v>
      </c>
    </row>
    <row r="503" spans="2:12" x14ac:dyDescent="0.3">
      <c r="B503" s="28" t="str">
        <f t="shared" ca="1" si="25"/>
        <v/>
      </c>
      <c r="C503" s="29" t="str">
        <f t="shared" ca="1" si="26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4"/>
        <v>0</v>
      </c>
    </row>
    <row r="504" spans="2:12" x14ac:dyDescent="0.3">
      <c r="B504" s="28" t="str">
        <f t="shared" ca="1" si="25"/>
        <v/>
      </c>
      <c r="C504" s="29" t="str">
        <f t="shared" ca="1" si="26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4"/>
        <v>0</v>
      </c>
    </row>
    <row r="505" spans="2:12" x14ac:dyDescent="0.3">
      <c r="B505" s="28" t="str">
        <f t="shared" ca="1" si="25"/>
        <v/>
      </c>
      <c r="C505" s="29" t="str">
        <f t="shared" ca="1" si="26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4"/>
        <v>0</v>
      </c>
    </row>
    <row r="506" spans="2:12" x14ac:dyDescent="0.3">
      <c r="B506" s="28" t="str">
        <f t="shared" ca="1" si="25"/>
        <v/>
      </c>
      <c r="C506" s="29" t="str">
        <f t="shared" ca="1" si="26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4"/>
        <v>0</v>
      </c>
    </row>
    <row r="507" spans="2:12" x14ac:dyDescent="0.3">
      <c r="B507" s="28" t="str">
        <f t="shared" ca="1" si="25"/>
        <v/>
      </c>
      <c r="C507" s="29" t="str">
        <f t="shared" ca="1" si="26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4"/>
        <v>0</v>
      </c>
    </row>
    <row r="508" spans="2:12" x14ac:dyDescent="0.3">
      <c r="B508" s="28" t="str">
        <f t="shared" ca="1" si="25"/>
        <v/>
      </c>
      <c r="C508" s="29" t="str">
        <f t="shared" ca="1" si="26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4"/>
        <v>0</v>
      </c>
    </row>
    <row r="509" spans="2:12" x14ac:dyDescent="0.3">
      <c r="B509" s="28" t="str">
        <f t="shared" ca="1" si="25"/>
        <v/>
      </c>
      <c r="C509" s="29" t="str">
        <f t="shared" ca="1" si="26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4"/>
        <v>0</v>
      </c>
    </row>
    <row r="510" spans="2:12" x14ac:dyDescent="0.3">
      <c r="B510" s="28" t="str">
        <f t="shared" ca="1" si="25"/>
        <v/>
      </c>
      <c r="C510" s="29" t="str">
        <f t="shared" ca="1" si="26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4"/>
        <v>0</v>
      </c>
    </row>
    <row r="511" spans="2:12" x14ac:dyDescent="0.3">
      <c r="B511" s="28" t="str">
        <f t="shared" ca="1" si="25"/>
        <v/>
      </c>
      <c r="C511" s="29" t="str">
        <f t="shared" ca="1" si="26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4"/>
        <v>0</v>
      </c>
    </row>
    <row r="512" spans="2:12" x14ac:dyDescent="0.3">
      <c r="B512" s="28" t="str">
        <f t="shared" ca="1" si="25"/>
        <v/>
      </c>
      <c r="C512" s="29" t="str">
        <f t="shared" ca="1" si="26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4"/>
        <v>0</v>
      </c>
    </row>
    <row r="513" spans="2:12" x14ac:dyDescent="0.3">
      <c r="B513" s="28" t="str">
        <f t="shared" ca="1" si="25"/>
        <v/>
      </c>
      <c r="C513" s="29" t="str">
        <f t="shared" ca="1" si="26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4"/>
        <v>0</v>
      </c>
    </row>
    <row r="514" spans="2:12" x14ac:dyDescent="0.3">
      <c r="B514" s="28" t="str">
        <f t="shared" ca="1" si="25"/>
        <v/>
      </c>
      <c r="C514" s="29" t="str">
        <f t="shared" ca="1" si="26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4"/>
        <v>0</v>
      </c>
    </row>
    <row r="515" spans="2:12" x14ac:dyDescent="0.3">
      <c r="B515" s="28" t="str">
        <f t="shared" ca="1" si="25"/>
        <v/>
      </c>
      <c r="C515" s="29" t="str">
        <f t="shared" ca="1" si="26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4"/>
        <v>0</v>
      </c>
    </row>
    <row r="516" spans="2:12" x14ac:dyDescent="0.3">
      <c r="B516" s="28" t="str">
        <f t="shared" ca="1" si="25"/>
        <v/>
      </c>
      <c r="C516" s="29" t="str">
        <f t="shared" ca="1" si="26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4"/>
        <v>0</v>
      </c>
    </row>
    <row r="517" spans="2:12" x14ac:dyDescent="0.3">
      <c r="B517" s="28" t="str">
        <f t="shared" ca="1" si="25"/>
        <v/>
      </c>
      <c r="C517" s="29" t="str">
        <f t="shared" ca="1" si="26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4"/>
        <v>0</v>
      </c>
    </row>
    <row r="518" spans="2:12" x14ac:dyDescent="0.3">
      <c r="B518" s="28" t="str">
        <f t="shared" ca="1" si="25"/>
        <v/>
      </c>
      <c r="C518" s="29" t="str">
        <f t="shared" ca="1" si="26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4"/>
        <v>0</v>
      </c>
    </row>
    <row r="519" spans="2:12" x14ac:dyDescent="0.3">
      <c r="B519" s="28" t="str">
        <f t="shared" ca="1" si="25"/>
        <v/>
      </c>
      <c r="C519" s="29" t="str">
        <f t="shared" ca="1" si="26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4"/>
        <v>0</v>
      </c>
    </row>
    <row r="520" spans="2:12" x14ac:dyDescent="0.3">
      <c r="B520" s="28" t="str">
        <f t="shared" ca="1" si="25"/>
        <v/>
      </c>
      <c r="C520" s="29" t="str">
        <f t="shared" ca="1" si="26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4"/>
        <v>0</v>
      </c>
    </row>
    <row r="521" spans="2:12" x14ac:dyDescent="0.3">
      <c r="B521" s="28" t="str">
        <f t="shared" ca="1" si="25"/>
        <v/>
      </c>
      <c r="C521" s="29" t="str">
        <f t="shared" ca="1" si="26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4"/>
        <v>0</v>
      </c>
    </row>
    <row r="522" spans="2:12" x14ac:dyDescent="0.3">
      <c r="B522" s="28" t="str">
        <f t="shared" ca="1" si="25"/>
        <v/>
      </c>
      <c r="C522" s="29" t="str">
        <f t="shared" ca="1" si="26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4"/>
        <v>0</v>
      </c>
    </row>
    <row r="523" spans="2:12" x14ac:dyDescent="0.3">
      <c r="B523" s="28" t="str">
        <f t="shared" ca="1" si="25"/>
        <v/>
      </c>
      <c r="C523" s="29" t="str">
        <f t="shared" ca="1" si="26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ref="L547:L610" si="27">J547-I547-K547</f>
        <v>0</v>
      </c>
    </row>
    <row r="548" spans="2:12" x14ac:dyDescent="0.3">
      <c r="B548" s="28" t="str">
        <f t="shared" ref="B548:B611" ca="1" si="28">IF(D548&lt;&gt;"",DATE(Jahr,_xlfn.SHEET()-2,D548),"")</f>
        <v/>
      </c>
      <c r="C548" s="29" t="str">
        <f t="shared" ref="C548:C611" ca="1" si="29">B548</f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7"/>
        <v>0</v>
      </c>
    </row>
    <row r="549" spans="2:12" x14ac:dyDescent="0.3">
      <c r="B549" s="28" t="str">
        <f t="shared" ca="1" si="28"/>
        <v/>
      </c>
      <c r="C549" s="29" t="str">
        <f t="shared" ca="1" si="29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7"/>
        <v>0</v>
      </c>
    </row>
    <row r="550" spans="2:12" x14ac:dyDescent="0.3">
      <c r="B550" s="28" t="str">
        <f t="shared" ca="1" si="28"/>
        <v/>
      </c>
      <c r="C550" s="29" t="str">
        <f t="shared" ca="1" si="29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7"/>
        <v>0</v>
      </c>
    </row>
    <row r="551" spans="2:12" x14ac:dyDescent="0.3">
      <c r="B551" s="28" t="str">
        <f t="shared" ca="1" si="28"/>
        <v/>
      </c>
      <c r="C551" s="29" t="str">
        <f t="shared" ca="1" si="29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7"/>
        <v>0</v>
      </c>
    </row>
    <row r="552" spans="2:12" x14ac:dyDescent="0.3">
      <c r="B552" s="28" t="str">
        <f t="shared" ca="1" si="28"/>
        <v/>
      </c>
      <c r="C552" s="29" t="str">
        <f t="shared" ca="1" si="29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7"/>
        <v>0</v>
      </c>
    </row>
    <row r="553" spans="2:12" x14ac:dyDescent="0.3">
      <c r="B553" s="28" t="str">
        <f t="shared" ca="1" si="28"/>
        <v/>
      </c>
      <c r="C553" s="29" t="str">
        <f t="shared" ca="1" si="29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7"/>
        <v>0</v>
      </c>
    </row>
    <row r="554" spans="2:12" x14ac:dyDescent="0.3">
      <c r="B554" s="28" t="str">
        <f t="shared" ca="1" si="28"/>
        <v/>
      </c>
      <c r="C554" s="29" t="str">
        <f t="shared" ca="1" si="29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7"/>
        <v>0</v>
      </c>
    </row>
    <row r="555" spans="2:12" x14ac:dyDescent="0.3">
      <c r="B555" s="28" t="str">
        <f t="shared" ca="1" si="28"/>
        <v/>
      </c>
      <c r="C555" s="29" t="str">
        <f t="shared" ca="1" si="29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7"/>
        <v>0</v>
      </c>
    </row>
    <row r="556" spans="2:12" x14ac:dyDescent="0.3">
      <c r="B556" s="28" t="str">
        <f t="shared" ca="1" si="28"/>
        <v/>
      </c>
      <c r="C556" s="29" t="str">
        <f t="shared" ca="1" si="29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7"/>
        <v>0</v>
      </c>
    </row>
    <row r="557" spans="2:12" x14ac:dyDescent="0.3">
      <c r="B557" s="28" t="str">
        <f t="shared" ca="1" si="28"/>
        <v/>
      </c>
      <c r="C557" s="29" t="str">
        <f t="shared" ca="1" si="29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7"/>
        <v>0</v>
      </c>
    </row>
    <row r="558" spans="2:12" x14ac:dyDescent="0.3">
      <c r="B558" s="28" t="str">
        <f t="shared" ca="1" si="28"/>
        <v/>
      </c>
      <c r="C558" s="29" t="str">
        <f t="shared" ca="1" si="29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7"/>
        <v>0</v>
      </c>
    </row>
    <row r="559" spans="2:12" x14ac:dyDescent="0.3">
      <c r="B559" s="28" t="str">
        <f t="shared" ca="1" si="28"/>
        <v/>
      </c>
      <c r="C559" s="29" t="str">
        <f t="shared" ca="1" si="29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7"/>
        <v>0</v>
      </c>
    </row>
    <row r="560" spans="2:12" x14ac:dyDescent="0.3">
      <c r="B560" s="28" t="str">
        <f t="shared" ca="1" si="28"/>
        <v/>
      </c>
      <c r="C560" s="29" t="str">
        <f t="shared" ca="1" si="29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7"/>
        <v>0</v>
      </c>
    </row>
    <row r="561" spans="2:12" x14ac:dyDescent="0.3">
      <c r="B561" s="28" t="str">
        <f t="shared" ca="1" si="28"/>
        <v/>
      </c>
      <c r="C561" s="29" t="str">
        <f t="shared" ca="1" si="29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7"/>
        <v>0</v>
      </c>
    </row>
    <row r="562" spans="2:12" x14ac:dyDescent="0.3">
      <c r="B562" s="28" t="str">
        <f t="shared" ca="1" si="28"/>
        <v/>
      </c>
      <c r="C562" s="29" t="str">
        <f t="shared" ca="1" si="29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7"/>
        <v>0</v>
      </c>
    </row>
    <row r="563" spans="2:12" x14ac:dyDescent="0.3">
      <c r="B563" s="28" t="str">
        <f t="shared" ca="1" si="28"/>
        <v/>
      </c>
      <c r="C563" s="29" t="str">
        <f t="shared" ca="1" si="29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7"/>
        <v>0</v>
      </c>
    </row>
    <row r="564" spans="2:12" x14ac:dyDescent="0.3">
      <c r="B564" s="28" t="str">
        <f t="shared" ca="1" si="28"/>
        <v/>
      </c>
      <c r="C564" s="29" t="str">
        <f t="shared" ca="1" si="29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7"/>
        <v>0</v>
      </c>
    </row>
    <row r="565" spans="2:12" x14ac:dyDescent="0.3">
      <c r="B565" s="28" t="str">
        <f t="shared" ca="1" si="28"/>
        <v/>
      </c>
      <c r="C565" s="29" t="str">
        <f t="shared" ca="1" si="29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7"/>
        <v>0</v>
      </c>
    </row>
    <row r="566" spans="2:12" x14ac:dyDescent="0.3">
      <c r="B566" s="28" t="str">
        <f t="shared" ca="1" si="28"/>
        <v/>
      </c>
      <c r="C566" s="29" t="str">
        <f t="shared" ca="1" si="29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7"/>
        <v>0</v>
      </c>
    </row>
    <row r="567" spans="2:12" x14ac:dyDescent="0.3">
      <c r="B567" s="28" t="str">
        <f t="shared" ca="1" si="28"/>
        <v/>
      </c>
      <c r="C567" s="29" t="str">
        <f t="shared" ca="1" si="29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7"/>
        <v>0</v>
      </c>
    </row>
    <row r="568" spans="2:12" x14ac:dyDescent="0.3">
      <c r="B568" s="28" t="str">
        <f t="shared" ca="1" si="28"/>
        <v/>
      </c>
      <c r="C568" s="29" t="str">
        <f t="shared" ca="1" si="29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7"/>
        <v>0</v>
      </c>
    </row>
    <row r="569" spans="2:12" x14ac:dyDescent="0.3">
      <c r="B569" s="28" t="str">
        <f t="shared" ca="1" si="28"/>
        <v/>
      </c>
      <c r="C569" s="29" t="str">
        <f t="shared" ca="1" si="29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7"/>
        <v>0</v>
      </c>
    </row>
    <row r="570" spans="2:12" x14ac:dyDescent="0.3">
      <c r="B570" s="28" t="str">
        <f t="shared" ca="1" si="28"/>
        <v/>
      </c>
      <c r="C570" s="29" t="str">
        <f t="shared" ca="1" si="29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7"/>
        <v>0</v>
      </c>
    </row>
    <row r="571" spans="2:12" x14ac:dyDescent="0.3">
      <c r="B571" s="28" t="str">
        <f t="shared" ca="1" si="28"/>
        <v/>
      </c>
      <c r="C571" s="29" t="str">
        <f t="shared" ca="1" si="29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7"/>
        <v>0</v>
      </c>
    </row>
    <row r="572" spans="2:12" x14ac:dyDescent="0.3">
      <c r="B572" s="28" t="str">
        <f t="shared" ca="1" si="28"/>
        <v/>
      </c>
      <c r="C572" s="29" t="str">
        <f t="shared" ca="1" si="29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7"/>
        <v>0</v>
      </c>
    </row>
    <row r="573" spans="2:12" x14ac:dyDescent="0.3">
      <c r="B573" s="28" t="str">
        <f t="shared" ca="1" si="28"/>
        <v/>
      </c>
      <c r="C573" s="29" t="str">
        <f t="shared" ca="1" si="29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7"/>
        <v>0</v>
      </c>
    </row>
    <row r="574" spans="2:12" x14ac:dyDescent="0.3">
      <c r="B574" s="28" t="str">
        <f t="shared" ca="1" si="28"/>
        <v/>
      </c>
      <c r="C574" s="29" t="str">
        <f t="shared" ca="1" si="29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7"/>
        <v>0</v>
      </c>
    </row>
    <row r="575" spans="2:12" x14ac:dyDescent="0.3">
      <c r="B575" s="28" t="str">
        <f t="shared" ca="1" si="28"/>
        <v/>
      </c>
      <c r="C575" s="29" t="str">
        <f t="shared" ca="1" si="29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7"/>
        <v>0</v>
      </c>
    </row>
    <row r="576" spans="2:12" x14ac:dyDescent="0.3">
      <c r="B576" s="28" t="str">
        <f t="shared" ca="1" si="28"/>
        <v/>
      </c>
      <c r="C576" s="29" t="str">
        <f t="shared" ca="1" si="29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7"/>
        <v>0</v>
      </c>
    </row>
    <row r="577" spans="2:12" x14ac:dyDescent="0.3">
      <c r="B577" s="28" t="str">
        <f t="shared" ca="1" si="28"/>
        <v/>
      </c>
      <c r="C577" s="29" t="str">
        <f t="shared" ca="1" si="29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7"/>
        <v>0</v>
      </c>
    </row>
    <row r="578" spans="2:12" x14ac:dyDescent="0.3">
      <c r="B578" s="28" t="str">
        <f t="shared" ca="1" si="28"/>
        <v/>
      </c>
      <c r="C578" s="29" t="str">
        <f t="shared" ca="1" si="29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7"/>
        <v>0</v>
      </c>
    </row>
    <row r="579" spans="2:12" x14ac:dyDescent="0.3">
      <c r="B579" s="28" t="str">
        <f t="shared" ca="1" si="28"/>
        <v/>
      </c>
      <c r="C579" s="29" t="str">
        <f t="shared" ca="1" si="29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7"/>
        <v>0</v>
      </c>
    </row>
    <row r="580" spans="2:12" x14ac:dyDescent="0.3">
      <c r="B580" s="28" t="str">
        <f t="shared" ca="1" si="28"/>
        <v/>
      </c>
      <c r="C580" s="29" t="str">
        <f t="shared" ca="1" si="29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7"/>
        <v>0</v>
      </c>
    </row>
    <row r="581" spans="2:12" x14ac:dyDescent="0.3">
      <c r="B581" s="28" t="str">
        <f t="shared" ca="1" si="28"/>
        <v/>
      </c>
      <c r="C581" s="29" t="str">
        <f t="shared" ca="1" si="29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7"/>
        <v>0</v>
      </c>
    </row>
    <row r="582" spans="2:12" x14ac:dyDescent="0.3">
      <c r="B582" s="28" t="str">
        <f t="shared" ca="1" si="28"/>
        <v/>
      </c>
      <c r="C582" s="29" t="str">
        <f t="shared" ca="1" si="29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7"/>
        <v>0</v>
      </c>
    </row>
    <row r="583" spans="2:12" x14ac:dyDescent="0.3">
      <c r="B583" s="28" t="str">
        <f t="shared" ca="1" si="28"/>
        <v/>
      </c>
      <c r="C583" s="29" t="str">
        <f t="shared" ca="1" si="29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7"/>
        <v>0</v>
      </c>
    </row>
    <row r="584" spans="2:12" x14ac:dyDescent="0.3">
      <c r="B584" s="28" t="str">
        <f t="shared" ca="1" si="28"/>
        <v/>
      </c>
      <c r="C584" s="29" t="str">
        <f t="shared" ca="1" si="29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7"/>
        <v>0</v>
      </c>
    </row>
    <row r="585" spans="2:12" x14ac:dyDescent="0.3">
      <c r="B585" s="28" t="str">
        <f t="shared" ca="1" si="28"/>
        <v/>
      </c>
      <c r="C585" s="29" t="str">
        <f t="shared" ca="1" si="29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7"/>
        <v>0</v>
      </c>
    </row>
    <row r="586" spans="2:12" x14ac:dyDescent="0.3">
      <c r="B586" s="28" t="str">
        <f t="shared" ca="1" si="28"/>
        <v/>
      </c>
      <c r="C586" s="29" t="str">
        <f t="shared" ca="1" si="29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7"/>
        <v>0</v>
      </c>
    </row>
    <row r="587" spans="2:12" x14ac:dyDescent="0.3">
      <c r="B587" s="28" t="str">
        <f t="shared" ca="1" si="28"/>
        <v/>
      </c>
      <c r="C587" s="29" t="str">
        <f t="shared" ca="1" si="29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ref="L611:L674" si="30">J611-I611-K611</f>
        <v>0</v>
      </c>
    </row>
    <row r="612" spans="2:12" x14ac:dyDescent="0.3">
      <c r="B612" s="28" t="str">
        <f t="shared" ref="B612:B675" ca="1" si="31">IF(D612&lt;&gt;"",DATE(Jahr,_xlfn.SHEET()-2,D612),"")</f>
        <v/>
      </c>
      <c r="C612" s="29" t="str">
        <f t="shared" ref="C612:C675" ca="1" si="32">B612</f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30"/>
        <v>0</v>
      </c>
    </row>
    <row r="613" spans="2:12" x14ac:dyDescent="0.3">
      <c r="B613" s="28" t="str">
        <f t="shared" ca="1" si="31"/>
        <v/>
      </c>
      <c r="C613" s="29" t="str">
        <f t="shared" ca="1" si="32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30"/>
        <v>0</v>
      </c>
    </row>
    <row r="614" spans="2:12" x14ac:dyDescent="0.3">
      <c r="B614" s="28" t="str">
        <f t="shared" ca="1" si="31"/>
        <v/>
      </c>
      <c r="C614" s="29" t="str">
        <f t="shared" ca="1" si="32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30"/>
        <v>0</v>
      </c>
    </row>
    <row r="615" spans="2:12" x14ac:dyDescent="0.3">
      <c r="B615" s="28" t="str">
        <f t="shared" ca="1" si="31"/>
        <v/>
      </c>
      <c r="C615" s="29" t="str">
        <f t="shared" ca="1" si="32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30"/>
        <v>0</v>
      </c>
    </row>
    <row r="616" spans="2:12" x14ac:dyDescent="0.3">
      <c r="B616" s="28" t="str">
        <f t="shared" ca="1" si="31"/>
        <v/>
      </c>
      <c r="C616" s="29" t="str">
        <f t="shared" ca="1" si="32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30"/>
        <v>0</v>
      </c>
    </row>
    <row r="617" spans="2:12" x14ac:dyDescent="0.3">
      <c r="B617" s="28" t="str">
        <f t="shared" ca="1" si="31"/>
        <v/>
      </c>
      <c r="C617" s="29" t="str">
        <f t="shared" ca="1" si="32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30"/>
        <v>0</v>
      </c>
    </row>
    <row r="618" spans="2:12" x14ac:dyDescent="0.3">
      <c r="B618" s="28" t="str">
        <f t="shared" ca="1" si="31"/>
        <v/>
      </c>
      <c r="C618" s="29" t="str">
        <f t="shared" ca="1" si="32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30"/>
        <v>0</v>
      </c>
    </row>
    <row r="619" spans="2:12" x14ac:dyDescent="0.3">
      <c r="B619" s="28" t="str">
        <f t="shared" ca="1" si="31"/>
        <v/>
      </c>
      <c r="C619" s="29" t="str">
        <f t="shared" ca="1" si="32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30"/>
        <v>0</v>
      </c>
    </row>
    <row r="620" spans="2:12" x14ac:dyDescent="0.3">
      <c r="B620" s="28" t="str">
        <f t="shared" ca="1" si="31"/>
        <v/>
      </c>
      <c r="C620" s="29" t="str">
        <f t="shared" ca="1" si="32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30"/>
        <v>0</v>
      </c>
    </row>
    <row r="621" spans="2:12" x14ac:dyDescent="0.3">
      <c r="B621" s="28" t="str">
        <f t="shared" ca="1" si="31"/>
        <v/>
      </c>
      <c r="C621" s="29" t="str">
        <f t="shared" ca="1" si="32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30"/>
        <v>0</v>
      </c>
    </row>
    <row r="622" spans="2:12" x14ac:dyDescent="0.3">
      <c r="B622" s="28" t="str">
        <f t="shared" ca="1" si="31"/>
        <v/>
      </c>
      <c r="C622" s="29" t="str">
        <f t="shared" ca="1" si="32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30"/>
        <v>0</v>
      </c>
    </row>
    <row r="623" spans="2:12" x14ac:dyDescent="0.3">
      <c r="B623" s="28" t="str">
        <f t="shared" ca="1" si="31"/>
        <v/>
      </c>
      <c r="C623" s="29" t="str">
        <f t="shared" ca="1" si="32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30"/>
        <v>0</v>
      </c>
    </row>
    <row r="624" spans="2:12" x14ac:dyDescent="0.3">
      <c r="B624" s="28" t="str">
        <f t="shared" ca="1" si="31"/>
        <v/>
      </c>
      <c r="C624" s="29" t="str">
        <f t="shared" ca="1" si="32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30"/>
        <v>0</v>
      </c>
    </row>
    <row r="625" spans="2:12" x14ac:dyDescent="0.3">
      <c r="B625" s="28" t="str">
        <f t="shared" ca="1" si="31"/>
        <v/>
      </c>
      <c r="C625" s="29" t="str">
        <f t="shared" ca="1" si="32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30"/>
        <v>0</v>
      </c>
    </row>
    <row r="626" spans="2:12" x14ac:dyDescent="0.3">
      <c r="B626" s="28" t="str">
        <f t="shared" ca="1" si="31"/>
        <v/>
      </c>
      <c r="C626" s="29" t="str">
        <f t="shared" ca="1" si="32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30"/>
        <v>0</v>
      </c>
    </row>
    <row r="627" spans="2:12" x14ac:dyDescent="0.3">
      <c r="B627" s="28" t="str">
        <f t="shared" ca="1" si="31"/>
        <v/>
      </c>
      <c r="C627" s="29" t="str">
        <f t="shared" ca="1" si="32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30"/>
        <v>0</v>
      </c>
    </row>
    <row r="628" spans="2:12" x14ac:dyDescent="0.3">
      <c r="B628" s="28" t="str">
        <f t="shared" ca="1" si="31"/>
        <v/>
      </c>
      <c r="C628" s="29" t="str">
        <f t="shared" ca="1" si="32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30"/>
        <v>0</v>
      </c>
    </row>
    <row r="629" spans="2:12" x14ac:dyDescent="0.3">
      <c r="B629" s="28" t="str">
        <f t="shared" ca="1" si="31"/>
        <v/>
      </c>
      <c r="C629" s="29" t="str">
        <f t="shared" ca="1" si="32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30"/>
        <v>0</v>
      </c>
    </row>
    <row r="630" spans="2:12" x14ac:dyDescent="0.3">
      <c r="B630" s="28" t="str">
        <f t="shared" ca="1" si="31"/>
        <v/>
      </c>
      <c r="C630" s="29" t="str">
        <f t="shared" ca="1" si="32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30"/>
        <v>0</v>
      </c>
    </row>
    <row r="631" spans="2:12" x14ac:dyDescent="0.3">
      <c r="B631" s="28" t="str">
        <f t="shared" ca="1" si="31"/>
        <v/>
      </c>
      <c r="C631" s="29" t="str">
        <f t="shared" ca="1" si="32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30"/>
        <v>0</v>
      </c>
    </row>
    <row r="632" spans="2:12" x14ac:dyDescent="0.3">
      <c r="B632" s="28" t="str">
        <f t="shared" ca="1" si="31"/>
        <v/>
      </c>
      <c r="C632" s="29" t="str">
        <f t="shared" ca="1" si="32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30"/>
        <v>0</v>
      </c>
    </row>
    <row r="633" spans="2:12" x14ac:dyDescent="0.3">
      <c r="B633" s="28" t="str">
        <f t="shared" ca="1" si="31"/>
        <v/>
      </c>
      <c r="C633" s="29" t="str">
        <f t="shared" ca="1" si="32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30"/>
        <v>0</v>
      </c>
    </row>
    <row r="634" spans="2:12" x14ac:dyDescent="0.3">
      <c r="B634" s="28" t="str">
        <f t="shared" ca="1" si="31"/>
        <v/>
      </c>
      <c r="C634" s="29" t="str">
        <f t="shared" ca="1" si="32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30"/>
        <v>0</v>
      </c>
    </row>
    <row r="635" spans="2:12" x14ac:dyDescent="0.3">
      <c r="B635" s="28" t="str">
        <f t="shared" ca="1" si="31"/>
        <v/>
      </c>
      <c r="C635" s="29" t="str">
        <f t="shared" ca="1" si="32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30"/>
        <v>0</v>
      </c>
    </row>
    <row r="636" spans="2:12" x14ac:dyDescent="0.3">
      <c r="B636" s="28" t="str">
        <f t="shared" ca="1" si="31"/>
        <v/>
      </c>
      <c r="C636" s="29" t="str">
        <f t="shared" ca="1" si="32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30"/>
        <v>0</v>
      </c>
    </row>
    <row r="637" spans="2:12" x14ac:dyDescent="0.3">
      <c r="B637" s="28" t="str">
        <f t="shared" ca="1" si="31"/>
        <v/>
      </c>
      <c r="C637" s="29" t="str">
        <f t="shared" ca="1" si="32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30"/>
        <v>0</v>
      </c>
    </row>
    <row r="638" spans="2:12" x14ac:dyDescent="0.3">
      <c r="B638" s="28" t="str">
        <f t="shared" ca="1" si="31"/>
        <v/>
      </c>
      <c r="C638" s="29" t="str">
        <f t="shared" ca="1" si="32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30"/>
        <v>0</v>
      </c>
    </row>
    <row r="639" spans="2:12" x14ac:dyDescent="0.3">
      <c r="B639" s="28" t="str">
        <f t="shared" ca="1" si="31"/>
        <v/>
      </c>
      <c r="C639" s="29" t="str">
        <f t="shared" ca="1" si="32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30"/>
        <v>0</v>
      </c>
    </row>
    <row r="640" spans="2:12" x14ac:dyDescent="0.3">
      <c r="B640" s="28" t="str">
        <f t="shared" ca="1" si="31"/>
        <v/>
      </c>
      <c r="C640" s="29" t="str">
        <f t="shared" ca="1" si="32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30"/>
        <v>0</v>
      </c>
    </row>
    <row r="641" spans="2:12" x14ac:dyDescent="0.3">
      <c r="B641" s="28" t="str">
        <f t="shared" ca="1" si="31"/>
        <v/>
      </c>
      <c r="C641" s="29" t="str">
        <f t="shared" ca="1" si="32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30"/>
        <v>0</v>
      </c>
    </row>
    <row r="642" spans="2:12" x14ac:dyDescent="0.3">
      <c r="B642" s="28" t="str">
        <f t="shared" ca="1" si="31"/>
        <v/>
      </c>
      <c r="C642" s="29" t="str">
        <f t="shared" ca="1" si="32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30"/>
        <v>0</v>
      </c>
    </row>
    <row r="643" spans="2:12" x14ac:dyDescent="0.3">
      <c r="B643" s="28" t="str">
        <f t="shared" ca="1" si="31"/>
        <v/>
      </c>
      <c r="C643" s="29" t="str">
        <f t="shared" ca="1" si="32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30"/>
        <v>0</v>
      </c>
    </row>
    <row r="644" spans="2:12" x14ac:dyDescent="0.3">
      <c r="B644" s="28" t="str">
        <f t="shared" ca="1" si="31"/>
        <v/>
      </c>
      <c r="C644" s="29" t="str">
        <f t="shared" ca="1" si="32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30"/>
        <v>0</v>
      </c>
    </row>
    <row r="645" spans="2:12" x14ac:dyDescent="0.3">
      <c r="B645" s="28" t="str">
        <f t="shared" ca="1" si="31"/>
        <v/>
      </c>
      <c r="C645" s="29" t="str">
        <f t="shared" ca="1" si="32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30"/>
        <v>0</v>
      </c>
    </row>
    <row r="646" spans="2:12" x14ac:dyDescent="0.3">
      <c r="B646" s="28" t="str">
        <f t="shared" ca="1" si="31"/>
        <v/>
      </c>
      <c r="C646" s="29" t="str">
        <f t="shared" ca="1" si="32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30"/>
        <v>0</v>
      </c>
    </row>
    <row r="647" spans="2:12" x14ac:dyDescent="0.3">
      <c r="B647" s="28" t="str">
        <f t="shared" ca="1" si="31"/>
        <v/>
      </c>
      <c r="C647" s="29" t="str">
        <f t="shared" ca="1" si="32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30"/>
        <v>0</v>
      </c>
    </row>
    <row r="648" spans="2:12" x14ac:dyDescent="0.3">
      <c r="B648" s="28" t="str">
        <f t="shared" ca="1" si="31"/>
        <v/>
      </c>
      <c r="C648" s="29" t="str">
        <f t="shared" ca="1" si="32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30"/>
        <v>0</v>
      </c>
    </row>
    <row r="649" spans="2:12" x14ac:dyDescent="0.3">
      <c r="B649" s="28" t="str">
        <f t="shared" ca="1" si="31"/>
        <v/>
      </c>
      <c r="C649" s="29" t="str">
        <f t="shared" ca="1" si="32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30"/>
        <v>0</v>
      </c>
    </row>
    <row r="650" spans="2:12" x14ac:dyDescent="0.3">
      <c r="B650" s="28" t="str">
        <f t="shared" ca="1" si="31"/>
        <v/>
      </c>
      <c r="C650" s="29" t="str">
        <f t="shared" ca="1" si="32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30"/>
        <v>0</v>
      </c>
    </row>
    <row r="651" spans="2:12" x14ac:dyDescent="0.3">
      <c r="B651" s="28" t="str">
        <f t="shared" ca="1" si="31"/>
        <v/>
      </c>
      <c r="C651" s="29" t="str">
        <f t="shared" ca="1" si="32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ref="L675:L738" si="33">J675-I675-K675</f>
        <v>0</v>
      </c>
    </row>
    <row r="676" spans="2:12" x14ac:dyDescent="0.3">
      <c r="B676" s="28" t="str">
        <f t="shared" ref="B676:B739" ca="1" si="34">IF(D676&lt;&gt;"",DATE(Jahr,_xlfn.SHEET()-2,D676),"")</f>
        <v/>
      </c>
      <c r="C676" s="29" t="str">
        <f t="shared" ref="C676:C739" ca="1" si="35">B676</f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3"/>
        <v>0</v>
      </c>
    </row>
    <row r="677" spans="2:12" x14ac:dyDescent="0.3">
      <c r="B677" s="28" t="str">
        <f t="shared" ca="1" si="34"/>
        <v/>
      </c>
      <c r="C677" s="29" t="str">
        <f t="shared" ca="1" si="35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3"/>
        <v>0</v>
      </c>
    </row>
    <row r="678" spans="2:12" x14ac:dyDescent="0.3">
      <c r="B678" s="28" t="str">
        <f t="shared" ca="1" si="34"/>
        <v/>
      </c>
      <c r="C678" s="29" t="str">
        <f t="shared" ca="1" si="35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3"/>
        <v>0</v>
      </c>
    </row>
    <row r="679" spans="2:12" x14ac:dyDescent="0.3">
      <c r="B679" s="28" t="str">
        <f t="shared" ca="1" si="34"/>
        <v/>
      </c>
      <c r="C679" s="29" t="str">
        <f t="shared" ca="1" si="35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3"/>
        <v>0</v>
      </c>
    </row>
    <row r="680" spans="2:12" x14ac:dyDescent="0.3">
      <c r="B680" s="28" t="str">
        <f t="shared" ca="1" si="34"/>
        <v/>
      </c>
      <c r="C680" s="29" t="str">
        <f t="shared" ca="1" si="35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3"/>
        <v>0</v>
      </c>
    </row>
    <row r="681" spans="2:12" x14ac:dyDescent="0.3">
      <c r="B681" s="28" t="str">
        <f t="shared" ca="1" si="34"/>
        <v/>
      </c>
      <c r="C681" s="29" t="str">
        <f t="shared" ca="1" si="35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3"/>
        <v>0</v>
      </c>
    </row>
    <row r="682" spans="2:12" x14ac:dyDescent="0.3">
      <c r="B682" s="28" t="str">
        <f t="shared" ca="1" si="34"/>
        <v/>
      </c>
      <c r="C682" s="29" t="str">
        <f t="shared" ca="1" si="35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3"/>
        <v>0</v>
      </c>
    </row>
    <row r="683" spans="2:12" x14ac:dyDescent="0.3">
      <c r="B683" s="28" t="str">
        <f t="shared" ca="1" si="34"/>
        <v/>
      </c>
      <c r="C683" s="29" t="str">
        <f t="shared" ca="1" si="35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3"/>
        <v>0</v>
      </c>
    </row>
    <row r="684" spans="2:12" x14ac:dyDescent="0.3">
      <c r="B684" s="28" t="str">
        <f t="shared" ca="1" si="34"/>
        <v/>
      </c>
      <c r="C684" s="29" t="str">
        <f t="shared" ca="1" si="35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3"/>
        <v>0</v>
      </c>
    </row>
    <row r="685" spans="2:12" x14ac:dyDescent="0.3">
      <c r="B685" s="28" t="str">
        <f t="shared" ca="1" si="34"/>
        <v/>
      </c>
      <c r="C685" s="29" t="str">
        <f t="shared" ca="1" si="35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3"/>
        <v>0</v>
      </c>
    </row>
    <row r="686" spans="2:12" x14ac:dyDescent="0.3">
      <c r="B686" s="28" t="str">
        <f t="shared" ca="1" si="34"/>
        <v/>
      </c>
      <c r="C686" s="29" t="str">
        <f t="shared" ca="1" si="35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3"/>
        <v>0</v>
      </c>
    </row>
    <row r="687" spans="2:12" x14ac:dyDescent="0.3">
      <c r="B687" s="28" t="str">
        <f t="shared" ca="1" si="34"/>
        <v/>
      </c>
      <c r="C687" s="29" t="str">
        <f t="shared" ca="1" si="35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3"/>
        <v>0</v>
      </c>
    </row>
    <row r="688" spans="2:12" x14ac:dyDescent="0.3">
      <c r="B688" s="28" t="str">
        <f t="shared" ca="1" si="34"/>
        <v/>
      </c>
      <c r="C688" s="29" t="str">
        <f t="shared" ca="1" si="35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3"/>
        <v>0</v>
      </c>
    </row>
    <row r="689" spans="2:12" x14ac:dyDescent="0.3">
      <c r="B689" s="28" t="str">
        <f t="shared" ca="1" si="34"/>
        <v/>
      </c>
      <c r="C689" s="29" t="str">
        <f t="shared" ca="1" si="35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3"/>
        <v>0</v>
      </c>
    </row>
    <row r="690" spans="2:12" x14ac:dyDescent="0.3">
      <c r="B690" s="28" t="str">
        <f t="shared" ca="1" si="34"/>
        <v/>
      </c>
      <c r="C690" s="29" t="str">
        <f t="shared" ca="1" si="35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3"/>
        <v>0</v>
      </c>
    </row>
    <row r="691" spans="2:12" x14ac:dyDescent="0.3">
      <c r="B691" s="28" t="str">
        <f t="shared" ca="1" si="34"/>
        <v/>
      </c>
      <c r="C691" s="29" t="str">
        <f t="shared" ca="1" si="35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3"/>
        <v>0</v>
      </c>
    </row>
    <row r="692" spans="2:12" x14ac:dyDescent="0.3">
      <c r="B692" s="28" t="str">
        <f t="shared" ca="1" si="34"/>
        <v/>
      </c>
      <c r="C692" s="29" t="str">
        <f t="shared" ca="1" si="35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3"/>
        <v>0</v>
      </c>
    </row>
    <row r="693" spans="2:12" x14ac:dyDescent="0.3">
      <c r="B693" s="28" t="str">
        <f t="shared" ca="1" si="34"/>
        <v/>
      </c>
      <c r="C693" s="29" t="str">
        <f t="shared" ca="1" si="35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3"/>
        <v>0</v>
      </c>
    </row>
    <row r="694" spans="2:12" x14ac:dyDescent="0.3">
      <c r="B694" s="28" t="str">
        <f t="shared" ca="1" si="34"/>
        <v/>
      </c>
      <c r="C694" s="29" t="str">
        <f t="shared" ca="1" si="35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3"/>
        <v>0</v>
      </c>
    </row>
    <row r="695" spans="2:12" x14ac:dyDescent="0.3">
      <c r="B695" s="28" t="str">
        <f t="shared" ca="1" si="34"/>
        <v/>
      </c>
      <c r="C695" s="29" t="str">
        <f t="shared" ca="1" si="35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3"/>
        <v>0</v>
      </c>
    </row>
    <row r="696" spans="2:12" x14ac:dyDescent="0.3">
      <c r="B696" s="28" t="str">
        <f t="shared" ca="1" si="34"/>
        <v/>
      </c>
      <c r="C696" s="29" t="str">
        <f t="shared" ca="1" si="35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3"/>
        <v>0</v>
      </c>
    </row>
    <row r="697" spans="2:12" x14ac:dyDescent="0.3">
      <c r="B697" s="28" t="str">
        <f t="shared" ca="1" si="34"/>
        <v/>
      </c>
      <c r="C697" s="29" t="str">
        <f t="shared" ca="1" si="35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3"/>
        <v>0</v>
      </c>
    </row>
    <row r="698" spans="2:12" x14ac:dyDescent="0.3">
      <c r="B698" s="28" t="str">
        <f t="shared" ca="1" si="34"/>
        <v/>
      </c>
      <c r="C698" s="29" t="str">
        <f t="shared" ca="1" si="35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3"/>
        <v>0</v>
      </c>
    </row>
    <row r="699" spans="2:12" x14ac:dyDescent="0.3">
      <c r="B699" s="28" t="str">
        <f t="shared" ca="1" si="34"/>
        <v/>
      </c>
      <c r="C699" s="29" t="str">
        <f t="shared" ca="1" si="35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3"/>
        <v>0</v>
      </c>
    </row>
    <row r="700" spans="2:12" x14ac:dyDescent="0.3">
      <c r="B700" s="28" t="str">
        <f t="shared" ca="1" si="34"/>
        <v/>
      </c>
      <c r="C700" s="29" t="str">
        <f t="shared" ca="1" si="35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3"/>
        <v>0</v>
      </c>
    </row>
    <row r="701" spans="2:12" x14ac:dyDescent="0.3">
      <c r="B701" s="28" t="str">
        <f t="shared" ca="1" si="34"/>
        <v/>
      </c>
      <c r="C701" s="29" t="str">
        <f t="shared" ca="1" si="35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3"/>
        <v>0</v>
      </c>
    </row>
    <row r="702" spans="2:12" x14ac:dyDescent="0.3">
      <c r="B702" s="28" t="str">
        <f t="shared" ca="1" si="34"/>
        <v/>
      </c>
      <c r="C702" s="29" t="str">
        <f t="shared" ca="1" si="35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3"/>
        <v>0</v>
      </c>
    </row>
    <row r="703" spans="2:12" x14ac:dyDescent="0.3">
      <c r="B703" s="28" t="str">
        <f t="shared" ca="1" si="34"/>
        <v/>
      </c>
      <c r="C703" s="29" t="str">
        <f t="shared" ca="1" si="35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3"/>
        <v>0</v>
      </c>
    </row>
    <row r="704" spans="2:12" x14ac:dyDescent="0.3">
      <c r="B704" s="28" t="str">
        <f t="shared" ca="1" si="34"/>
        <v/>
      </c>
      <c r="C704" s="29" t="str">
        <f t="shared" ca="1" si="35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3"/>
        <v>0</v>
      </c>
    </row>
    <row r="705" spans="2:12" x14ac:dyDescent="0.3">
      <c r="B705" s="28" t="str">
        <f t="shared" ca="1" si="34"/>
        <v/>
      </c>
      <c r="C705" s="29" t="str">
        <f t="shared" ca="1" si="35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3"/>
        <v>0</v>
      </c>
    </row>
    <row r="706" spans="2:12" x14ac:dyDescent="0.3">
      <c r="B706" s="28" t="str">
        <f t="shared" ca="1" si="34"/>
        <v/>
      </c>
      <c r="C706" s="29" t="str">
        <f t="shared" ca="1" si="35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3"/>
        <v>0</v>
      </c>
    </row>
    <row r="707" spans="2:12" x14ac:dyDescent="0.3">
      <c r="B707" s="28" t="str">
        <f t="shared" ca="1" si="34"/>
        <v/>
      </c>
      <c r="C707" s="29" t="str">
        <f t="shared" ca="1" si="35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3"/>
        <v>0</v>
      </c>
    </row>
    <row r="708" spans="2:12" x14ac:dyDescent="0.3">
      <c r="B708" s="28" t="str">
        <f t="shared" ca="1" si="34"/>
        <v/>
      </c>
      <c r="C708" s="29" t="str">
        <f t="shared" ca="1" si="35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3"/>
        <v>0</v>
      </c>
    </row>
    <row r="709" spans="2:12" x14ac:dyDescent="0.3">
      <c r="B709" s="28" t="str">
        <f t="shared" ca="1" si="34"/>
        <v/>
      </c>
      <c r="C709" s="29" t="str">
        <f t="shared" ca="1" si="35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3"/>
        <v>0</v>
      </c>
    </row>
    <row r="710" spans="2:12" x14ac:dyDescent="0.3">
      <c r="B710" s="28" t="str">
        <f t="shared" ca="1" si="34"/>
        <v/>
      </c>
      <c r="C710" s="29" t="str">
        <f t="shared" ca="1" si="35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3"/>
        <v>0</v>
      </c>
    </row>
    <row r="711" spans="2:12" x14ac:dyDescent="0.3">
      <c r="B711" s="28" t="str">
        <f t="shared" ca="1" si="34"/>
        <v/>
      </c>
      <c r="C711" s="29" t="str">
        <f t="shared" ca="1" si="35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3"/>
        <v>0</v>
      </c>
    </row>
    <row r="712" spans="2:12" x14ac:dyDescent="0.3">
      <c r="B712" s="28" t="str">
        <f t="shared" ca="1" si="34"/>
        <v/>
      </c>
      <c r="C712" s="29" t="str">
        <f t="shared" ca="1" si="35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3"/>
        <v>0</v>
      </c>
    </row>
    <row r="713" spans="2:12" x14ac:dyDescent="0.3">
      <c r="B713" s="28" t="str">
        <f t="shared" ca="1" si="34"/>
        <v/>
      </c>
      <c r="C713" s="29" t="str">
        <f t="shared" ca="1" si="35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3"/>
        <v>0</v>
      </c>
    </row>
    <row r="714" spans="2:12" x14ac:dyDescent="0.3">
      <c r="B714" s="28" t="str">
        <f t="shared" ca="1" si="34"/>
        <v/>
      </c>
      <c r="C714" s="29" t="str">
        <f t="shared" ca="1" si="35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3"/>
        <v>0</v>
      </c>
    </row>
    <row r="715" spans="2:12" x14ac:dyDescent="0.3">
      <c r="B715" s="28" t="str">
        <f t="shared" ca="1" si="34"/>
        <v/>
      </c>
      <c r="C715" s="29" t="str">
        <f t="shared" ca="1" si="35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ref="L739:L802" si="36">J739-I739-K739</f>
        <v>0</v>
      </c>
    </row>
    <row r="740" spans="2:12" x14ac:dyDescent="0.3">
      <c r="B740" s="28" t="str">
        <f t="shared" ref="B740:B803" ca="1" si="37">IF(D740&lt;&gt;"",DATE(Jahr,_xlfn.SHEET()-2,D740),"")</f>
        <v/>
      </c>
      <c r="C740" s="29" t="str">
        <f t="shared" ref="C740:C803" ca="1" si="38">B740</f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6"/>
        <v>0</v>
      </c>
    </row>
    <row r="741" spans="2:12" x14ac:dyDescent="0.3">
      <c r="B741" s="28" t="str">
        <f t="shared" ca="1" si="37"/>
        <v/>
      </c>
      <c r="C741" s="29" t="str">
        <f t="shared" ca="1" si="38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6"/>
        <v>0</v>
      </c>
    </row>
    <row r="742" spans="2:12" x14ac:dyDescent="0.3">
      <c r="B742" s="28" t="str">
        <f t="shared" ca="1" si="37"/>
        <v/>
      </c>
      <c r="C742" s="29" t="str">
        <f t="shared" ca="1" si="38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6"/>
        <v>0</v>
      </c>
    </row>
    <row r="743" spans="2:12" x14ac:dyDescent="0.3">
      <c r="B743" s="28" t="str">
        <f t="shared" ca="1" si="37"/>
        <v/>
      </c>
      <c r="C743" s="29" t="str">
        <f t="shared" ca="1" si="38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6"/>
        <v>0</v>
      </c>
    </row>
    <row r="744" spans="2:12" x14ac:dyDescent="0.3">
      <c r="B744" s="28" t="str">
        <f t="shared" ca="1" si="37"/>
        <v/>
      </c>
      <c r="C744" s="29" t="str">
        <f t="shared" ca="1" si="38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6"/>
        <v>0</v>
      </c>
    </row>
    <row r="745" spans="2:12" x14ac:dyDescent="0.3">
      <c r="B745" s="28" t="str">
        <f t="shared" ca="1" si="37"/>
        <v/>
      </c>
      <c r="C745" s="29" t="str">
        <f t="shared" ca="1" si="38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6"/>
        <v>0</v>
      </c>
    </row>
    <row r="746" spans="2:12" x14ac:dyDescent="0.3">
      <c r="B746" s="28" t="str">
        <f t="shared" ca="1" si="37"/>
        <v/>
      </c>
      <c r="C746" s="29" t="str">
        <f t="shared" ca="1" si="38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6"/>
        <v>0</v>
      </c>
    </row>
    <row r="747" spans="2:12" x14ac:dyDescent="0.3">
      <c r="B747" s="28" t="str">
        <f t="shared" ca="1" si="37"/>
        <v/>
      </c>
      <c r="C747" s="29" t="str">
        <f t="shared" ca="1" si="38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6"/>
        <v>0</v>
      </c>
    </row>
    <row r="748" spans="2:12" x14ac:dyDescent="0.3">
      <c r="B748" s="28" t="str">
        <f t="shared" ca="1" si="37"/>
        <v/>
      </c>
      <c r="C748" s="29" t="str">
        <f t="shared" ca="1" si="38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6"/>
        <v>0</v>
      </c>
    </row>
    <row r="749" spans="2:12" x14ac:dyDescent="0.3">
      <c r="B749" s="28" t="str">
        <f t="shared" ca="1" si="37"/>
        <v/>
      </c>
      <c r="C749" s="29" t="str">
        <f t="shared" ca="1" si="38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6"/>
        <v>0</v>
      </c>
    </row>
    <row r="750" spans="2:12" x14ac:dyDescent="0.3">
      <c r="B750" s="28" t="str">
        <f t="shared" ca="1" si="37"/>
        <v/>
      </c>
      <c r="C750" s="29" t="str">
        <f t="shared" ca="1" si="38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6"/>
        <v>0</v>
      </c>
    </row>
    <row r="751" spans="2:12" x14ac:dyDescent="0.3">
      <c r="B751" s="28" t="str">
        <f t="shared" ca="1" si="37"/>
        <v/>
      </c>
      <c r="C751" s="29" t="str">
        <f t="shared" ca="1" si="38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6"/>
        <v>0</v>
      </c>
    </row>
    <row r="752" spans="2:12" x14ac:dyDescent="0.3">
      <c r="B752" s="28" t="str">
        <f t="shared" ca="1" si="37"/>
        <v/>
      </c>
      <c r="C752" s="29" t="str">
        <f t="shared" ca="1" si="38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6"/>
        <v>0</v>
      </c>
    </row>
    <row r="753" spans="2:12" x14ac:dyDescent="0.3">
      <c r="B753" s="28" t="str">
        <f t="shared" ca="1" si="37"/>
        <v/>
      </c>
      <c r="C753" s="29" t="str">
        <f t="shared" ca="1" si="38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6"/>
        <v>0</v>
      </c>
    </row>
    <row r="754" spans="2:12" x14ac:dyDescent="0.3">
      <c r="B754" s="28" t="str">
        <f t="shared" ca="1" si="37"/>
        <v/>
      </c>
      <c r="C754" s="29" t="str">
        <f t="shared" ca="1" si="38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6"/>
        <v>0</v>
      </c>
    </row>
    <row r="755" spans="2:12" x14ac:dyDescent="0.3">
      <c r="B755" s="28" t="str">
        <f t="shared" ca="1" si="37"/>
        <v/>
      </c>
      <c r="C755" s="29" t="str">
        <f t="shared" ca="1" si="38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6"/>
        <v>0</v>
      </c>
    </row>
    <row r="756" spans="2:12" x14ac:dyDescent="0.3">
      <c r="B756" s="28" t="str">
        <f t="shared" ca="1" si="37"/>
        <v/>
      </c>
      <c r="C756" s="29" t="str">
        <f t="shared" ca="1" si="38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6"/>
        <v>0</v>
      </c>
    </row>
    <row r="757" spans="2:12" x14ac:dyDescent="0.3">
      <c r="B757" s="28" t="str">
        <f t="shared" ca="1" si="37"/>
        <v/>
      </c>
      <c r="C757" s="29" t="str">
        <f t="shared" ca="1" si="38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6"/>
        <v>0</v>
      </c>
    </row>
    <row r="758" spans="2:12" x14ac:dyDescent="0.3">
      <c r="B758" s="28" t="str">
        <f t="shared" ca="1" si="37"/>
        <v/>
      </c>
      <c r="C758" s="29" t="str">
        <f t="shared" ca="1" si="38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6"/>
        <v>0</v>
      </c>
    </row>
    <row r="759" spans="2:12" x14ac:dyDescent="0.3">
      <c r="B759" s="28" t="str">
        <f t="shared" ca="1" si="37"/>
        <v/>
      </c>
      <c r="C759" s="29" t="str">
        <f t="shared" ca="1" si="38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6"/>
        <v>0</v>
      </c>
    </row>
    <row r="760" spans="2:12" x14ac:dyDescent="0.3">
      <c r="B760" s="28" t="str">
        <f t="shared" ca="1" si="37"/>
        <v/>
      </c>
      <c r="C760" s="29" t="str">
        <f t="shared" ca="1" si="38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6"/>
        <v>0</v>
      </c>
    </row>
    <row r="761" spans="2:12" x14ac:dyDescent="0.3">
      <c r="B761" s="28" t="str">
        <f t="shared" ca="1" si="37"/>
        <v/>
      </c>
      <c r="C761" s="29" t="str">
        <f t="shared" ca="1" si="38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6"/>
        <v>0</v>
      </c>
    </row>
    <row r="762" spans="2:12" x14ac:dyDescent="0.3">
      <c r="B762" s="28" t="str">
        <f t="shared" ca="1" si="37"/>
        <v/>
      </c>
      <c r="C762" s="29" t="str">
        <f t="shared" ca="1" si="38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6"/>
        <v>0</v>
      </c>
    </row>
    <row r="763" spans="2:12" x14ac:dyDescent="0.3">
      <c r="B763" s="28" t="str">
        <f t="shared" ca="1" si="37"/>
        <v/>
      </c>
      <c r="C763" s="29" t="str">
        <f t="shared" ca="1" si="38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6"/>
        <v>0</v>
      </c>
    </row>
    <row r="764" spans="2:12" x14ac:dyDescent="0.3">
      <c r="B764" s="28" t="str">
        <f t="shared" ca="1" si="37"/>
        <v/>
      </c>
      <c r="C764" s="29" t="str">
        <f t="shared" ca="1" si="38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6"/>
        <v>0</v>
      </c>
    </row>
    <row r="765" spans="2:12" x14ac:dyDescent="0.3">
      <c r="B765" s="28" t="str">
        <f t="shared" ca="1" si="37"/>
        <v/>
      </c>
      <c r="C765" s="29" t="str">
        <f t="shared" ca="1" si="38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6"/>
        <v>0</v>
      </c>
    </row>
    <row r="766" spans="2:12" x14ac:dyDescent="0.3">
      <c r="B766" s="28" t="str">
        <f t="shared" ca="1" si="37"/>
        <v/>
      </c>
      <c r="C766" s="29" t="str">
        <f t="shared" ca="1" si="38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6"/>
        <v>0</v>
      </c>
    </row>
    <row r="767" spans="2:12" x14ac:dyDescent="0.3">
      <c r="B767" s="28" t="str">
        <f t="shared" ca="1" si="37"/>
        <v/>
      </c>
      <c r="C767" s="29" t="str">
        <f t="shared" ca="1" si="38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6"/>
        <v>0</v>
      </c>
    </row>
    <row r="768" spans="2:12" x14ac:dyDescent="0.3">
      <c r="B768" s="28" t="str">
        <f t="shared" ca="1" si="37"/>
        <v/>
      </c>
      <c r="C768" s="29" t="str">
        <f t="shared" ca="1" si="38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6"/>
        <v>0</v>
      </c>
    </row>
    <row r="769" spans="2:12" x14ac:dyDescent="0.3">
      <c r="B769" s="28" t="str">
        <f t="shared" ca="1" si="37"/>
        <v/>
      </c>
      <c r="C769" s="29" t="str">
        <f t="shared" ca="1" si="38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6"/>
        <v>0</v>
      </c>
    </row>
    <row r="770" spans="2:12" x14ac:dyDescent="0.3">
      <c r="B770" s="28" t="str">
        <f t="shared" ca="1" si="37"/>
        <v/>
      </c>
      <c r="C770" s="29" t="str">
        <f t="shared" ca="1" si="38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6"/>
        <v>0</v>
      </c>
    </row>
    <row r="771" spans="2:12" x14ac:dyDescent="0.3">
      <c r="B771" s="28" t="str">
        <f t="shared" ca="1" si="37"/>
        <v/>
      </c>
      <c r="C771" s="29" t="str">
        <f t="shared" ca="1" si="38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6"/>
        <v>0</v>
      </c>
    </row>
    <row r="772" spans="2:12" x14ac:dyDescent="0.3">
      <c r="B772" s="28" t="str">
        <f t="shared" ca="1" si="37"/>
        <v/>
      </c>
      <c r="C772" s="29" t="str">
        <f t="shared" ca="1" si="38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6"/>
        <v>0</v>
      </c>
    </row>
    <row r="773" spans="2:12" x14ac:dyDescent="0.3">
      <c r="B773" s="28" t="str">
        <f t="shared" ca="1" si="37"/>
        <v/>
      </c>
      <c r="C773" s="29" t="str">
        <f t="shared" ca="1" si="38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6"/>
        <v>0</v>
      </c>
    </row>
    <row r="774" spans="2:12" x14ac:dyDescent="0.3">
      <c r="B774" s="28" t="str">
        <f t="shared" ca="1" si="37"/>
        <v/>
      </c>
      <c r="C774" s="29" t="str">
        <f t="shared" ca="1" si="38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6"/>
        <v>0</v>
      </c>
    </row>
    <row r="775" spans="2:12" x14ac:dyDescent="0.3">
      <c r="B775" s="28" t="str">
        <f t="shared" ca="1" si="37"/>
        <v/>
      </c>
      <c r="C775" s="29" t="str">
        <f t="shared" ca="1" si="38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6"/>
        <v>0</v>
      </c>
    </row>
    <row r="776" spans="2:12" x14ac:dyDescent="0.3">
      <c r="B776" s="28" t="str">
        <f t="shared" ca="1" si="37"/>
        <v/>
      </c>
      <c r="C776" s="29" t="str">
        <f t="shared" ca="1" si="38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6"/>
        <v>0</v>
      </c>
    </row>
    <row r="777" spans="2:12" x14ac:dyDescent="0.3">
      <c r="B777" s="28" t="str">
        <f t="shared" ca="1" si="37"/>
        <v/>
      </c>
      <c r="C777" s="29" t="str">
        <f t="shared" ca="1" si="38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6"/>
        <v>0</v>
      </c>
    </row>
    <row r="778" spans="2:12" x14ac:dyDescent="0.3">
      <c r="B778" s="28" t="str">
        <f t="shared" ca="1" si="37"/>
        <v/>
      </c>
      <c r="C778" s="29" t="str">
        <f t="shared" ca="1" si="38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6"/>
        <v>0</v>
      </c>
    </row>
    <row r="779" spans="2:12" x14ac:dyDescent="0.3">
      <c r="B779" s="28" t="str">
        <f t="shared" ca="1" si="37"/>
        <v/>
      </c>
      <c r="C779" s="29" t="str">
        <f t="shared" ca="1" si="38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ref="L803:L866" si="39">J803-I803-K803</f>
        <v>0</v>
      </c>
    </row>
    <row r="804" spans="2:12" x14ac:dyDescent="0.3">
      <c r="B804" s="28" t="str">
        <f t="shared" ref="B804:B867" ca="1" si="40">IF(D804&lt;&gt;"",DATE(Jahr,_xlfn.SHEET()-2,D804),"")</f>
        <v/>
      </c>
      <c r="C804" s="29" t="str">
        <f t="shared" ref="C804:C867" ca="1" si="41">B804</f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9"/>
        <v>0</v>
      </c>
    </row>
    <row r="805" spans="2:12" x14ac:dyDescent="0.3">
      <c r="B805" s="28" t="str">
        <f t="shared" ca="1" si="40"/>
        <v/>
      </c>
      <c r="C805" s="29" t="str">
        <f t="shared" ca="1" si="41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9"/>
        <v>0</v>
      </c>
    </row>
    <row r="806" spans="2:12" x14ac:dyDescent="0.3">
      <c r="B806" s="28" t="str">
        <f t="shared" ca="1" si="40"/>
        <v/>
      </c>
      <c r="C806" s="29" t="str">
        <f t="shared" ca="1" si="41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9"/>
        <v>0</v>
      </c>
    </row>
    <row r="807" spans="2:12" x14ac:dyDescent="0.3">
      <c r="B807" s="28" t="str">
        <f t="shared" ca="1" si="40"/>
        <v/>
      </c>
      <c r="C807" s="29" t="str">
        <f t="shared" ca="1" si="41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9"/>
        <v>0</v>
      </c>
    </row>
    <row r="808" spans="2:12" x14ac:dyDescent="0.3">
      <c r="B808" s="28" t="str">
        <f t="shared" ca="1" si="40"/>
        <v/>
      </c>
      <c r="C808" s="29" t="str">
        <f t="shared" ca="1" si="41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9"/>
        <v>0</v>
      </c>
    </row>
    <row r="809" spans="2:12" x14ac:dyDescent="0.3">
      <c r="B809" s="28" t="str">
        <f t="shared" ca="1" si="40"/>
        <v/>
      </c>
      <c r="C809" s="29" t="str">
        <f t="shared" ca="1" si="41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9"/>
        <v>0</v>
      </c>
    </row>
    <row r="810" spans="2:12" x14ac:dyDescent="0.3">
      <c r="B810" s="28" t="str">
        <f t="shared" ca="1" si="40"/>
        <v/>
      </c>
      <c r="C810" s="29" t="str">
        <f t="shared" ca="1" si="41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9"/>
        <v>0</v>
      </c>
    </row>
    <row r="811" spans="2:12" x14ac:dyDescent="0.3">
      <c r="B811" s="28" t="str">
        <f t="shared" ca="1" si="40"/>
        <v/>
      </c>
      <c r="C811" s="29" t="str">
        <f t="shared" ca="1" si="41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9"/>
        <v>0</v>
      </c>
    </row>
    <row r="812" spans="2:12" x14ac:dyDescent="0.3">
      <c r="B812" s="28" t="str">
        <f t="shared" ca="1" si="40"/>
        <v/>
      </c>
      <c r="C812" s="29" t="str">
        <f t="shared" ca="1" si="41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9"/>
        <v>0</v>
      </c>
    </row>
    <row r="813" spans="2:12" x14ac:dyDescent="0.3">
      <c r="B813" s="28" t="str">
        <f t="shared" ca="1" si="40"/>
        <v/>
      </c>
      <c r="C813" s="29" t="str">
        <f t="shared" ca="1" si="41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9"/>
        <v>0</v>
      </c>
    </row>
    <row r="814" spans="2:12" x14ac:dyDescent="0.3">
      <c r="B814" s="28" t="str">
        <f t="shared" ca="1" si="40"/>
        <v/>
      </c>
      <c r="C814" s="29" t="str">
        <f t="shared" ca="1" si="41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9"/>
        <v>0</v>
      </c>
    </row>
    <row r="815" spans="2:12" x14ac:dyDescent="0.3">
      <c r="B815" s="28" t="str">
        <f t="shared" ca="1" si="40"/>
        <v/>
      </c>
      <c r="C815" s="29" t="str">
        <f t="shared" ca="1" si="41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9"/>
        <v>0</v>
      </c>
    </row>
    <row r="816" spans="2:12" x14ac:dyDescent="0.3">
      <c r="B816" s="28" t="str">
        <f t="shared" ca="1" si="40"/>
        <v/>
      </c>
      <c r="C816" s="29" t="str">
        <f t="shared" ca="1" si="41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9"/>
        <v>0</v>
      </c>
    </row>
    <row r="817" spans="2:12" x14ac:dyDescent="0.3">
      <c r="B817" s="28" t="str">
        <f t="shared" ca="1" si="40"/>
        <v/>
      </c>
      <c r="C817" s="29" t="str">
        <f t="shared" ca="1" si="41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9"/>
        <v>0</v>
      </c>
    </row>
    <row r="818" spans="2:12" x14ac:dyDescent="0.3">
      <c r="B818" s="28" t="str">
        <f t="shared" ca="1" si="40"/>
        <v/>
      </c>
      <c r="C818" s="29" t="str">
        <f t="shared" ca="1" si="41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9"/>
        <v>0</v>
      </c>
    </row>
    <row r="819" spans="2:12" x14ac:dyDescent="0.3">
      <c r="B819" s="28" t="str">
        <f t="shared" ca="1" si="40"/>
        <v/>
      </c>
      <c r="C819" s="29" t="str">
        <f t="shared" ca="1" si="41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9"/>
        <v>0</v>
      </c>
    </row>
    <row r="820" spans="2:12" x14ac:dyDescent="0.3">
      <c r="B820" s="28" t="str">
        <f t="shared" ca="1" si="40"/>
        <v/>
      </c>
      <c r="C820" s="29" t="str">
        <f t="shared" ca="1" si="41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9"/>
        <v>0</v>
      </c>
    </row>
    <row r="821" spans="2:12" x14ac:dyDescent="0.3">
      <c r="B821" s="28" t="str">
        <f t="shared" ca="1" si="40"/>
        <v/>
      </c>
      <c r="C821" s="29" t="str">
        <f t="shared" ca="1" si="41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9"/>
        <v>0</v>
      </c>
    </row>
    <row r="822" spans="2:12" x14ac:dyDescent="0.3">
      <c r="B822" s="28" t="str">
        <f t="shared" ca="1" si="40"/>
        <v/>
      </c>
      <c r="C822" s="29" t="str">
        <f t="shared" ca="1" si="41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9"/>
        <v>0</v>
      </c>
    </row>
    <row r="823" spans="2:12" x14ac:dyDescent="0.3">
      <c r="B823" s="28" t="str">
        <f t="shared" ca="1" si="40"/>
        <v/>
      </c>
      <c r="C823" s="29" t="str">
        <f t="shared" ca="1" si="41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9"/>
        <v>0</v>
      </c>
    </row>
    <row r="824" spans="2:12" x14ac:dyDescent="0.3">
      <c r="B824" s="28" t="str">
        <f t="shared" ca="1" si="40"/>
        <v/>
      </c>
      <c r="C824" s="29" t="str">
        <f t="shared" ca="1" si="41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9"/>
        <v>0</v>
      </c>
    </row>
    <row r="825" spans="2:12" x14ac:dyDescent="0.3">
      <c r="B825" s="28" t="str">
        <f t="shared" ca="1" si="40"/>
        <v/>
      </c>
      <c r="C825" s="29" t="str">
        <f t="shared" ca="1" si="41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9"/>
        <v>0</v>
      </c>
    </row>
    <row r="826" spans="2:12" x14ac:dyDescent="0.3">
      <c r="B826" s="28" t="str">
        <f t="shared" ca="1" si="40"/>
        <v/>
      </c>
      <c r="C826" s="29" t="str">
        <f t="shared" ca="1" si="41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9"/>
        <v>0</v>
      </c>
    </row>
    <row r="827" spans="2:12" x14ac:dyDescent="0.3">
      <c r="B827" s="28" t="str">
        <f t="shared" ca="1" si="40"/>
        <v/>
      </c>
      <c r="C827" s="29" t="str">
        <f t="shared" ca="1" si="41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9"/>
        <v>0</v>
      </c>
    </row>
    <row r="828" spans="2:12" x14ac:dyDescent="0.3">
      <c r="B828" s="28" t="str">
        <f t="shared" ca="1" si="40"/>
        <v/>
      </c>
      <c r="C828" s="29" t="str">
        <f t="shared" ca="1" si="41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9"/>
        <v>0</v>
      </c>
    </row>
    <row r="829" spans="2:12" x14ac:dyDescent="0.3">
      <c r="B829" s="28" t="str">
        <f t="shared" ca="1" si="40"/>
        <v/>
      </c>
      <c r="C829" s="29" t="str">
        <f t="shared" ca="1" si="41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9"/>
        <v>0</v>
      </c>
    </row>
    <row r="830" spans="2:12" x14ac:dyDescent="0.3">
      <c r="B830" s="28" t="str">
        <f t="shared" ca="1" si="40"/>
        <v/>
      </c>
      <c r="C830" s="29" t="str">
        <f t="shared" ca="1" si="41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9"/>
        <v>0</v>
      </c>
    </row>
    <row r="831" spans="2:12" x14ac:dyDescent="0.3">
      <c r="B831" s="28" t="str">
        <f t="shared" ca="1" si="40"/>
        <v/>
      </c>
      <c r="C831" s="29" t="str">
        <f t="shared" ca="1" si="41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9"/>
        <v>0</v>
      </c>
    </row>
    <row r="832" spans="2:12" x14ac:dyDescent="0.3">
      <c r="B832" s="28" t="str">
        <f t="shared" ca="1" si="40"/>
        <v/>
      </c>
      <c r="C832" s="29" t="str">
        <f t="shared" ca="1" si="41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9"/>
        <v>0</v>
      </c>
    </row>
    <row r="833" spans="2:12" x14ac:dyDescent="0.3">
      <c r="B833" s="28" t="str">
        <f t="shared" ca="1" si="40"/>
        <v/>
      </c>
      <c r="C833" s="29" t="str">
        <f t="shared" ca="1" si="41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9"/>
        <v>0</v>
      </c>
    </row>
    <row r="834" spans="2:12" x14ac:dyDescent="0.3">
      <c r="B834" s="28" t="str">
        <f t="shared" ca="1" si="40"/>
        <v/>
      </c>
      <c r="C834" s="29" t="str">
        <f t="shared" ca="1" si="41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9"/>
        <v>0</v>
      </c>
    </row>
    <row r="835" spans="2:12" x14ac:dyDescent="0.3">
      <c r="B835" s="28" t="str">
        <f t="shared" ca="1" si="40"/>
        <v/>
      </c>
      <c r="C835" s="29" t="str">
        <f t="shared" ca="1" si="41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9"/>
        <v>0</v>
      </c>
    </row>
    <row r="836" spans="2:12" x14ac:dyDescent="0.3">
      <c r="B836" s="28" t="str">
        <f t="shared" ca="1" si="40"/>
        <v/>
      </c>
      <c r="C836" s="29" t="str">
        <f t="shared" ca="1" si="41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9"/>
        <v>0</v>
      </c>
    </row>
    <row r="837" spans="2:12" x14ac:dyDescent="0.3">
      <c r="B837" s="28" t="str">
        <f t="shared" ca="1" si="40"/>
        <v/>
      </c>
      <c r="C837" s="29" t="str">
        <f t="shared" ca="1" si="41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9"/>
        <v>0</v>
      </c>
    </row>
    <row r="838" spans="2:12" x14ac:dyDescent="0.3">
      <c r="B838" s="28" t="str">
        <f t="shared" ca="1" si="40"/>
        <v/>
      </c>
      <c r="C838" s="29" t="str">
        <f t="shared" ca="1" si="41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9"/>
        <v>0</v>
      </c>
    </row>
    <row r="839" spans="2:12" x14ac:dyDescent="0.3">
      <c r="B839" s="28" t="str">
        <f t="shared" ca="1" si="40"/>
        <v/>
      </c>
      <c r="C839" s="29" t="str">
        <f t="shared" ca="1" si="41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9"/>
        <v>0</v>
      </c>
    </row>
    <row r="840" spans="2:12" x14ac:dyDescent="0.3">
      <c r="B840" s="28" t="str">
        <f t="shared" ca="1" si="40"/>
        <v/>
      </c>
      <c r="C840" s="29" t="str">
        <f t="shared" ca="1" si="41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9"/>
        <v>0</v>
      </c>
    </row>
    <row r="841" spans="2:12" x14ac:dyDescent="0.3">
      <c r="B841" s="28" t="str">
        <f t="shared" ca="1" si="40"/>
        <v/>
      </c>
      <c r="C841" s="29" t="str">
        <f t="shared" ca="1" si="41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9"/>
        <v>0</v>
      </c>
    </row>
    <row r="842" spans="2:12" x14ac:dyDescent="0.3">
      <c r="B842" s="28" t="str">
        <f t="shared" ca="1" si="40"/>
        <v/>
      </c>
      <c r="C842" s="29" t="str">
        <f t="shared" ca="1" si="41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39"/>
        <v>0</v>
      </c>
    </row>
    <row r="843" spans="2:12" x14ac:dyDescent="0.3">
      <c r="B843" s="28" t="str">
        <f t="shared" ca="1" si="40"/>
        <v/>
      </c>
      <c r="C843" s="29" t="str">
        <f t="shared" ca="1" si="41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ref="L867:L930" si="42">J867-I867-K867</f>
        <v>0</v>
      </c>
    </row>
    <row r="868" spans="2:12" x14ac:dyDescent="0.3">
      <c r="B868" s="28" t="str">
        <f t="shared" ref="B868:B931" ca="1" si="43">IF(D868&lt;&gt;"",DATE(Jahr,_xlfn.SHEET()-2,D868),"")</f>
        <v/>
      </c>
      <c r="C868" s="29" t="str">
        <f t="shared" ref="C868:C931" ca="1" si="44">B868</f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42"/>
        <v>0</v>
      </c>
    </row>
    <row r="869" spans="2:12" x14ac:dyDescent="0.3">
      <c r="B869" s="28" t="str">
        <f t="shared" ca="1" si="43"/>
        <v/>
      </c>
      <c r="C869" s="29" t="str">
        <f t="shared" ca="1" si="44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42"/>
        <v>0</v>
      </c>
    </row>
    <row r="870" spans="2:12" x14ac:dyDescent="0.3">
      <c r="B870" s="28" t="str">
        <f t="shared" ca="1" si="43"/>
        <v/>
      </c>
      <c r="C870" s="29" t="str">
        <f t="shared" ca="1" si="44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42"/>
        <v>0</v>
      </c>
    </row>
    <row r="871" spans="2:12" x14ac:dyDescent="0.3">
      <c r="B871" s="28" t="str">
        <f t="shared" ca="1" si="43"/>
        <v/>
      </c>
      <c r="C871" s="29" t="str">
        <f t="shared" ca="1" si="44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42"/>
        <v>0</v>
      </c>
    </row>
    <row r="872" spans="2:12" x14ac:dyDescent="0.3">
      <c r="B872" s="28" t="str">
        <f t="shared" ca="1" si="43"/>
        <v/>
      </c>
      <c r="C872" s="29" t="str">
        <f t="shared" ca="1" si="44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42"/>
        <v>0</v>
      </c>
    </row>
    <row r="873" spans="2:12" x14ac:dyDescent="0.3">
      <c r="B873" s="28" t="str">
        <f t="shared" ca="1" si="43"/>
        <v/>
      </c>
      <c r="C873" s="29" t="str">
        <f t="shared" ca="1" si="44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42"/>
        <v>0</v>
      </c>
    </row>
    <row r="874" spans="2:12" x14ac:dyDescent="0.3">
      <c r="B874" s="28" t="str">
        <f t="shared" ca="1" si="43"/>
        <v/>
      </c>
      <c r="C874" s="29" t="str">
        <f t="shared" ca="1" si="44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42"/>
        <v>0</v>
      </c>
    </row>
    <row r="875" spans="2:12" x14ac:dyDescent="0.3">
      <c r="B875" s="28" t="str">
        <f t="shared" ca="1" si="43"/>
        <v/>
      </c>
      <c r="C875" s="29" t="str">
        <f t="shared" ca="1" si="44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42"/>
        <v>0</v>
      </c>
    </row>
    <row r="876" spans="2:12" x14ac:dyDescent="0.3">
      <c r="B876" s="28" t="str">
        <f t="shared" ca="1" si="43"/>
        <v/>
      </c>
      <c r="C876" s="29" t="str">
        <f t="shared" ca="1" si="44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42"/>
        <v>0</v>
      </c>
    </row>
    <row r="877" spans="2:12" x14ac:dyDescent="0.3">
      <c r="B877" s="28" t="str">
        <f t="shared" ca="1" si="43"/>
        <v/>
      </c>
      <c r="C877" s="29" t="str">
        <f t="shared" ca="1" si="44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42"/>
        <v>0</v>
      </c>
    </row>
    <row r="878" spans="2:12" x14ac:dyDescent="0.3">
      <c r="B878" s="28" t="str">
        <f t="shared" ca="1" si="43"/>
        <v/>
      </c>
      <c r="C878" s="29" t="str">
        <f t="shared" ca="1" si="44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42"/>
        <v>0</v>
      </c>
    </row>
    <row r="879" spans="2:12" x14ac:dyDescent="0.3">
      <c r="B879" s="28" t="str">
        <f t="shared" ca="1" si="43"/>
        <v/>
      </c>
      <c r="C879" s="29" t="str">
        <f t="shared" ca="1" si="44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42"/>
        <v>0</v>
      </c>
    </row>
    <row r="880" spans="2:12" x14ac:dyDescent="0.3">
      <c r="B880" s="28" t="str">
        <f t="shared" ca="1" si="43"/>
        <v/>
      </c>
      <c r="C880" s="29" t="str">
        <f t="shared" ca="1" si="44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42"/>
        <v>0</v>
      </c>
    </row>
    <row r="881" spans="2:12" x14ac:dyDescent="0.3">
      <c r="B881" s="28" t="str">
        <f t="shared" ca="1" si="43"/>
        <v/>
      </c>
      <c r="C881" s="29" t="str">
        <f t="shared" ca="1" si="44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42"/>
        <v>0</v>
      </c>
    </row>
    <row r="882" spans="2:12" x14ac:dyDescent="0.3">
      <c r="B882" s="28" t="str">
        <f t="shared" ca="1" si="43"/>
        <v/>
      </c>
      <c r="C882" s="29" t="str">
        <f t="shared" ca="1" si="44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42"/>
        <v>0</v>
      </c>
    </row>
    <row r="883" spans="2:12" x14ac:dyDescent="0.3">
      <c r="B883" s="28" t="str">
        <f t="shared" ca="1" si="43"/>
        <v/>
      </c>
      <c r="C883" s="29" t="str">
        <f t="shared" ca="1" si="44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42"/>
        <v>0</v>
      </c>
    </row>
    <row r="884" spans="2:12" x14ac:dyDescent="0.3">
      <c r="B884" s="28" t="str">
        <f t="shared" ca="1" si="43"/>
        <v/>
      </c>
      <c r="C884" s="29" t="str">
        <f t="shared" ca="1" si="44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42"/>
        <v>0</v>
      </c>
    </row>
    <row r="885" spans="2:12" x14ac:dyDescent="0.3">
      <c r="B885" s="28" t="str">
        <f t="shared" ca="1" si="43"/>
        <v/>
      </c>
      <c r="C885" s="29" t="str">
        <f t="shared" ca="1" si="44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42"/>
        <v>0</v>
      </c>
    </row>
    <row r="886" spans="2:12" x14ac:dyDescent="0.3">
      <c r="B886" s="28" t="str">
        <f t="shared" ca="1" si="43"/>
        <v/>
      </c>
      <c r="C886" s="29" t="str">
        <f t="shared" ca="1" si="44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42"/>
        <v>0</v>
      </c>
    </row>
    <row r="887" spans="2:12" x14ac:dyDescent="0.3">
      <c r="B887" s="28" t="str">
        <f t="shared" ca="1" si="43"/>
        <v/>
      </c>
      <c r="C887" s="29" t="str">
        <f t="shared" ca="1" si="44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42"/>
        <v>0</v>
      </c>
    </row>
    <row r="888" spans="2:12" x14ac:dyDescent="0.3">
      <c r="B888" s="28" t="str">
        <f t="shared" ca="1" si="43"/>
        <v/>
      </c>
      <c r="C888" s="29" t="str">
        <f t="shared" ca="1" si="44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42"/>
        <v>0</v>
      </c>
    </row>
    <row r="889" spans="2:12" x14ac:dyDescent="0.3">
      <c r="B889" s="28" t="str">
        <f t="shared" ca="1" si="43"/>
        <v/>
      </c>
      <c r="C889" s="29" t="str">
        <f t="shared" ca="1" si="44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42"/>
        <v>0</v>
      </c>
    </row>
    <row r="890" spans="2:12" x14ac:dyDescent="0.3">
      <c r="B890" s="28" t="str">
        <f t="shared" ca="1" si="43"/>
        <v/>
      </c>
      <c r="C890" s="29" t="str">
        <f t="shared" ca="1" si="44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42"/>
        <v>0</v>
      </c>
    </row>
    <row r="891" spans="2:12" x14ac:dyDescent="0.3">
      <c r="B891" s="28" t="str">
        <f t="shared" ca="1" si="43"/>
        <v/>
      </c>
      <c r="C891" s="29" t="str">
        <f t="shared" ca="1" si="44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42"/>
        <v>0</v>
      </c>
    </row>
    <row r="892" spans="2:12" x14ac:dyDescent="0.3">
      <c r="B892" s="28" t="str">
        <f t="shared" ca="1" si="43"/>
        <v/>
      </c>
      <c r="C892" s="29" t="str">
        <f t="shared" ca="1" si="44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42"/>
        <v>0</v>
      </c>
    </row>
    <row r="893" spans="2:12" x14ac:dyDescent="0.3">
      <c r="B893" s="28" t="str">
        <f t="shared" ca="1" si="43"/>
        <v/>
      </c>
      <c r="C893" s="29" t="str">
        <f t="shared" ca="1" si="44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42"/>
        <v>0</v>
      </c>
    </row>
    <row r="894" spans="2:12" x14ac:dyDescent="0.3">
      <c r="B894" s="28" t="str">
        <f t="shared" ca="1" si="43"/>
        <v/>
      </c>
      <c r="C894" s="29" t="str">
        <f t="shared" ca="1" si="44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42"/>
        <v>0</v>
      </c>
    </row>
    <row r="895" spans="2:12" x14ac:dyDescent="0.3">
      <c r="B895" s="28" t="str">
        <f t="shared" ca="1" si="43"/>
        <v/>
      </c>
      <c r="C895" s="29" t="str">
        <f t="shared" ca="1" si="44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42"/>
        <v>0</v>
      </c>
    </row>
    <row r="896" spans="2:12" x14ac:dyDescent="0.3">
      <c r="B896" s="28" t="str">
        <f t="shared" ca="1" si="43"/>
        <v/>
      </c>
      <c r="C896" s="29" t="str">
        <f t="shared" ca="1" si="44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42"/>
        <v>0</v>
      </c>
    </row>
    <row r="897" spans="2:12" x14ac:dyDescent="0.3">
      <c r="B897" s="28" t="str">
        <f t="shared" ca="1" si="43"/>
        <v/>
      </c>
      <c r="C897" s="29" t="str">
        <f t="shared" ca="1" si="44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42"/>
        <v>0</v>
      </c>
    </row>
    <row r="898" spans="2:12" x14ac:dyDescent="0.3">
      <c r="B898" s="28" t="str">
        <f t="shared" ca="1" si="43"/>
        <v/>
      </c>
      <c r="C898" s="29" t="str">
        <f t="shared" ca="1" si="44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42"/>
        <v>0</v>
      </c>
    </row>
    <row r="899" spans="2:12" x14ac:dyDescent="0.3">
      <c r="B899" s="28" t="str">
        <f t="shared" ca="1" si="43"/>
        <v/>
      </c>
      <c r="C899" s="29" t="str">
        <f t="shared" ca="1" si="44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42"/>
        <v>0</v>
      </c>
    </row>
    <row r="900" spans="2:12" x14ac:dyDescent="0.3">
      <c r="B900" s="28" t="str">
        <f t="shared" ca="1" si="43"/>
        <v/>
      </c>
      <c r="C900" s="29" t="str">
        <f t="shared" ca="1" si="44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42"/>
        <v>0</v>
      </c>
    </row>
    <row r="901" spans="2:12" x14ac:dyDescent="0.3">
      <c r="B901" s="28" t="str">
        <f t="shared" ca="1" si="43"/>
        <v/>
      </c>
      <c r="C901" s="29" t="str">
        <f t="shared" ca="1" si="44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42"/>
        <v>0</v>
      </c>
    </row>
    <row r="902" spans="2:12" x14ac:dyDescent="0.3">
      <c r="B902" s="28" t="str">
        <f t="shared" ca="1" si="43"/>
        <v/>
      </c>
      <c r="C902" s="29" t="str">
        <f t="shared" ca="1" si="44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42"/>
        <v>0</v>
      </c>
    </row>
    <row r="903" spans="2:12" x14ac:dyDescent="0.3">
      <c r="B903" s="28" t="str">
        <f t="shared" ca="1" si="43"/>
        <v/>
      </c>
      <c r="C903" s="29" t="str">
        <f t="shared" ca="1" si="44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42"/>
        <v>0</v>
      </c>
    </row>
    <row r="904" spans="2:12" x14ac:dyDescent="0.3">
      <c r="B904" s="28" t="str">
        <f t="shared" ca="1" si="43"/>
        <v/>
      </c>
      <c r="C904" s="29" t="str">
        <f t="shared" ca="1" si="44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42"/>
        <v>0</v>
      </c>
    </row>
    <row r="905" spans="2:12" x14ac:dyDescent="0.3">
      <c r="B905" s="28" t="str">
        <f t="shared" ca="1" si="43"/>
        <v/>
      </c>
      <c r="C905" s="29" t="str">
        <f t="shared" ca="1" si="44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42"/>
        <v>0</v>
      </c>
    </row>
    <row r="906" spans="2:12" x14ac:dyDescent="0.3">
      <c r="B906" s="28" t="str">
        <f t="shared" ca="1" si="43"/>
        <v/>
      </c>
      <c r="C906" s="29" t="str">
        <f t="shared" ca="1" si="44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42"/>
        <v>0</v>
      </c>
    </row>
    <row r="907" spans="2:12" x14ac:dyDescent="0.3">
      <c r="B907" s="28" t="str">
        <f t="shared" ca="1" si="43"/>
        <v/>
      </c>
      <c r="C907" s="29" t="str">
        <f t="shared" ca="1" si="44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ref="L931:L960" si="45">J931-I931-K931</f>
        <v>0</v>
      </c>
    </row>
    <row r="932" spans="2:12" x14ac:dyDescent="0.3">
      <c r="B932" s="28" t="str">
        <f t="shared" ref="B932:B960" ca="1" si="46">IF(D932&lt;&gt;"",DATE(Jahr,_xlfn.SHEET()-2,D932),"")</f>
        <v/>
      </c>
      <c r="C932" s="29" t="str">
        <f t="shared" ref="C932:C960" ca="1" si="47">B932</f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5"/>
        <v>0</v>
      </c>
    </row>
    <row r="933" spans="2:12" x14ac:dyDescent="0.3">
      <c r="B933" s="28" t="str">
        <f t="shared" ca="1" si="46"/>
        <v/>
      </c>
      <c r="C933" s="29" t="str">
        <f t="shared" ca="1" si="47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5"/>
        <v>0</v>
      </c>
    </row>
    <row r="934" spans="2:12" x14ac:dyDescent="0.3">
      <c r="B934" s="28" t="str">
        <f t="shared" ca="1" si="46"/>
        <v/>
      </c>
      <c r="C934" s="29" t="str">
        <f t="shared" ca="1" si="47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5"/>
        <v>0</v>
      </c>
    </row>
    <row r="935" spans="2:12" x14ac:dyDescent="0.3">
      <c r="B935" s="28" t="str">
        <f t="shared" ca="1" si="46"/>
        <v/>
      </c>
      <c r="C935" s="29" t="str">
        <f t="shared" ca="1" si="47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5"/>
        <v>0</v>
      </c>
    </row>
    <row r="936" spans="2:12" x14ac:dyDescent="0.3">
      <c r="B936" s="28" t="str">
        <f t="shared" ca="1" si="46"/>
        <v/>
      </c>
      <c r="C936" s="29" t="str">
        <f t="shared" ca="1" si="47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5"/>
        <v>0</v>
      </c>
    </row>
    <row r="937" spans="2:12" x14ac:dyDescent="0.3">
      <c r="B937" s="28" t="str">
        <f t="shared" ca="1" si="46"/>
        <v/>
      </c>
      <c r="C937" s="29" t="str">
        <f t="shared" ca="1" si="47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5"/>
        <v>0</v>
      </c>
    </row>
    <row r="938" spans="2:12" x14ac:dyDescent="0.3">
      <c r="B938" s="28" t="str">
        <f t="shared" ca="1" si="46"/>
        <v/>
      </c>
      <c r="C938" s="29" t="str">
        <f t="shared" ca="1" si="47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5"/>
        <v>0</v>
      </c>
    </row>
    <row r="939" spans="2:12" x14ac:dyDescent="0.3">
      <c r="B939" s="28" t="str">
        <f t="shared" ca="1" si="46"/>
        <v/>
      </c>
      <c r="C939" s="29" t="str">
        <f t="shared" ca="1" si="47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5"/>
        <v>0</v>
      </c>
    </row>
    <row r="940" spans="2:12" x14ac:dyDescent="0.3">
      <c r="B940" s="28" t="str">
        <f t="shared" ca="1" si="46"/>
        <v/>
      </c>
      <c r="C940" s="29" t="str">
        <f t="shared" ca="1" si="47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5"/>
        <v>0</v>
      </c>
    </row>
    <row r="941" spans="2:12" x14ac:dyDescent="0.3">
      <c r="B941" s="28" t="str">
        <f t="shared" ca="1" si="46"/>
        <v/>
      </c>
      <c r="C941" s="29" t="str">
        <f t="shared" ca="1" si="47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5"/>
        <v>0</v>
      </c>
    </row>
    <row r="942" spans="2:12" x14ac:dyDescent="0.3">
      <c r="B942" s="28" t="str">
        <f t="shared" ca="1" si="46"/>
        <v/>
      </c>
      <c r="C942" s="29" t="str">
        <f t="shared" ca="1" si="47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5"/>
        <v>0</v>
      </c>
    </row>
    <row r="943" spans="2:12" x14ac:dyDescent="0.3">
      <c r="B943" s="28" t="str">
        <f t="shared" ca="1" si="46"/>
        <v/>
      </c>
      <c r="C943" s="29" t="str">
        <f t="shared" ca="1" si="47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5"/>
        <v>0</v>
      </c>
    </row>
    <row r="944" spans="2:12" x14ac:dyDescent="0.3">
      <c r="B944" s="28" t="str">
        <f t="shared" ca="1" si="46"/>
        <v/>
      </c>
      <c r="C944" s="29" t="str">
        <f t="shared" ca="1" si="47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5"/>
        <v>0</v>
      </c>
    </row>
    <row r="945" spans="2:12" x14ac:dyDescent="0.3">
      <c r="B945" s="28" t="str">
        <f t="shared" ca="1" si="46"/>
        <v/>
      </c>
      <c r="C945" s="29" t="str">
        <f t="shared" ca="1" si="47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5"/>
        <v>0</v>
      </c>
    </row>
    <row r="946" spans="2:12" x14ac:dyDescent="0.3">
      <c r="B946" s="28" t="str">
        <f t="shared" ca="1" si="46"/>
        <v/>
      </c>
      <c r="C946" s="29" t="str">
        <f t="shared" ca="1" si="47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5"/>
        <v>0</v>
      </c>
    </row>
    <row r="947" spans="2:12" x14ac:dyDescent="0.3">
      <c r="B947" s="28" t="str">
        <f t="shared" ca="1" si="46"/>
        <v/>
      </c>
      <c r="C947" s="29" t="str">
        <f t="shared" ca="1" si="47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5"/>
        <v>0</v>
      </c>
    </row>
    <row r="948" spans="2:12" x14ac:dyDescent="0.3">
      <c r="B948" s="28" t="str">
        <f t="shared" ca="1" si="46"/>
        <v/>
      </c>
      <c r="C948" s="29" t="str">
        <f t="shared" ca="1" si="47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5"/>
        <v>0</v>
      </c>
    </row>
    <row r="949" spans="2:12" x14ac:dyDescent="0.3">
      <c r="B949" s="28" t="str">
        <f t="shared" ca="1" si="46"/>
        <v/>
      </c>
      <c r="C949" s="29" t="str">
        <f t="shared" ca="1" si="47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5"/>
        <v>0</v>
      </c>
    </row>
    <row r="950" spans="2:12" x14ac:dyDescent="0.3">
      <c r="B950" s="28" t="str">
        <f t="shared" ca="1" si="46"/>
        <v/>
      </c>
      <c r="C950" s="29" t="str">
        <f t="shared" ca="1" si="47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5"/>
        <v>0</v>
      </c>
    </row>
    <row r="951" spans="2:12" x14ac:dyDescent="0.3">
      <c r="B951" s="28" t="str">
        <f t="shared" ca="1" si="46"/>
        <v/>
      </c>
      <c r="C951" s="29" t="str">
        <f t="shared" ca="1" si="47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5"/>
        <v>0</v>
      </c>
    </row>
    <row r="952" spans="2:12" x14ac:dyDescent="0.3">
      <c r="B952" s="28" t="str">
        <f t="shared" ca="1" si="46"/>
        <v/>
      </c>
      <c r="C952" s="29" t="str">
        <f t="shared" ca="1" si="47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5"/>
        <v>0</v>
      </c>
    </row>
    <row r="953" spans="2:12" x14ac:dyDescent="0.3">
      <c r="B953" s="28" t="str">
        <f t="shared" ca="1" si="46"/>
        <v/>
      </c>
      <c r="C953" s="29" t="str">
        <f t="shared" ca="1" si="47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5"/>
        <v>0</v>
      </c>
    </row>
    <row r="954" spans="2:12" x14ac:dyDescent="0.3">
      <c r="B954" s="28" t="str">
        <f t="shared" ca="1" si="46"/>
        <v/>
      </c>
      <c r="C954" s="29" t="str">
        <f t="shared" ca="1" si="47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5"/>
        <v>0</v>
      </c>
    </row>
    <row r="955" spans="2:12" x14ac:dyDescent="0.3">
      <c r="B955" s="28" t="str">
        <f t="shared" ca="1" si="46"/>
        <v/>
      </c>
      <c r="C955" s="29" t="str">
        <f t="shared" ca="1" si="47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5"/>
        <v>0</v>
      </c>
    </row>
    <row r="956" spans="2:12" x14ac:dyDescent="0.3">
      <c r="B956" s="28" t="str">
        <f t="shared" ca="1" si="46"/>
        <v/>
      </c>
      <c r="C956" s="29" t="str">
        <f t="shared" ca="1" si="47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5"/>
        <v>0</v>
      </c>
    </row>
    <row r="957" spans="2:12" x14ac:dyDescent="0.3">
      <c r="B957" s="28" t="str">
        <f t="shared" ca="1" si="46"/>
        <v/>
      </c>
      <c r="C957" s="29" t="str">
        <f t="shared" ca="1" si="47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5"/>
        <v>0</v>
      </c>
    </row>
    <row r="958" spans="2:12" x14ac:dyDescent="0.3">
      <c r="B958" s="28" t="str">
        <f t="shared" ca="1" si="46"/>
        <v/>
      </c>
      <c r="C958" s="29" t="str">
        <f t="shared" ca="1" si="47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5"/>
        <v>0</v>
      </c>
    </row>
    <row r="959" spans="2:12" x14ac:dyDescent="0.3">
      <c r="B959" s="28" t="str">
        <f t="shared" ca="1" si="46"/>
        <v/>
      </c>
      <c r="C959" s="29" t="str">
        <f t="shared" ca="1" si="47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5"/>
        <v>0</v>
      </c>
    </row>
    <row r="960" spans="2:12" x14ac:dyDescent="0.3">
      <c r="B960" s="28" t="str">
        <f t="shared" ca="1" si="46"/>
        <v/>
      </c>
      <c r="C960" s="29" t="str">
        <f t="shared" ca="1" si="47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5"/>
        <v>0</v>
      </c>
    </row>
    <row r="961" spans="12:12" x14ac:dyDescent="0.3">
      <c r="L961" s="109"/>
    </row>
  </sheetData>
  <autoFilter ref="B8:L960" xr:uid="{00000000-0009-0000-0000-000009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60">
    <cfRule type="expression" dxfId="33" priority="1">
      <formula>AND($D9&lt;&gt;"",NOT(ISNUMBER($D9)))</formula>
    </cfRule>
    <cfRule type="expression" dxfId="32" priority="2">
      <formula>OR($D9&lt;=0,DAY(DATE(YEAR($C9),MONTH($C9)+1,1)-1) &lt;$D9)</formula>
    </cfRule>
    <cfRule type="expression" dxfId="30" priority="4">
      <formula>AND($D9&lt;&gt;"",WEEKDAY($B9,2)=6)</formula>
    </cfRule>
    <cfRule type="expression" dxfId="29" priority="5">
      <formula>AND($D9&lt;&gt;"",WEEKDAY($B9,2)=7)</formula>
    </cfRule>
    <cfRule type="expression" dxfId="28" priority="6">
      <formula>AND($D9&lt;&gt;"",WEEKDAY($B9,2)&lt;6)</formula>
    </cfRule>
  </conditionalFormatting>
  <dataValidations count="2">
    <dataValidation type="list" allowBlank="1" showInputMessage="1" showErrorMessage="1" sqref="G9:G960" xr:uid="{380D8BB6-668B-45F3-B123-9901E9598231}">
      <formula1>Arbeitspakete</formula1>
    </dataValidation>
    <dataValidation type="list" allowBlank="1" showInputMessage="1" showErrorMessage="1" sqref="F9:F960" xr:uid="{7A02AAE1-7AA9-4C3F-BC8A-C17EF4362012}">
      <formula1>Projektnamen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A4D680AB-C86F-43F9-ABF8-8C8EDB4F151D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B9:B960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T996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25" sqref="G25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SUM(L9:L996)*24</f>
        <v>0</v>
      </c>
    </row>
    <row r="5" spans="2:12" x14ac:dyDescent="0.3">
      <c r="B5" t="s">
        <v>67</v>
      </c>
      <c r="D5" t="str">
        <f ca="1">TEXT("1. "&amp;_xlfn.SHEET()-2,"MMMM")</f>
        <v>September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-142.99999999999997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69" si="0">J9-I9-K9</f>
        <v>0</v>
      </c>
    </row>
    <row r="10" spans="2:12" x14ac:dyDescent="0.3">
      <c r="B10" s="28" t="str">
        <f t="shared" ref="B10:B69" ca="1" si="1">IF(D10&lt;&gt;"",DATE(Jahr,_xlfn.SHEET()-2,D10),"")</f>
        <v/>
      </c>
      <c r="C10" s="29" t="str">
        <f t="shared" ref="C10:C69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ca="1">IF(D11&lt;&gt;"",DATE(Jahr,_xlfn.SHEET()-2,D11),"")</f>
        <v/>
      </c>
      <c r="C11" s="29" t="str">
        <f ca="1">B11</f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  <c r="T25" s="88"/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  <c r="T26" s="89"/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  <c r="T27" s="89"/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  <c r="T28" s="89"/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  <c r="T29" s="89"/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  <c r="T30" s="89"/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  <c r="T31" s="90"/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</row>
    <row r="33" spans="2:20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  <c r="T33" s="91"/>
    </row>
    <row r="34" spans="2:20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</row>
    <row r="35" spans="2:20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20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</row>
    <row r="37" spans="2:20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</row>
    <row r="38" spans="2:20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</row>
    <row r="39" spans="2:20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</row>
    <row r="40" spans="2:20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0"/>
        <v>0</v>
      </c>
    </row>
    <row r="41" spans="2:20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20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0"/>
        <v>0</v>
      </c>
    </row>
    <row r="43" spans="2:20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20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20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20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20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20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t="shared" ca="1" si="1"/>
        <v/>
      </c>
      <c r="C63" s="29" t="str">
        <f t="shared" ca="1" si="2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0"/>
        <v>0</v>
      </c>
    </row>
    <row r="64" spans="2:12" x14ac:dyDescent="0.3">
      <c r="B64" s="28" t="str">
        <f t="shared" ca="1" si="1"/>
        <v/>
      </c>
      <c r="C64" s="29" t="str">
        <f t="shared" ca="1" si="2"/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0"/>
        <v>0</v>
      </c>
    </row>
    <row r="65" spans="2:12" x14ac:dyDescent="0.3">
      <c r="B65" s="28" t="str">
        <f t="shared" ca="1" si="1"/>
        <v/>
      </c>
      <c r="C65" s="29" t="str">
        <f t="shared" ca="1" si="2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0"/>
        <v>0</v>
      </c>
    </row>
    <row r="66" spans="2:12" x14ac:dyDescent="0.3">
      <c r="B66" s="28" t="str">
        <f t="shared" ca="1" si="1"/>
        <v/>
      </c>
      <c r="C66" s="29" t="str">
        <f t="shared" ca="1" si="2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0"/>
        <v>0</v>
      </c>
    </row>
    <row r="67" spans="2:12" x14ac:dyDescent="0.3">
      <c r="B67" s="28" t="str">
        <f t="shared" ca="1" si="1"/>
        <v/>
      </c>
      <c r="C67" s="29" t="str">
        <f t="shared" ca="1" si="2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0"/>
        <v>0</v>
      </c>
    </row>
    <row r="68" spans="2:12" x14ac:dyDescent="0.3">
      <c r="B68" s="28" t="str">
        <f t="shared" ca="1" si="1"/>
        <v/>
      </c>
      <c r="C68" s="29" t="str">
        <f t="shared" ca="1" si="2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0"/>
        <v>0</v>
      </c>
    </row>
    <row r="69" spans="2:12" x14ac:dyDescent="0.3">
      <c r="B69" s="28" t="str">
        <f t="shared" ca="1" si="1"/>
        <v/>
      </c>
      <c r="C69" s="29" t="str">
        <f t="shared" ca="1" si="2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0"/>
        <v>0</v>
      </c>
    </row>
    <row r="70" spans="2:12" x14ac:dyDescent="0.3">
      <c r="B70" s="28" t="str">
        <f ca="1">IF(D70&lt;&gt;"",DATE(Jahr,_xlfn.SHEET()-2,D70),"")</f>
        <v/>
      </c>
      <c r="C70" s="29" t="str">
        <f ca="1">B70</f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ref="L70:L134" si="3">J70-I70-K70</f>
        <v>0</v>
      </c>
    </row>
    <row r="71" spans="2:12" x14ac:dyDescent="0.3">
      <c r="B71" s="28" t="str">
        <f t="shared" ref="B71:B135" ca="1" si="4">IF(D71&lt;&gt;"",DATE(Jahr,_xlfn.SHEET()-2,D71),"")</f>
        <v/>
      </c>
      <c r="C71" s="29" t="str">
        <f t="shared" ref="C71:C135" ca="1" si="5">B71</f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3"/>
        <v>0</v>
      </c>
    </row>
    <row r="72" spans="2:12" x14ac:dyDescent="0.3">
      <c r="B72" s="28" t="str">
        <f t="shared" ca="1" si="4"/>
        <v/>
      </c>
      <c r="C72" s="29" t="str">
        <f t="shared" ca="1" si="5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3"/>
        <v>0</v>
      </c>
    </row>
    <row r="73" spans="2:12" x14ac:dyDescent="0.3">
      <c r="B73" s="28" t="str">
        <f t="shared" ca="1" si="4"/>
        <v/>
      </c>
      <c r="C73" s="29" t="str">
        <f t="shared" ca="1" si="5"/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si="3"/>
        <v>0</v>
      </c>
    </row>
    <row r="74" spans="2:12" x14ac:dyDescent="0.3">
      <c r="B74" s="28" t="str">
        <f t="shared" ca="1" si="4"/>
        <v/>
      </c>
      <c r="C74" s="29" t="str">
        <f t="shared" ca="1" si="5"/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3"/>
        <v>0</v>
      </c>
    </row>
    <row r="75" spans="2:12" x14ac:dyDescent="0.3">
      <c r="B75" s="28" t="str">
        <f t="shared" ca="1" si="4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3"/>
        <v>0</v>
      </c>
    </row>
    <row r="76" spans="2:12" x14ac:dyDescent="0.3">
      <c r="B76" s="28" t="str">
        <f t="shared" ca="1" si="4"/>
        <v/>
      </c>
      <c r="C76" s="29" t="str">
        <f t="shared" ca="1" si="5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3"/>
        <v>0</v>
      </c>
    </row>
    <row r="77" spans="2:12" x14ac:dyDescent="0.3">
      <c r="B77" s="28" t="str">
        <f t="shared" ca="1" si="4"/>
        <v/>
      </c>
      <c r="C77" s="29" t="str">
        <f t="shared" ca="1" si="5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3"/>
        <v>0</v>
      </c>
    </row>
    <row r="78" spans="2:12" x14ac:dyDescent="0.3">
      <c r="B78" s="28" t="str">
        <f t="shared" ca="1" si="4"/>
        <v/>
      </c>
      <c r="C78" s="29" t="str">
        <f t="shared" ca="1" si="5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3"/>
        <v>0</v>
      </c>
    </row>
    <row r="79" spans="2:12" x14ac:dyDescent="0.3">
      <c r="B79" s="28" t="str">
        <f t="shared" ca="1" si="4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ca="1">IF(D83&lt;&gt;"",DATE(Jahr,_xlfn.SHEET()-2,D83),"")</f>
        <v/>
      </c>
      <c r="C83" s="29" t="str">
        <f ca="1">B83</f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t="shared" ca="1" si="4"/>
        <v/>
      </c>
      <c r="C86" s="29" t="str">
        <f t="shared" ca="1" si="5"/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3"/>
        <v>0</v>
      </c>
    </row>
    <row r="123" spans="2:12" x14ac:dyDescent="0.3">
      <c r="B123" s="28" t="str">
        <f t="shared" ca="1" si="4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3"/>
        <v>0</v>
      </c>
    </row>
    <row r="124" spans="2:12" x14ac:dyDescent="0.3">
      <c r="B124" s="28" t="str">
        <f t="shared" ca="1" si="4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3"/>
        <v>0</v>
      </c>
    </row>
    <row r="125" spans="2:12" x14ac:dyDescent="0.3">
      <c r="B125" s="28" t="str">
        <f t="shared" ca="1" si="4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3"/>
        <v>0</v>
      </c>
    </row>
    <row r="126" spans="2:12" x14ac:dyDescent="0.3">
      <c r="B126" s="28" t="str">
        <f t="shared" ca="1" si="4"/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3"/>
        <v>0</v>
      </c>
    </row>
    <row r="127" spans="2:12" x14ac:dyDescent="0.3">
      <c r="B127" s="28" t="str">
        <f t="shared" ca="1" si="4"/>
        <v/>
      </c>
      <c r="C127" s="29" t="str">
        <f t="shared" ca="1" si="5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3"/>
        <v>0</v>
      </c>
    </row>
    <row r="128" spans="2:12" x14ac:dyDescent="0.3">
      <c r="B128" s="28" t="str">
        <f t="shared" ca="1" si="4"/>
        <v/>
      </c>
      <c r="C128" s="29" t="str">
        <f t="shared" ca="1" si="5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3"/>
        <v>0</v>
      </c>
    </row>
    <row r="129" spans="2:12" x14ac:dyDescent="0.3">
      <c r="B129" s="28" t="str">
        <f t="shared" ca="1" si="4"/>
        <v/>
      </c>
      <c r="C129" s="29" t="str">
        <f t="shared" ca="1" si="5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3"/>
        <v>0</v>
      </c>
    </row>
    <row r="130" spans="2:12" x14ac:dyDescent="0.3">
      <c r="B130" s="28" t="str">
        <f t="shared" ca="1" si="4"/>
        <v/>
      </c>
      <c r="C130" s="29" t="str">
        <f t="shared" ca="1" si="5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3"/>
        <v>0</v>
      </c>
    </row>
    <row r="131" spans="2:12" x14ac:dyDescent="0.3">
      <c r="B131" s="28" t="str">
        <f t="shared" ca="1" si="4"/>
        <v/>
      </c>
      <c r="C131" s="29" t="str">
        <f t="shared" ca="1" si="5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3"/>
        <v>0</v>
      </c>
    </row>
    <row r="132" spans="2:12" x14ac:dyDescent="0.3">
      <c r="B132" s="28" t="str">
        <f t="shared" ca="1" si="4"/>
        <v/>
      </c>
      <c r="C132" s="29" t="str">
        <f t="shared" ca="1" si="5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3"/>
        <v>0</v>
      </c>
    </row>
    <row r="133" spans="2:12" x14ac:dyDescent="0.3">
      <c r="B133" s="28" t="str">
        <f t="shared" ca="1" si="4"/>
        <v/>
      </c>
      <c r="C133" s="29" t="str">
        <f t="shared" ca="1" si="5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3"/>
        <v>0</v>
      </c>
    </row>
    <row r="134" spans="2:12" x14ac:dyDescent="0.3">
      <c r="B134" s="28" t="str">
        <f t="shared" ca="1" si="4"/>
        <v/>
      </c>
      <c r="C134" s="29" t="str">
        <f t="shared" ca="1" si="5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3"/>
        <v>0</v>
      </c>
    </row>
    <row r="135" spans="2:12" x14ac:dyDescent="0.3">
      <c r="B135" s="28" t="str">
        <f t="shared" ca="1" si="4"/>
        <v/>
      </c>
      <c r="C135" s="29" t="str">
        <f t="shared" ca="1" si="5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ref="L135:L198" si="6">J135-I135-K135</f>
        <v>0</v>
      </c>
    </row>
    <row r="136" spans="2:12" x14ac:dyDescent="0.3">
      <c r="B136" s="28" t="str">
        <f t="shared" ref="B136:B199" ca="1" si="7">IF(D136&lt;&gt;"",DATE(Jahr,_xlfn.SHEET()-2,D136),"")</f>
        <v/>
      </c>
      <c r="C136" s="29" t="str">
        <f t="shared" ref="C136:C199" ca="1" si="8">B136</f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6"/>
        <v>0</v>
      </c>
    </row>
    <row r="137" spans="2:12" x14ac:dyDescent="0.3">
      <c r="B137" s="28" t="str">
        <f t="shared" ca="1" si="7"/>
        <v/>
      </c>
      <c r="C137" s="29" t="str">
        <f t="shared" ca="1" si="8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6"/>
        <v>0</v>
      </c>
    </row>
    <row r="138" spans="2:12" x14ac:dyDescent="0.3">
      <c r="B138" s="28" t="str">
        <f t="shared" ca="1" si="7"/>
        <v/>
      </c>
      <c r="C138" s="29" t="str">
        <f t="shared" ca="1" si="8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si="6"/>
        <v>0</v>
      </c>
    </row>
    <row r="139" spans="2:12" x14ac:dyDescent="0.3">
      <c r="B139" s="28" t="str">
        <f t="shared" ca="1" si="7"/>
        <v/>
      </c>
      <c r="C139" s="29" t="str">
        <f t="shared" ca="1" si="8"/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6"/>
        <v>0</v>
      </c>
    </row>
    <row r="187" spans="2:12" x14ac:dyDescent="0.3">
      <c r="B187" s="28" t="str">
        <f t="shared" ca="1" si="7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6"/>
        <v>0</v>
      </c>
    </row>
    <row r="188" spans="2:12" x14ac:dyDescent="0.3">
      <c r="B188" s="28" t="str">
        <f t="shared" ca="1" si="7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6"/>
        <v>0</v>
      </c>
    </row>
    <row r="189" spans="2:12" x14ac:dyDescent="0.3">
      <c r="B189" s="28" t="str">
        <f t="shared" ca="1" si="7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6"/>
        <v>0</v>
      </c>
    </row>
    <row r="190" spans="2:12" x14ac:dyDescent="0.3">
      <c r="B190" s="28" t="str">
        <f t="shared" ca="1" si="7"/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6"/>
        <v>0</v>
      </c>
    </row>
    <row r="191" spans="2:12" x14ac:dyDescent="0.3">
      <c r="B191" s="28" t="str">
        <f t="shared" ca="1" si="7"/>
        <v/>
      </c>
      <c r="C191" s="29" t="str">
        <f t="shared" ca="1" si="8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6"/>
        <v>0</v>
      </c>
    </row>
    <row r="192" spans="2:12" x14ac:dyDescent="0.3">
      <c r="B192" s="28" t="str">
        <f t="shared" ca="1" si="7"/>
        <v/>
      </c>
      <c r="C192" s="29" t="str">
        <f t="shared" ca="1" si="8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6"/>
        <v>0</v>
      </c>
    </row>
    <row r="193" spans="2:12" x14ac:dyDescent="0.3">
      <c r="B193" s="28" t="str">
        <f t="shared" ca="1" si="7"/>
        <v/>
      </c>
      <c r="C193" s="29" t="str">
        <f t="shared" ca="1" si="8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6"/>
        <v>0</v>
      </c>
    </row>
    <row r="194" spans="2:12" x14ac:dyDescent="0.3">
      <c r="B194" s="28" t="str">
        <f t="shared" ca="1" si="7"/>
        <v/>
      </c>
      <c r="C194" s="29" t="str">
        <f t="shared" ca="1" si="8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6"/>
        <v>0</v>
      </c>
    </row>
    <row r="195" spans="2:12" x14ac:dyDescent="0.3">
      <c r="B195" s="28" t="str">
        <f t="shared" ca="1" si="7"/>
        <v/>
      </c>
      <c r="C195" s="29" t="str">
        <f t="shared" ca="1" si="8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6"/>
        <v>0</v>
      </c>
    </row>
    <row r="196" spans="2:12" x14ac:dyDescent="0.3">
      <c r="B196" s="28" t="str">
        <f t="shared" ca="1" si="7"/>
        <v/>
      </c>
      <c r="C196" s="29" t="str">
        <f t="shared" ca="1" si="8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6"/>
        <v>0</v>
      </c>
    </row>
    <row r="197" spans="2:12" x14ac:dyDescent="0.3">
      <c r="B197" s="28" t="str">
        <f t="shared" ca="1" si="7"/>
        <v/>
      </c>
      <c r="C197" s="29" t="str">
        <f t="shared" ca="1" si="8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6"/>
        <v>0</v>
      </c>
    </row>
    <row r="198" spans="2:12" x14ac:dyDescent="0.3">
      <c r="B198" s="28" t="str">
        <f t="shared" ca="1" si="7"/>
        <v/>
      </c>
      <c r="C198" s="29" t="str">
        <f t="shared" ca="1" si="8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6"/>
        <v>0</v>
      </c>
    </row>
    <row r="199" spans="2:12" x14ac:dyDescent="0.3">
      <c r="B199" s="28" t="str">
        <f t="shared" ca="1" si="7"/>
        <v/>
      </c>
      <c r="C199" s="29" t="str">
        <f t="shared" ca="1" si="8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ref="L199:L262" si="9">J199-I199-K199</f>
        <v>0</v>
      </c>
    </row>
    <row r="200" spans="2:12" x14ac:dyDescent="0.3">
      <c r="B200" s="28" t="str">
        <f t="shared" ref="B200:B263" ca="1" si="10">IF(D200&lt;&gt;"",DATE(Jahr,_xlfn.SHEET()-2,D200),"")</f>
        <v/>
      </c>
      <c r="C200" s="29" t="str">
        <f t="shared" ref="C200:C263" ca="1" si="11">B200</f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9"/>
        <v>0</v>
      </c>
    </row>
    <row r="201" spans="2:12" x14ac:dyDescent="0.3">
      <c r="B201" s="28" t="str">
        <f t="shared" ca="1" si="10"/>
        <v/>
      </c>
      <c r="C201" s="29" t="str">
        <f t="shared" ca="1" si="11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9"/>
        <v>0</v>
      </c>
    </row>
    <row r="202" spans="2:12" x14ac:dyDescent="0.3">
      <c r="B202" s="28" t="str">
        <f t="shared" ca="1" si="10"/>
        <v/>
      </c>
      <c r="C202" s="29" t="str">
        <f t="shared" ca="1" si="11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si="9"/>
        <v>0</v>
      </c>
    </row>
    <row r="203" spans="2:12" x14ac:dyDescent="0.3">
      <c r="B203" s="28" t="str">
        <f t="shared" ca="1" si="10"/>
        <v/>
      </c>
      <c r="C203" s="29" t="str">
        <f t="shared" ca="1" si="11"/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9"/>
        <v>0</v>
      </c>
    </row>
    <row r="251" spans="2:12" x14ac:dyDescent="0.3">
      <c r="B251" s="28" t="str">
        <f t="shared" ca="1" si="10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9"/>
        <v>0</v>
      </c>
    </row>
    <row r="252" spans="2:12" x14ac:dyDescent="0.3">
      <c r="B252" s="28" t="str">
        <f t="shared" ca="1" si="10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9"/>
        <v>0</v>
      </c>
    </row>
    <row r="253" spans="2:12" x14ac:dyDescent="0.3">
      <c r="B253" s="28" t="str">
        <f t="shared" ca="1" si="10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9"/>
        <v>0</v>
      </c>
    </row>
    <row r="254" spans="2:12" x14ac:dyDescent="0.3">
      <c r="B254" s="28" t="str">
        <f t="shared" ca="1" si="10"/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9"/>
        <v>0</v>
      </c>
    </row>
    <row r="255" spans="2:12" x14ac:dyDescent="0.3">
      <c r="B255" s="28" t="str">
        <f t="shared" ca="1" si="10"/>
        <v/>
      </c>
      <c r="C255" s="29" t="str">
        <f t="shared" ca="1" si="11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9"/>
        <v>0</v>
      </c>
    </row>
    <row r="256" spans="2:12" x14ac:dyDescent="0.3">
      <c r="B256" s="28" t="str">
        <f t="shared" ca="1" si="10"/>
        <v/>
      </c>
      <c r="C256" s="29" t="str">
        <f t="shared" ca="1" si="11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9"/>
        <v>0</v>
      </c>
    </row>
    <row r="257" spans="2:12" x14ac:dyDescent="0.3">
      <c r="B257" s="28" t="str">
        <f t="shared" ca="1" si="10"/>
        <v/>
      </c>
      <c r="C257" s="29" t="str">
        <f t="shared" ca="1" si="11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9"/>
        <v>0</v>
      </c>
    </row>
    <row r="258" spans="2:12" x14ac:dyDescent="0.3">
      <c r="B258" s="28" t="str">
        <f t="shared" ca="1" si="10"/>
        <v/>
      </c>
      <c r="C258" s="29" t="str">
        <f t="shared" ca="1" si="11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9"/>
        <v>0</v>
      </c>
    </row>
    <row r="259" spans="2:12" x14ac:dyDescent="0.3">
      <c r="B259" s="28" t="str">
        <f t="shared" ca="1" si="10"/>
        <v/>
      </c>
      <c r="C259" s="29" t="str">
        <f t="shared" ca="1" si="11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9"/>
        <v>0</v>
      </c>
    </row>
    <row r="260" spans="2:12" x14ac:dyDescent="0.3">
      <c r="B260" s="28" t="str">
        <f t="shared" ca="1" si="10"/>
        <v/>
      </c>
      <c r="C260" s="29" t="str">
        <f t="shared" ca="1" si="11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9"/>
        <v>0</v>
      </c>
    </row>
    <row r="261" spans="2:12" x14ac:dyDescent="0.3">
      <c r="B261" s="28" t="str">
        <f t="shared" ca="1" si="10"/>
        <v/>
      </c>
      <c r="C261" s="29" t="str">
        <f t="shared" ca="1" si="11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9"/>
        <v>0</v>
      </c>
    </row>
    <row r="262" spans="2:12" x14ac:dyDescent="0.3">
      <c r="B262" s="28" t="str">
        <f t="shared" ca="1" si="10"/>
        <v/>
      </c>
      <c r="C262" s="29" t="str">
        <f t="shared" ca="1" si="11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9"/>
        <v>0</v>
      </c>
    </row>
    <row r="263" spans="2:12" x14ac:dyDescent="0.3">
      <c r="B263" s="28" t="str">
        <f t="shared" ca="1" si="10"/>
        <v/>
      </c>
      <c r="C263" s="29" t="str">
        <f t="shared" ca="1" si="11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ref="L263:L326" si="12">J263-I263-K263</f>
        <v>0</v>
      </c>
    </row>
    <row r="264" spans="2:12" x14ac:dyDescent="0.3">
      <c r="B264" s="28" t="str">
        <f t="shared" ref="B264:B327" ca="1" si="13">IF(D264&lt;&gt;"",DATE(Jahr,_xlfn.SHEET()-2,D264),"")</f>
        <v/>
      </c>
      <c r="C264" s="29" t="str">
        <f t="shared" ref="C264:C327" ca="1" si="14">B264</f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12"/>
        <v>0</v>
      </c>
    </row>
    <row r="265" spans="2:12" x14ac:dyDescent="0.3">
      <c r="B265" s="28" t="str">
        <f t="shared" ca="1" si="13"/>
        <v/>
      </c>
      <c r="C265" s="29" t="str">
        <f t="shared" ca="1" si="14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12"/>
        <v>0</v>
      </c>
    </row>
    <row r="266" spans="2:12" x14ac:dyDescent="0.3">
      <c r="B266" s="28" t="str">
        <f t="shared" ca="1" si="13"/>
        <v/>
      </c>
      <c r="C266" s="29" t="str">
        <f t="shared" ca="1" si="14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si="12"/>
        <v>0</v>
      </c>
    </row>
    <row r="267" spans="2:12" x14ac:dyDescent="0.3">
      <c r="B267" s="28" t="str">
        <f t="shared" ca="1" si="13"/>
        <v/>
      </c>
      <c r="C267" s="29" t="str">
        <f t="shared" ca="1" si="14"/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2"/>
        <v>0</v>
      </c>
    </row>
    <row r="315" spans="2:12" x14ac:dyDescent="0.3">
      <c r="B315" s="28" t="str">
        <f t="shared" ca="1" si="13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2"/>
        <v>0</v>
      </c>
    </row>
    <row r="316" spans="2:12" x14ac:dyDescent="0.3">
      <c r="B316" s="28" t="str">
        <f t="shared" ca="1" si="13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2"/>
        <v>0</v>
      </c>
    </row>
    <row r="317" spans="2:12" x14ac:dyDescent="0.3">
      <c r="B317" s="28" t="str">
        <f t="shared" ca="1" si="13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2"/>
        <v>0</v>
      </c>
    </row>
    <row r="318" spans="2:12" x14ac:dyDescent="0.3">
      <c r="B318" s="28" t="str">
        <f t="shared" ca="1" si="13"/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2"/>
        <v>0</v>
      </c>
    </row>
    <row r="319" spans="2:12" x14ac:dyDescent="0.3">
      <c r="B319" s="28" t="str">
        <f t="shared" ca="1" si="13"/>
        <v/>
      </c>
      <c r="C319" s="29" t="str">
        <f t="shared" ca="1" si="14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2"/>
        <v>0</v>
      </c>
    </row>
    <row r="320" spans="2:12" x14ac:dyDescent="0.3">
      <c r="B320" s="28" t="str">
        <f t="shared" ca="1" si="13"/>
        <v/>
      </c>
      <c r="C320" s="29" t="str">
        <f t="shared" ca="1" si="14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2"/>
        <v>0</v>
      </c>
    </row>
    <row r="321" spans="2:12" x14ac:dyDescent="0.3">
      <c r="B321" s="28" t="str">
        <f t="shared" ca="1" si="13"/>
        <v/>
      </c>
      <c r="C321" s="29" t="str">
        <f t="shared" ca="1" si="14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2"/>
        <v>0</v>
      </c>
    </row>
    <row r="322" spans="2:12" x14ac:dyDescent="0.3">
      <c r="B322" s="28" t="str">
        <f t="shared" ca="1" si="13"/>
        <v/>
      </c>
      <c r="C322" s="29" t="str">
        <f t="shared" ca="1" si="14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2"/>
        <v>0</v>
      </c>
    </row>
    <row r="323" spans="2:12" x14ac:dyDescent="0.3">
      <c r="B323" s="28" t="str">
        <f t="shared" ca="1" si="13"/>
        <v/>
      </c>
      <c r="C323" s="29" t="str">
        <f t="shared" ca="1" si="14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2"/>
        <v>0</v>
      </c>
    </row>
    <row r="324" spans="2:12" x14ac:dyDescent="0.3">
      <c r="B324" s="28" t="str">
        <f t="shared" ca="1" si="13"/>
        <v/>
      </c>
      <c r="C324" s="29" t="str">
        <f t="shared" ca="1" si="14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2"/>
        <v>0</v>
      </c>
    </row>
    <row r="325" spans="2:12" x14ac:dyDescent="0.3">
      <c r="B325" s="28" t="str">
        <f t="shared" ca="1" si="13"/>
        <v/>
      </c>
      <c r="C325" s="29" t="str">
        <f t="shared" ca="1" si="14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2"/>
        <v>0</v>
      </c>
    </row>
    <row r="326" spans="2:12" x14ac:dyDescent="0.3">
      <c r="B326" s="28" t="str">
        <f t="shared" ca="1" si="13"/>
        <v/>
      </c>
      <c r="C326" s="29" t="str">
        <f t="shared" ca="1" si="14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2"/>
        <v>0</v>
      </c>
    </row>
    <row r="327" spans="2:12" x14ac:dyDescent="0.3">
      <c r="B327" s="28" t="str">
        <f t="shared" ca="1" si="13"/>
        <v/>
      </c>
      <c r="C327" s="29" t="str">
        <f t="shared" ca="1" si="14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ref="L327:L390" si="15">J327-I327-K327</f>
        <v>0</v>
      </c>
    </row>
    <row r="328" spans="2:12" x14ac:dyDescent="0.3">
      <c r="B328" s="28" t="str">
        <f t="shared" ref="B328:B391" ca="1" si="16">IF(D328&lt;&gt;"",DATE(Jahr,_xlfn.SHEET()-2,D328),"")</f>
        <v/>
      </c>
      <c r="C328" s="29" t="str">
        <f t="shared" ref="C328:C391" ca="1" si="17">B328</f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5"/>
        <v>0</v>
      </c>
    </row>
    <row r="329" spans="2:12" x14ac:dyDescent="0.3">
      <c r="B329" s="28" t="str">
        <f t="shared" ca="1" si="16"/>
        <v/>
      </c>
      <c r="C329" s="29" t="str">
        <f t="shared" ca="1" si="17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5"/>
        <v>0</v>
      </c>
    </row>
    <row r="330" spans="2:12" x14ac:dyDescent="0.3">
      <c r="B330" s="28" t="str">
        <f t="shared" ca="1" si="16"/>
        <v/>
      </c>
      <c r="C330" s="29" t="str">
        <f t="shared" ca="1" si="17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si="15"/>
        <v>0</v>
      </c>
    </row>
    <row r="331" spans="2:12" x14ac:dyDescent="0.3">
      <c r="B331" s="28" t="str">
        <f t="shared" ca="1" si="16"/>
        <v/>
      </c>
      <c r="C331" s="29" t="str">
        <f t="shared" ca="1" si="17"/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5"/>
        <v>0</v>
      </c>
    </row>
    <row r="379" spans="2:12" x14ac:dyDescent="0.3">
      <c r="B379" s="28" t="str">
        <f t="shared" ca="1" si="16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5"/>
        <v>0</v>
      </c>
    </row>
    <row r="380" spans="2:12" x14ac:dyDescent="0.3">
      <c r="B380" s="28" t="str">
        <f t="shared" ca="1" si="16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5"/>
        <v>0</v>
      </c>
    </row>
    <row r="381" spans="2:12" x14ac:dyDescent="0.3">
      <c r="B381" s="28" t="str">
        <f t="shared" ca="1" si="16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5"/>
        <v>0</v>
      </c>
    </row>
    <row r="382" spans="2:12" x14ac:dyDescent="0.3">
      <c r="B382" s="28" t="str">
        <f t="shared" ca="1" si="16"/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5"/>
        <v>0</v>
      </c>
    </row>
    <row r="383" spans="2:12" x14ac:dyDescent="0.3">
      <c r="B383" s="28" t="str">
        <f t="shared" ca="1" si="16"/>
        <v/>
      </c>
      <c r="C383" s="29" t="str">
        <f t="shared" ca="1" si="17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5"/>
        <v>0</v>
      </c>
    </row>
    <row r="384" spans="2:12" x14ac:dyDescent="0.3">
      <c r="B384" s="28" t="str">
        <f t="shared" ca="1" si="16"/>
        <v/>
      </c>
      <c r="C384" s="29" t="str">
        <f t="shared" ca="1" si="17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5"/>
        <v>0</v>
      </c>
    </row>
    <row r="385" spans="2:12" x14ac:dyDescent="0.3">
      <c r="B385" s="28" t="str">
        <f t="shared" ca="1" si="16"/>
        <v/>
      </c>
      <c r="C385" s="29" t="str">
        <f t="shared" ca="1" si="17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5"/>
        <v>0</v>
      </c>
    </row>
    <row r="386" spans="2:12" x14ac:dyDescent="0.3">
      <c r="B386" s="28" t="str">
        <f t="shared" ca="1" si="16"/>
        <v/>
      </c>
      <c r="C386" s="29" t="str">
        <f t="shared" ca="1" si="17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5"/>
        <v>0</v>
      </c>
    </row>
    <row r="387" spans="2:12" x14ac:dyDescent="0.3">
      <c r="B387" s="28" t="str">
        <f t="shared" ca="1" si="16"/>
        <v/>
      </c>
      <c r="C387" s="29" t="str">
        <f t="shared" ca="1" si="17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5"/>
        <v>0</v>
      </c>
    </row>
    <row r="388" spans="2:12" x14ac:dyDescent="0.3">
      <c r="B388" s="28" t="str">
        <f t="shared" ca="1" si="16"/>
        <v/>
      </c>
      <c r="C388" s="29" t="str">
        <f t="shared" ca="1" si="17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5"/>
        <v>0</v>
      </c>
    </row>
    <row r="389" spans="2:12" x14ac:dyDescent="0.3">
      <c r="B389" s="28" t="str">
        <f t="shared" ca="1" si="16"/>
        <v/>
      </c>
      <c r="C389" s="29" t="str">
        <f t="shared" ca="1" si="17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5"/>
        <v>0</v>
      </c>
    </row>
    <row r="390" spans="2:12" x14ac:dyDescent="0.3">
      <c r="B390" s="28" t="str">
        <f t="shared" ca="1" si="16"/>
        <v/>
      </c>
      <c r="C390" s="29" t="str">
        <f t="shared" ca="1" si="17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5"/>
        <v>0</v>
      </c>
    </row>
    <row r="391" spans="2:12" x14ac:dyDescent="0.3">
      <c r="B391" s="28" t="str">
        <f t="shared" ca="1" si="16"/>
        <v/>
      </c>
      <c r="C391" s="29" t="str">
        <f t="shared" ca="1" si="17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ref="L391:L454" si="18">J391-I391-K391</f>
        <v>0</v>
      </c>
    </row>
    <row r="392" spans="2:12" x14ac:dyDescent="0.3">
      <c r="B392" s="28" t="str">
        <f t="shared" ref="B392:B455" ca="1" si="19">IF(D392&lt;&gt;"",DATE(Jahr,_xlfn.SHEET()-2,D392),"")</f>
        <v/>
      </c>
      <c r="C392" s="29" t="str">
        <f t="shared" ref="C392:C455" ca="1" si="20">B392</f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8"/>
        <v>0</v>
      </c>
    </row>
    <row r="393" spans="2:12" x14ac:dyDescent="0.3">
      <c r="B393" s="28" t="str">
        <f t="shared" ca="1" si="19"/>
        <v/>
      </c>
      <c r="C393" s="29" t="str">
        <f t="shared" ca="1" si="20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8"/>
        <v>0</v>
      </c>
    </row>
    <row r="394" spans="2:12" x14ac:dyDescent="0.3">
      <c r="B394" s="28" t="str">
        <f t="shared" ca="1" si="19"/>
        <v/>
      </c>
      <c r="C394" s="29" t="str">
        <f t="shared" ca="1" si="20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si="18"/>
        <v>0</v>
      </c>
    </row>
    <row r="395" spans="2:12" x14ac:dyDescent="0.3">
      <c r="B395" s="28" t="str">
        <f t="shared" ca="1" si="19"/>
        <v/>
      </c>
      <c r="C395" s="29" t="str">
        <f t="shared" ca="1" si="20"/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8"/>
        <v>0</v>
      </c>
    </row>
    <row r="443" spans="2:12" x14ac:dyDescent="0.3">
      <c r="B443" s="28" t="str">
        <f t="shared" ca="1" si="19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8"/>
        <v>0</v>
      </c>
    </row>
    <row r="444" spans="2:12" x14ac:dyDescent="0.3">
      <c r="B444" s="28" t="str">
        <f t="shared" ca="1" si="19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8"/>
        <v>0</v>
      </c>
    </row>
    <row r="445" spans="2:12" x14ac:dyDescent="0.3">
      <c r="B445" s="28" t="str">
        <f t="shared" ca="1" si="19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8"/>
        <v>0</v>
      </c>
    </row>
    <row r="446" spans="2:12" x14ac:dyDescent="0.3">
      <c r="B446" s="28" t="str">
        <f t="shared" ca="1" si="19"/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18"/>
        <v>0</v>
      </c>
    </row>
    <row r="447" spans="2:12" x14ac:dyDescent="0.3">
      <c r="B447" s="28" t="str">
        <f t="shared" ca="1" si="19"/>
        <v/>
      </c>
      <c r="C447" s="29" t="str">
        <f t="shared" ca="1" si="20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18"/>
        <v>0</v>
      </c>
    </row>
    <row r="448" spans="2:12" x14ac:dyDescent="0.3">
      <c r="B448" s="28" t="str">
        <f t="shared" ca="1" si="19"/>
        <v/>
      </c>
      <c r="C448" s="29" t="str">
        <f t="shared" ca="1" si="20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18"/>
        <v>0</v>
      </c>
    </row>
    <row r="449" spans="2:12" x14ac:dyDescent="0.3">
      <c r="B449" s="28" t="str">
        <f t="shared" ca="1" si="19"/>
        <v/>
      </c>
      <c r="C449" s="29" t="str">
        <f t="shared" ca="1" si="20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18"/>
        <v>0</v>
      </c>
    </row>
    <row r="450" spans="2:12" x14ac:dyDescent="0.3">
      <c r="B450" s="28" t="str">
        <f t="shared" ca="1" si="19"/>
        <v/>
      </c>
      <c r="C450" s="29" t="str">
        <f t="shared" ca="1" si="20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18"/>
        <v>0</v>
      </c>
    </row>
    <row r="451" spans="2:12" x14ac:dyDescent="0.3">
      <c r="B451" s="28" t="str">
        <f t="shared" ca="1" si="19"/>
        <v/>
      </c>
      <c r="C451" s="29" t="str">
        <f t="shared" ca="1" si="20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18"/>
        <v>0</v>
      </c>
    </row>
    <row r="452" spans="2:12" x14ac:dyDescent="0.3">
      <c r="B452" s="28" t="str">
        <f t="shared" ca="1" si="19"/>
        <v/>
      </c>
      <c r="C452" s="29" t="str">
        <f t="shared" ca="1" si="20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18"/>
        <v>0</v>
      </c>
    </row>
    <row r="453" spans="2:12" x14ac:dyDescent="0.3">
      <c r="B453" s="28" t="str">
        <f t="shared" ca="1" si="19"/>
        <v/>
      </c>
      <c r="C453" s="29" t="str">
        <f t="shared" ca="1" si="20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18"/>
        <v>0</v>
      </c>
    </row>
    <row r="454" spans="2:12" x14ac:dyDescent="0.3">
      <c r="B454" s="28" t="str">
        <f t="shared" ca="1" si="19"/>
        <v/>
      </c>
      <c r="C454" s="29" t="str">
        <f t="shared" ca="1" si="20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18"/>
        <v>0</v>
      </c>
    </row>
    <row r="455" spans="2:12" x14ac:dyDescent="0.3">
      <c r="B455" s="28" t="str">
        <f t="shared" ca="1" si="19"/>
        <v/>
      </c>
      <c r="C455" s="29" t="str">
        <f t="shared" ca="1" si="20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ref="L455:L518" si="21">J455-I455-K455</f>
        <v>0</v>
      </c>
    </row>
    <row r="456" spans="2:12" x14ac:dyDescent="0.3">
      <c r="B456" s="28" t="str">
        <f t="shared" ref="B456:B519" ca="1" si="22">IF(D456&lt;&gt;"",DATE(Jahr,_xlfn.SHEET()-2,D456),"")</f>
        <v/>
      </c>
      <c r="C456" s="29" t="str">
        <f t="shared" ref="C456:C519" ca="1" si="23">B456</f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21"/>
        <v>0</v>
      </c>
    </row>
    <row r="457" spans="2:12" x14ac:dyDescent="0.3">
      <c r="B457" s="28" t="str">
        <f t="shared" ca="1" si="22"/>
        <v/>
      </c>
      <c r="C457" s="29" t="str">
        <f t="shared" ca="1" si="23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21"/>
        <v>0</v>
      </c>
    </row>
    <row r="458" spans="2:12" x14ac:dyDescent="0.3">
      <c r="B458" s="28" t="str">
        <f t="shared" ca="1" si="22"/>
        <v/>
      </c>
      <c r="C458" s="29" t="str">
        <f t="shared" ca="1" si="23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si="21"/>
        <v>0</v>
      </c>
    </row>
    <row r="459" spans="2:12" x14ac:dyDescent="0.3">
      <c r="B459" s="28" t="str">
        <f t="shared" ca="1" si="22"/>
        <v/>
      </c>
      <c r="C459" s="29" t="str">
        <f t="shared" ca="1" si="23"/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1"/>
        <v>0</v>
      </c>
    </row>
    <row r="507" spans="2:12" x14ac:dyDescent="0.3">
      <c r="B507" s="28" t="str">
        <f t="shared" ca="1" si="22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1"/>
        <v>0</v>
      </c>
    </row>
    <row r="508" spans="2:12" x14ac:dyDescent="0.3">
      <c r="B508" s="28" t="str">
        <f t="shared" ca="1" si="22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1"/>
        <v>0</v>
      </c>
    </row>
    <row r="509" spans="2:12" x14ac:dyDescent="0.3">
      <c r="B509" s="28" t="str">
        <f t="shared" ca="1" si="22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1"/>
        <v>0</v>
      </c>
    </row>
    <row r="510" spans="2:12" x14ac:dyDescent="0.3">
      <c r="B510" s="28" t="str">
        <f t="shared" ca="1" si="22"/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1"/>
        <v>0</v>
      </c>
    </row>
    <row r="511" spans="2:12" x14ac:dyDescent="0.3">
      <c r="B511" s="28" t="str">
        <f t="shared" ca="1" si="22"/>
        <v/>
      </c>
      <c r="C511" s="29" t="str">
        <f t="shared" ca="1" si="23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1"/>
        <v>0</v>
      </c>
    </row>
    <row r="512" spans="2:12" x14ac:dyDescent="0.3">
      <c r="B512" s="28" t="str">
        <f t="shared" ca="1" si="22"/>
        <v/>
      </c>
      <c r="C512" s="29" t="str">
        <f t="shared" ca="1" si="23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1"/>
        <v>0</v>
      </c>
    </row>
    <row r="513" spans="2:12" x14ac:dyDescent="0.3">
      <c r="B513" s="28" t="str">
        <f t="shared" ca="1" si="22"/>
        <v/>
      </c>
      <c r="C513" s="29" t="str">
        <f t="shared" ca="1" si="23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1"/>
        <v>0</v>
      </c>
    </row>
    <row r="514" spans="2:12" x14ac:dyDescent="0.3">
      <c r="B514" s="28" t="str">
        <f t="shared" ca="1" si="22"/>
        <v/>
      </c>
      <c r="C514" s="29" t="str">
        <f t="shared" ca="1" si="23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1"/>
        <v>0</v>
      </c>
    </row>
    <row r="515" spans="2:12" x14ac:dyDescent="0.3">
      <c r="B515" s="28" t="str">
        <f t="shared" ca="1" si="22"/>
        <v/>
      </c>
      <c r="C515" s="29" t="str">
        <f t="shared" ca="1" si="23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1"/>
        <v>0</v>
      </c>
    </row>
    <row r="516" spans="2:12" x14ac:dyDescent="0.3">
      <c r="B516" s="28" t="str">
        <f t="shared" ca="1" si="22"/>
        <v/>
      </c>
      <c r="C516" s="29" t="str">
        <f t="shared" ca="1" si="23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1"/>
        <v>0</v>
      </c>
    </row>
    <row r="517" spans="2:12" x14ac:dyDescent="0.3">
      <c r="B517" s="28" t="str">
        <f t="shared" ca="1" si="22"/>
        <v/>
      </c>
      <c r="C517" s="29" t="str">
        <f t="shared" ca="1" si="23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1"/>
        <v>0</v>
      </c>
    </row>
    <row r="518" spans="2:12" x14ac:dyDescent="0.3">
      <c r="B518" s="28" t="str">
        <f t="shared" ca="1" si="22"/>
        <v/>
      </c>
      <c r="C518" s="29" t="str">
        <f t="shared" ca="1" si="23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1"/>
        <v>0</v>
      </c>
    </row>
    <row r="519" spans="2:12" x14ac:dyDescent="0.3">
      <c r="B519" s="28" t="str">
        <f t="shared" ca="1" si="22"/>
        <v/>
      </c>
      <c r="C519" s="29" t="str">
        <f t="shared" ca="1" si="23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ref="L519:L582" si="24">J519-I519-K519</f>
        <v>0</v>
      </c>
    </row>
    <row r="520" spans="2:12" x14ac:dyDescent="0.3">
      <c r="B520" s="28" t="str">
        <f t="shared" ref="B520:B583" ca="1" si="25">IF(D520&lt;&gt;"",DATE(Jahr,_xlfn.SHEET()-2,D520),"")</f>
        <v/>
      </c>
      <c r="C520" s="29" t="str">
        <f t="shared" ref="C520:C583" ca="1" si="26">B520</f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4"/>
        <v>0</v>
      </c>
    </row>
    <row r="521" spans="2:12" x14ac:dyDescent="0.3">
      <c r="B521" s="28" t="str">
        <f t="shared" ca="1" si="25"/>
        <v/>
      </c>
      <c r="C521" s="29" t="str">
        <f t="shared" ca="1" si="26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4"/>
        <v>0</v>
      </c>
    </row>
    <row r="522" spans="2:12" x14ac:dyDescent="0.3">
      <c r="B522" s="28" t="str">
        <f t="shared" ca="1" si="25"/>
        <v/>
      </c>
      <c r="C522" s="29" t="str">
        <f t="shared" ca="1" si="26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si="24"/>
        <v>0</v>
      </c>
    </row>
    <row r="523" spans="2:12" x14ac:dyDescent="0.3">
      <c r="B523" s="28" t="str">
        <f t="shared" ca="1" si="25"/>
        <v/>
      </c>
      <c r="C523" s="29" t="str">
        <f t="shared" ca="1" si="26"/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4"/>
        <v>0</v>
      </c>
    </row>
    <row r="571" spans="2:12" x14ac:dyDescent="0.3">
      <c r="B571" s="28" t="str">
        <f t="shared" ca="1" si="25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4"/>
        <v>0</v>
      </c>
    </row>
    <row r="572" spans="2:12" x14ac:dyDescent="0.3">
      <c r="B572" s="28" t="str">
        <f t="shared" ca="1" si="25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4"/>
        <v>0</v>
      </c>
    </row>
    <row r="573" spans="2:12" x14ac:dyDescent="0.3">
      <c r="B573" s="28" t="str">
        <f t="shared" ca="1" si="25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4"/>
        <v>0</v>
      </c>
    </row>
    <row r="574" spans="2:12" x14ac:dyDescent="0.3">
      <c r="B574" s="28" t="str">
        <f t="shared" ca="1" si="25"/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4"/>
        <v>0</v>
      </c>
    </row>
    <row r="575" spans="2:12" x14ac:dyDescent="0.3">
      <c r="B575" s="28" t="str">
        <f t="shared" ca="1" si="25"/>
        <v/>
      </c>
      <c r="C575" s="29" t="str">
        <f t="shared" ca="1" si="26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4"/>
        <v>0</v>
      </c>
    </row>
    <row r="576" spans="2:12" x14ac:dyDescent="0.3">
      <c r="B576" s="28" t="str">
        <f t="shared" ca="1" si="25"/>
        <v/>
      </c>
      <c r="C576" s="29" t="str">
        <f t="shared" ca="1" si="26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4"/>
        <v>0</v>
      </c>
    </row>
    <row r="577" spans="2:12" x14ac:dyDescent="0.3">
      <c r="B577" s="28" t="str">
        <f t="shared" ca="1" si="25"/>
        <v/>
      </c>
      <c r="C577" s="29" t="str">
        <f t="shared" ca="1" si="26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4"/>
        <v>0</v>
      </c>
    </row>
    <row r="578" spans="2:12" x14ac:dyDescent="0.3">
      <c r="B578" s="28" t="str">
        <f t="shared" ca="1" si="25"/>
        <v/>
      </c>
      <c r="C578" s="29" t="str">
        <f t="shared" ca="1" si="26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4"/>
        <v>0</v>
      </c>
    </row>
    <row r="579" spans="2:12" x14ac:dyDescent="0.3">
      <c r="B579" s="28" t="str">
        <f t="shared" ca="1" si="25"/>
        <v/>
      </c>
      <c r="C579" s="29" t="str">
        <f t="shared" ca="1" si="26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4"/>
        <v>0</v>
      </c>
    </row>
    <row r="580" spans="2:12" x14ac:dyDescent="0.3">
      <c r="B580" s="28" t="str">
        <f t="shared" ca="1" si="25"/>
        <v/>
      </c>
      <c r="C580" s="29" t="str">
        <f t="shared" ca="1" si="26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4"/>
        <v>0</v>
      </c>
    </row>
    <row r="581" spans="2:12" x14ac:dyDescent="0.3">
      <c r="B581" s="28" t="str">
        <f t="shared" ca="1" si="25"/>
        <v/>
      </c>
      <c r="C581" s="29" t="str">
        <f t="shared" ca="1" si="26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4"/>
        <v>0</v>
      </c>
    </row>
    <row r="582" spans="2:12" x14ac:dyDescent="0.3">
      <c r="B582" s="28" t="str">
        <f t="shared" ca="1" si="25"/>
        <v/>
      </c>
      <c r="C582" s="29" t="str">
        <f t="shared" ca="1" si="26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4"/>
        <v>0</v>
      </c>
    </row>
    <row r="583" spans="2:12" x14ac:dyDescent="0.3">
      <c r="B583" s="28" t="str">
        <f t="shared" ca="1" si="25"/>
        <v/>
      </c>
      <c r="C583" s="29" t="str">
        <f t="shared" ca="1" si="26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ref="L583:L646" si="27">J583-I583-K583</f>
        <v>0</v>
      </c>
    </row>
    <row r="584" spans="2:12" x14ac:dyDescent="0.3">
      <c r="B584" s="28" t="str">
        <f t="shared" ref="B584:B647" ca="1" si="28">IF(D584&lt;&gt;"",DATE(Jahr,_xlfn.SHEET()-2,D584),"")</f>
        <v/>
      </c>
      <c r="C584" s="29" t="str">
        <f t="shared" ref="C584:C647" ca="1" si="29">B584</f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7"/>
        <v>0</v>
      </c>
    </row>
    <row r="585" spans="2:12" x14ac:dyDescent="0.3">
      <c r="B585" s="28" t="str">
        <f t="shared" ca="1" si="28"/>
        <v/>
      </c>
      <c r="C585" s="29" t="str">
        <f t="shared" ca="1" si="29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7"/>
        <v>0</v>
      </c>
    </row>
    <row r="586" spans="2:12" x14ac:dyDescent="0.3">
      <c r="B586" s="28" t="str">
        <f t="shared" ca="1" si="28"/>
        <v/>
      </c>
      <c r="C586" s="29" t="str">
        <f t="shared" ca="1" si="29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si="27"/>
        <v>0</v>
      </c>
    </row>
    <row r="587" spans="2:12" x14ac:dyDescent="0.3">
      <c r="B587" s="28" t="str">
        <f t="shared" ca="1" si="28"/>
        <v/>
      </c>
      <c r="C587" s="29" t="str">
        <f t="shared" ca="1" si="29"/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7"/>
        <v>0</v>
      </c>
    </row>
    <row r="635" spans="2:12" x14ac:dyDescent="0.3">
      <c r="B635" s="28" t="str">
        <f t="shared" ca="1" si="28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7"/>
        <v>0</v>
      </c>
    </row>
    <row r="636" spans="2:12" x14ac:dyDescent="0.3">
      <c r="B636" s="28" t="str">
        <f t="shared" ca="1" si="28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7"/>
        <v>0</v>
      </c>
    </row>
    <row r="637" spans="2:12" x14ac:dyDescent="0.3">
      <c r="B637" s="28" t="str">
        <f t="shared" ca="1" si="28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7"/>
        <v>0</v>
      </c>
    </row>
    <row r="638" spans="2:12" x14ac:dyDescent="0.3">
      <c r="B638" s="28" t="str">
        <f t="shared" ca="1" si="28"/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27"/>
        <v>0</v>
      </c>
    </row>
    <row r="639" spans="2:12" x14ac:dyDescent="0.3">
      <c r="B639" s="28" t="str">
        <f t="shared" ca="1" si="28"/>
        <v/>
      </c>
      <c r="C639" s="29" t="str">
        <f t="shared" ca="1" si="29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27"/>
        <v>0</v>
      </c>
    </row>
    <row r="640" spans="2:12" x14ac:dyDescent="0.3">
      <c r="B640" s="28" t="str">
        <f t="shared" ca="1" si="28"/>
        <v/>
      </c>
      <c r="C640" s="29" t="str">
        <f t="shared" ca="1" si="29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27"/>
        <v>0</v>
      </c>
    </row>
    <row r="641" spans="2:12" x14ac:dyDescent="0.3">
      <c r="B641" s="28" t="str">
        <f t="shared" ca="1" si="28"/>
        <v/>
      </c>
      <c r="C641" s="29" t="str">
        <f t="shared" ca="1" si="29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27"/>
        <v>0</v>
      </c>
    </row>
    <row r="642" spans="2:12" x14ac:dyDescent="0.3">
      <c r="B642" s="28" t="str">
        <f t="shared" ca="1" si="28"/>
        <v/>
      </c>
      <c r="C642" s="29" t="str">
        <f t="shared" ca="1" si="29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27"/>
        <v>0</v>
      </c>
    </row>
    <row r="643" spans="2:12" x14ac:dyDescent="0.3">
      <c r="B643" s="28" t="str">
        <f t="shared" ca="1" si="28"/>
        <v/>
      </c>
      <c r="C643" s="29" t="str">
        <f t="shared" ca="1" si="29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27"/>
        <v>0</v>
      </c>
    </row>
    <row r="644" spans="2:12" x14ac:dyDescent="0.3">
      <c r="B644" s="28" t="str">
        <f t="shared" ca="1" si="28"/>
        <v/>
      </c>
      <c r="C644" s="29" t="str">
        <f t="shared" ca="1" si="29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27"/>
        <v>0</v>
      </c>
    </row>
    <row r="645" spans="2:12" x14ac:dyDescent="0.3">
      <c r="B645" s="28" t="str">
        <f t="shared" ca="1" si="28"/>
        <v/>
      </c>
      <c r="C645" s="29" t="str">
        <f t="shared" ca="1" si="29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27"/>
        <v>0</v>
      </c>
    </row>
    <row r="646" spans="2:12" x14ac:dyDescent="0.3">
      <c r="B646" s="28" t="str">
        <f t="shared" ca="1" si="28"/>
        <v/>
      </c>
      <c r="C646" s="29" t="str">
        <f t="shared" ca="1" si="29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27"/>
        <v>0</v>
      </c>
    </row>
    <row r="647" spans="2:12" x14ac:dyDescent="0.3">
      <c r="B647" s="28" t="str">
        <f t="shared" ca="1" si="28"/>
        <v/>
      </c>
      <c r="C647" s="29" t="str">
        <f t="shared" ca="1" si="29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ref="L647:L710" si="30">J647-I647-K647</f>
        <v>0</v>
      </c>
    </row>
    <row r="648" spans="2:12" x14ac:dyDescent="0.3">
      <c r="B648" s="28" t="str">
        <f t="shared" ref="B648:B711" ca="1" si="31">IF(D648&lt;&gt;"",DATE(Jahr,_xlfn.SHEET()-2,D648),"")</f>
        <v/>
      </c>
      <c r="C648" s="29" t="str">
        <f t="shared" ref="C648:C711" ca="1" si="32">B648</f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30"/>
        <v>0</v>
      </c>
    </row>
    <row r="649" spans="2:12" x14ac:dyDescent="0.3">
      <c r="B649" s="28" t="str">
        <f t="shared" ca="1" si="31"/>
        <v/>
      </c>
      <c r="C649" s="29" t="str">
        <f t="shared" ca="1" si="32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30"/>
        <v>0</v>
      </c>
    </row>
    <row r="650" spans="2:12" x14ac:dyDescent="0.3">
      <c r="B650" s="28" t="str">
        <f t="shared" ca="1" si="31"/>
        <v/>
      </c>
      <c r="C650" s="29" t="str">
        <f t="shared" ca="1" si="32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si="30"/>
        <v>0</v>
      </c>
    </row>
    <row r="651" spans="2:12" x14ac:dyDescent="0.3">
      <c r="B651" s="28" t="str">
        <f t="shared" ca="1" si="31"/>
        <v/>
      </c>
      <c r="C651" s="29" t="str">
        <f t="shared" ca="1" si="32"/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0"/>
        <v>0</v>
      </c>
    </row>
    <row r="699" spans="2:12" x14ac:dyDescent="0.3">
      <c r="B699" s="28" t="str">
        <f t="shared" ca="1" si="31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0"/>
        <v>0</v>
      </c>
    </row>
    <row r="700" spans="2:12" x14ac:dyDescent="0.3">
      <c r="B700" s="28" t="str">
        <f t="shared" ca="1" si="31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0"/>
        <v>0</v>
      </c>
    </row>
    <row r="701" spans="2:12" x14ac:dyDescent="0.3">
      <c r="B701" s="28" t="str">
        <f t="shared" ca="1" si="31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0"/>
        <v>0</v>
      </c>
    </row>
    <row r="702" spans="2:12" x14ac:dyDescent="0.3">
      <c r="B702" s="28" t="str">
        <f t="shared" ca="1" si="31"/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0"/>
        <v>0</v>
      </c>
    </row>
    <row r="703" spans="2:12" x14ac:dyDescent="0.3">
      <c r="B703" s="28" t="str">
        <f t="shared" ca="1" si="31"/>
        <v/>
      </c>
      <c r="C703" s="29" t="str">
        <f t="shared" ca="1" si="32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0"/>
        <v>0</v>
      </c>
    </row>
    <row r="704" spans="2:12" x14ac:dyDescent="0.3">
      <c r="B704" s="28" t="str">
        <f t="shared" ca="1" si="31"/>
        <v/>
      </c>
      <c r="C704" s="29" t="str">
        <f t="shared" ca="1" si="32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0"/>
        <v>0</v>
      </c>
    </row>
    <row r="705" spans="2:12" x14ac:dyDescent="0.3">
      <c r="B705" s="28" t="str">
        <f t="shared" ca="1" si="31"/>
        <v/>
      </c>
      <c r="C705" s="29" t="str">
        <f t="shared" ca="1" si="32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0"/>
        <v>0</v>
      </c>
    </row>
    <row r="706" spans="2:12" x14ac:dyDescent="0.3">
      <c r="B706" s="28" t="str">
        <f t="shared" ca="1" si="31"/>
        <v/>
      </c>
      <c r="C706" s="29" t="str">
        <f t="shared" ca="1" si="32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0"/>
        <v>0</v>
      </c>
    </row>
    <row r="707" spans="2:12" x14ac:dyDescent="0.3">
      <c r="B707" s="28" t="str">
        <f t="shared" ca="1" si="31"/>
        <v/>
      </c>
      <c r="C707" s="29" t="str">
        <f t="shared" ca="1" si="32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0"/>
        <v>0</v>
      </c>
    </row>
    <row r="708" spans="2:12" x14ac:dyDescent="0.3">
      <c r="B708" s="28" t="str">
        <f t="shared" ca="1" si="31"/>
        <v/>
      </c>
      <c r="C708" s="29" t="str">
        <f t="shared" ca="1" si="32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0"/>
        <v>0</v>
      </c>
    </row>
    <row r="709" spans="2:12" x14ac:dyDescent="0.3">
      <c r="B709" s="28" t="str">
        <f t="shared" ca="1" si="31"/>
        <v/>
      </c>
      <c r="C709" s="29" t="str">
        <f t="shared" ca="1" si="32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0"/>
        <v>0</v>
      </c>
    </row>
    <row r="710" spans="2:12" x14ac:dyDescent="0.3">
      <c r="B710" s="28" t="str">
        <f t="shared" ca="1" si="31"/>
        <v/>
      </c>
      <c r="C710" s="29" t="str">
        <f t="shared" ca="1" si="32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0"/>
        <v>0</v>
      </c>
    </row>
    <row r="711" spans="2:12" x14ac:dyDescent="0.3">
      <c r="B711" s="28" t="str">
        <f t="shared" ca="1" si="31"/>
        <v/>
      </c>
      <c r="C711" s="29" t="str">
        <f t="shared" ca="1" si="32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ref="L711:L774" si="33">J711-I711-K711</f>
        <v>0</v>
      </c>
    </row>
    <row r="712" spans="2:12" x14ac:dyDescent="0.3">
      <c r="B712" s="28" t="str">
        <f t="shared" ref="B712:B775" ca="1" si="34">IF(D712&lt;&gt;"",DATE(Jahr,_xlfn.SHEET()-2,D712),"")</f>
        <v/>
      </c>
      <c r="C712" s="29" t="str">
        <f t="shared" ref="C712:C775" ca="1" si="35">B712</f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3"/>
        <v>0</v>
      </c>
    </row>
    <row r="713" spans="2:12" x14ac:dyDescent="0.3">
      <c r="B713" s="28" t="str">
        <f t="shared" ca="1" si="34"/>
        <v/>
      </c>
      <c r="C713" s="29" t="str">
        <f t="shared" ca="1" si="35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3"/>
        <v>0</v>
      </c>
    </row>
    <row r="714" spans="2:12" x14ac:dyDescent="0.3">
      <c r="B714" s="28" t="str">
        <f t="shared" ca="1" si="34"/>
        <v/>
      </c>
      <c r="C714" s="29" t="str">
        <f t="shared" ca="1" si="35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si="33"/>
        <v>0</v>
      </c>
    </row>
    <row r="715" spans="2:12" x14ac:dyDescent="0.3">
      <c r="B715" s="28" t="str">
        <f t="shared" ca="1" si="34"/>
        <v/>
      </c>
      <c r="C715" s="29" t="str">
        <f t="shared" ca="1" si="35"/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3"/>
        <v>0</v>
      </c>
    </row>
    <row r="763" spans="2:12" x14ac:dyDescent="0.3">
      <c r="B763" s="28" t="str">
        <f t="shared" ca="1" si="34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3"/>
        <v>0</v>
      </c>
    </row>
    <row r="764" spans="2:12" x14ac:dyDescent="0.3">
      <c r="B764" s="28" t="str">
        <f t="shared" ca="1" si="34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3"/>
        <v>0</v>
      </c>
    </row>
    <row r="765" spans="2:12" x14ac:dyDescent="0.3">
      <c r="B765" s="28" t="str">
        <f t="shared" ca="1" si="34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3"/>
        <v>0</v>
      </c>
    </row>
    <row r="766" spans="2:12" x14ac:dyDescent="0.3">
      <c r="B766" s="28" t="str">
        <f t="shared" ca="1" si="34"/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3"/>
        <v>0</v>
      </c>
    </row>
    <row r="767" spans="2:12" x14ac:dyDescent="0.3">
      <c r="B767" s="28" t="str">
        <f t="shared" ca="1" si="34"/>
        <v/>
      </c>
      <c r="C767" s="29" t="str">
        <f t="shared" ca="1" si="35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3"/>
        <v>0</v>
      </c>
    </row>
    <row r="768" spans="2:12" x14ac:dyDescent="0.3">
      <c r="B768" s="28" t="str">
        <f t="shared" ca="1" si="34"/>
        <v/>
      </c>
      <c r="C768" s="29" t="str">
        <f t="shared" ca="1" si="35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3"/>
        <v>0</v>
      </c>
    </row>
    <row r="769" spans="2:12" x14ac:dyDescent="0.3">
      <c r="B769" s="28" t="str">
        <f t="shared" ca="1" si="34"/>
        <v/>
      </c>
      <c r="C769" s="29" t="str">
        <f t="shared" ca="1" si="35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3"/>
        <v>0</v>
      </c>
    </row>
    <row r="770" spans="2:12" x14ac:dyDescent="0.3">
      <c r="B770" s="28" t="str">
        <f t="shared" ca="1" si="34"/>
        <v/>
      </c>
      <c r="C770" s="29" t="str">
        <f t="shared" ca="1" si="35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3"/>
        <v>0</v>
      </c>
    </row>
    <row r="771" spans="2:12" x14ac:dyDescent="0.3">
      <c r="B771" s="28" t="str">
        <f t="shared" ca="1" si="34"/>
        <v/>
      </c>
      <c r="C771" s="29" t="str">
        <f t="shared" ca="1" si="35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3"/>
        <v>0</v>
      </c>
    </row>
    <row r="772" spans="2:12" x14ac:dyDescent="0.3">
      <c r="B772" s="28" t="str">
        <f t="shared" ca="1" si="34"/>
        <v/>
      </c>
      <c r="C772" s="29" t="str">
        <f t="shared" ca="1" si="35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3"/>
        <v>0</v>
      </c>
    </row>
    <row r="773" spans="2:12" x14ac:dyDescent="0.3">
      <c r="B773" s="28" t="str">
        <f t="shared" ca="1" si="34"/>
        <v/>
      </c>
      <c r="C773" s="29" t="str">
        <f t="shared" ca="1" si="35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3"/>
        <v>0</v>
      </c>
    </row>
    <row r="774" spans="2:12" x14ac:dyDescent="0.3">
      <c r="B774" s="28" t="str">
        <f t="shared" ca="1" si="34"/>
        <v/>
      </c>
      <c r="C774" s="29" t="str">
        <f t="shared" ca="1" si="35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3"/>
        <v>0</v>
      </c>
    </row>
    <row r="775" spans="2:12" x14ac:dyDescent="0.3">
      <c r="B775" s="28" t="str">
        <f t="shared" ca="1" si="34"/>
        <v/>
      </c>
      <c r="C775" s="29" t="str">
        <f t="shared" ca="1" si="35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ref="L775:L838" si="36">J775-I775-K775</f>
        <v>0</v>
      </c>
    </row>
    <row r="776" spans="2:12" x14ac:dyDescent="0.3">
      <c r="B776" s="28" t="str">
        <f t="shared" ref="B776:B839" ca="1" si="37">IF(D776&lt;&gt;"",DATE(Jahr,_xlfn.SHEET()-2,D776),"")</f>
        <v/>
      </c>
      <c r="C776" s="29" t="str">
        <f t="shared" ref="C776:C839" ca="1" si="38">B776</f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6"/>
        <v>0</v>
      </c>
    </row>
    <row r="777" spans="2:12" x14ac:dyDescent="0.3">
      <c r="B777" s="28" t="str">
        <f t="shared" ca="1" si="37"/>
        <v/>
      </c>
      <c r="C777" s="29" t="str">
        <f t="shared" ca="1" si="38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6"/>
        <v>0</v>
      </c>
    </row>
    <row r="778" spans="2:12" x14ac:dyDescent="0.3">
      <c r="B778" s="28" t="str">
        <f t="shared" ca="1" si="37"/>
        <v/>
      </c>
      <c r="C778" s="29" t="str">
        <f t="shared" ca="1" si="38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si="36"/>
        <v>0</v>
      </c>
    </row>
    <row r="779" spans="2:12" x14ac:dyDescent="0.3">
      <c r="B779" s="28" t="str">
        <f t="shared" ca="1" si="37"/>
        <v/>
      </c>
      <c r="C779" s="29" t="str">
        <f t="shared" ca="1" si="38"/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6"/>
        <v>0</v>
      </c>
    </row>
    <row r="827" spans="2:12" x14ac:dyDescent="0.3">
      <c r="B827" s="28" t="str">
        <f t="shared" ca="1" si="37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6"/>
        <v>0</v>
      </c>
    </row>
    <row r="828" spans="2:12" x14ac:dyDescent="0.3">
      <c r="B828" s="28" t="str">
        <f t="shared" ca="1" si="37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6"/>
        <v>0</v>
      </c>
    </row>
    <row r="829" spans="2:12" x14ac:dyDescent="0.3">
      <c r="B829" s="28" t="str">
        <f t="shared" ca="1" si="37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6"/>
        <v>0</v>
      </c>
    </row>
    <row r="830" spans="2:12" x14ac:dyDescent="0.3">
      <c r="B830" s="28" t="str">
        <f t="shared" ca="1" si="37"/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6"/>
        <v>0</v>
      </c>
    </row>
    <row r="831" spans="2:12" x14ac:dyDescent="0.3">
      <c r="B831" s="28" t="str">
        <f t="shared" ca="1" si="37"/>
        <v/>
      </c>
      <c r="C831" s="29" t="str">
        <f t="shared" ca="1" si="38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6"/>
        <v>0</v>
      </c>
    </row>
    <row r="832" spans="2:12" x14ac:dyDescent="0.3">
      <c r="B832" s="28" t="str">
        <f t="shared" ca="1" si="37"/>
        <v/>
      </c>
      <c r="C832" s="29" t="str">
        <f t="shared" ca="1" si="38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6"/>
        <v>0</v>
      </c>
    </row>
    <row r="833" spans="2:12" x14ac:dyDescent="0.3">
      <c r="B833" s="28" t="str">
        <f t="shared" ca="1" si="37"/>
        <v/>
      </c>
      <c r="C833" s="29" t="str">
        <f t="shared" ca="1" si="38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6"/>
        <v>0</v>
      </c>
    </row>
    <row r="834" spans="2:12" x14ac:dyDescent="0.3">
      <c r="B834" s="28" t="str">
        <f t="shared" ca="1" si="37"/>
        <v/>
      </c>
      <c r="C834" s="29" t="str">
        <f t="shared" ca="1" si="38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6"/>
        <v>0</v>
      </c>
    </row>
    <row r="835" spans="2:12" x14ac:dyDescent="0.3">
      <c r="B835" s="28" t="str">
        <f t="shared" ca="1" si="37"/>
        <v/>
      </c>
      <c r="C835" s="29" t="str">
        <f t="shared" ca="1" si="38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6"/>
        <v>0</v>
      </c>
    </row>
    <row r="836" spans="2:12" x14ac:dyDescent="0.3">
      <c r="B836" s="28" t="str">
        <f t="shared" ca="1" si="37"/>
        <v/>
      </c>
      <c r="C836" s="29" t="str">
        <f t="shared" ca="1" si="38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6"/>
        <v>0</v>
      </c>
    </row>
    <row r="837" spans="2:12" x14ac:dyDescent="0.3">
      <c r="B837" s="28" t="str">
        <f t="shared" ca="1" si="37"/>
        <v/>
      </c>
      <c r="C837" s="29" t="str">
        <f t="shared" ca="1" si="38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6"/>
        <v>0</v>
      </c>
    </row>
    <row r="838" spans="2:12" x14ac:dyDescent="0.3">
      <c r="B838" s="28" t="str">
        <f t="shared" ca="1" si="37"/>
        <v/>
      </c>
      <c r="C838" s="29" t="str">
        <f t="shared" ca="1" si="38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6"/>
        <v>0</v>
      </c>
    </row>
    <row r="839" spans="2:12" x14ac:dyDescent="0.3">
      <c r="B839" s="28" t="str">
        <f t="shared" ca="1" si="37"/>
        <v/>
      </c>
      <c r="C839" s="29" t="str">
        <f t="shared" ca="1" si="38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ref="L839:L902" si="39">J839-I839-K839</f>
        <v>0</v>
      </c>
    </row>
    <row r="840" spans="2:12" x14ac:dyDescent="0.3">
      <c r="B840" s="28" t="str">
        <f t="shared" ref="B840:B903" ca="1" si="40">IF(D840&lt;&gt;"",DATE(Jahr,_xlfn.SHEET()-2,D840),"")</f>
        <v/>
      </c>
      <c r="C840" s="29" t="str">
        <f t="shared" ref="C840:C903" ca="1" si="41">B840</f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9"/>
        <v>0</v>
      </c>
    </row>
    <row r="841" spans="2:12" x14ac:dyDescent="0.3">
      <c r="B841" s="28" t="str">
        <f t="shared" ca="1" si="40"/>
        <v/>
      </c>
      <c r="C841" s="29" t="str">
        <f t="shared" ca="1" si="41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9"/>
        <v>0</v>
      </c>
    </row>
    <row r="842" spans="2:12" x14ac:dyDescent="0.3">
      <c r="B842" s="28" t="str">
        <f t="shared" ca="1" si="40"/>
        <v/>
      </c>
      <c r="C842" s="29" t="str">
        <f t="shared" ca="1" si="41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si="39"/>
        <v>0</v>
      </c>
    </row>
    <row r="843" spans="2:12" x14ac:dyDescent="0.3">
      <c r="B843" s="28" t="str">
        <f t="shared" ca="1" si="40"/>
        <v/>
      </c>
      <c r="C843" s="29" t="str">
        <f t="shared" ca="1" si="41"/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39"/>
        <v>0</v>
      </c>
    </row>
    <row r="891" spans="2:12" x14ac:dyDescent="0.3">
      <c r="B891" s="28" t="str">
        <f t="shared" ca="1" si="40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39"/>
        <v>0</v>
      </c>
    </row>
    <row r="892" spans="2:12" x14ac:dyDescent="0.3">
      <c r="B892" s="28" t="str">
        <f t="shared" ca="1" si="40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39"/>
        <v>0</v>
      </c>
    </row>
    <row r="893" spans="2:12" x14ac:dyDescent="0.3">
      <c r="B893" s="28" t="str">
        <f t="shared" ca="1" si="40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39"/>
        <v>0</v>
      </c>
    </row>
    <row r="894" spans="2:12" x14ac:dyDescent="0.3">
      <c r="B894" s="28" t="str">
        <f t="shared" ca="1" si="40"/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39"/>
        <v>0</v>
      </c>
    </row>
    <row r="895" spans="2:12" x14ac:dyDescent="0.3">
      <c r="B895" s="28" t="str">
        <f t="shared" ca="1" si="40"/>
        <v/>
      </c>
      <c r="C895" s="29" t="str">
        <f t="shared" ca="1" si="41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39"/>
        <v>0</v>
      </c>
    </row>
    <row r="896" spans="2:12" x14ac:dyDescent="0.3">
      <c r="B896" s="28" t="str">
        <f t="shared" ca="1" si="40"/>
        <v/>
      </c>
      <c r="C896" s="29" t="str">
        <f t="shared" ca="1" si="41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39"/>
        <v>0</v>
      </c>
    </row>
    <row r="897" spans="2:12" x14ac:dyDescent="0.3">
      <c r="B897" s="28" t="str">
        <f t="shared" ca="1" si="40"/>
        <v/>
      </c>
      <c r="C897" s="29" t="str">
        <f t="shared" ca="1" si="41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39"/>
        <v>0</v>
      </c>
    </row>
    <row r="898" spans="2:12" x14ac:dyDescent="0.3">
      <c r="B898" s="28" t="str">
        <f t="shared" ca="1" si="40"/>
        <v/>
      </c>
      <c r="C898" s="29" t="str">
        <f t="shared" ca="1" si="41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39"/>
        <v>0</v>
      </c>
    </row>
    <row r="899" spans="2:12" x14ac:dyDescent="0.3">
      <c r="B899" s="28" t="str">
        <f t="shared" ca="1" si="40"/>
        <v/>
      </c>
      <c r="C899" s="29" t="str">
        <f t="shared" ca="1" si="41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39"/>
        <v>0</v>
      </c>
    </row>
    <row r="900" spans="2:12" x14ac:dyDescent="0.3">
      <c r="B900" s="28" t="str">
        <f t="shared" ca="1" si="40"/>
        <v/>
      </c>
      <c r="C900" s="29" t="str">
        <f t="shared" ca="1" si="41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39"/>
        <v>0</v>
      </c>
    </row>
    <row r="901" spans="2:12" x14ac:dyDescent="0.3">
      <c r="B901" s="28" t="str">
        <f t="shared" ca="1" si="40"/>
        <v/>
      </c>
      <c r="C901" s="29" t="str">
        <f t="shared" ca="1" si="41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39"/>
        <v>0</v>
      </c>
    </row>
    <row r="902" spans="2:12" x14ac:dyDescent="0.3">
      <c r="B902" s="28" t="str">
        <f t="shared" ca="1" si="40"/>
        <v/>
      </c>
      <c r="C902" s="29" t="str">
        <f t="shared" ca="1" si="41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39"/>
        <v>0</v>
      </c>
    </row>
    <row r="903" spans="2:12" x14ac:dyDescent="0.3">
      <c r="B903" s="28" t="str">
        <f t="shared" ca="1" si="40"/>
        <v/>
      </c>
      <c r="C903" s="29" t="str">
        <f t="shared" ca="1" si="41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ref="L903:L966" si="42">J903-I903-K903</f>
        <v>0</v>
      </c>
    </row>
    <row r="904" spans="2:12" x14ac:dyDescent="0.3">
      <c r="B904" s="28" t="str">
        <f t="shared" ref="B904:B967" ca="1" si="43">IF(D904&lt;&gt;"",DATE(Jahr,_xlfn.SHEET()-2,D904),"")</f>
        <v/>
      </c>
      <c r="C904" s="29" t="str">
        <f t="shared" ref="C904:C967" ca="1" si="44">B904</f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42"/>
        <v>0</v>
      </c>
    </row>
    <row r="905" spans="2:12" x14ac:dyDescent="0.3">
      <c r="B905" s="28" t="str">
        <f t="shared" ca="1" si="43"/>
        <v/>
      </c>
      <c r="C905" s="29" t="str">
        <f t="shared" ca="1" si="44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42"/>
        <v>0</v>
      </c>
    </row>
    <row r="906" spans="2:12" x14ac:dyDescent="0.3">
      <c r="B906" s="28" t="str">
        <f t="shared" ca="1" si="43"/>
        <v/>
      </c>
      <c r="C906" s="29" t="str">
        <f t="shared" ca="1" si="44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si="42"/>
        <v>0</v>
      </c>
    </row>
    <row r="907" spans="2:12" x14ac:dyDescent="0.3">
      <c r="B907" s="28" t="str">
        <f t="shared" ca="1" si="43"/>
        <v/>
      </c>
      <c r="C907" s="29" t="str">
        <f t="shared" ca="1" si="44"/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2"/>
        <v>0</v>
      </c>
    </row>
    <row r="955" spans="2:12" x14ac:dyDescent="0.3">
      <c r="B955" s="28" t="str">
        <f t="shared" ca="1" si="43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2"/>
        <v>0</v>
      </c>
    </row>
    <row r="956" spans="2:12" x14ac:dyDescent="0.3">
      <c r="B956" s="28" t="str">
        <f t="shared" ca="1" si="43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2"/>
        <v>0</v>
      </c>
    </row>
    <row r="957" spans="2:12" x14ac:dyDescent="0.3">
      <c r="B957" s="28" t="str">
        <f t="shared" ca="1" si="43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2"/>
        <v>0</v>
      </c>
    </row>
    <row r="958" spans="2:12" x14ac:dyDescent="0.3">
      <c r="B958" s="28" t="str">
        <f t="shared" ca="1" si="43"/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2"/>
        <v>0</v>
      </c>
    </row>
    <row r="959" spans="2:12" x14ac:dyDescent="0.3">
      <c r="B959" s="28" t="str">
        <f t="shared" ca="1" si="43"/>
        <v/>
      </c>
      <c r="C959" s="29" t="str">
        <f t="shared" ca="1" si="44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2"/>
        <v>0</v>
      </c>
    </row>
    <row r="960" spans="2:12" x14ac:dyDescent="0.3">
      <c r="B960" s="28" t="str">
        <f t="shared" ca="1" si="43"/>
        <v/>
      </c>
      <c r="C960" s="29" t="str">
        <f t="shared" ca="1" si="44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2"/>
        <v>0</v>
      </c>
    </row>
    <row r="961" spans="2:12" x14ac:dyDescent="0.3">
      <c r="B961" s="28" t="str">
        <f t="shared" ca="1" si="43"/>
        <v/>
      </c>
      <c r="C961" s="29" t="str">
        <f t="shared" ca="1" si="44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2"/>
        <v>0</v>
      </c>
    </row>
    <row r="962" spans="2:12" x14ac:dyDescent="0.3">
      <c r="B962" s="28" t="str">
        <f t="shared" ca="1" si="43"/>
        <v/>
      </c>
      <c r="C962" s="29" t="str">
        <f t="shared" ca="1" si="44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2"/>
        <v>0</v>
      </c>
    </row>
    <row r="963" spans="2:12" x14ac:dyDescent="0.3">
      <c r="B963" s="28" t="str">
        <f t="shared" ca="1" si="43"/>
        <v/>
      </c>
      <c r="C963" s="29" t="str">
        <f t="shared" ca="1" si="44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2"/>
        <v>0</v>
      </c>
    </row>
    <row r="964" spans="2:12" x14ac:dyDescent="0.3">
      <c r="B964" s="28" t="str">
        <f t="shared" ca="1" si="43"/>
        <v/>
      </c>
      <c r="C964" s="29" t="str">
        <f t="shared" ca="1" si="44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2"/>
        <v>0</v>
      </c>
    </row>
    <row r="965" spans="2:12" x14ac:dyDescent="0.3">
      <c r="B965" s="28" t="str">
        <f t="shared" ca="1" si="43"/>
        <v/>
      </c>
      <c r="C965" s="29" t="str">
        <f t="shared" ca="1" si="44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2"/>
        <v>0</v>
      </c>
    </row>
    <row r="966" spans="2:12" x14ac:dyDescent="0.3">
      <c r="B966" s="28" t="str">
        <f t="shared" ca="1" si="43"/>
        <v/>
      </c>
      <c r="C966" s="29" t="str">
        <f t="shared" ca="1" si="44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2"/>
        <v>0</v>
      </c>
    </row>
    <row r="967" spans="2:12" x14ac:dyDescent="0.3">
      <c r="B967" s="28" t="str">
        <f t="shared" ca="1" si="43"/>
        <v/>
      </c>
      <c r="C967" s="29" t="str">
        <f t="shared" ca="1" si="44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ref="L967:L996" si="45">J967-I967-K967</f>
        <v>0</v>
      </c>
    </row>
    <row r="968" spans="2:12" x14ac:dyDescent="0.3">
      <c r="B968" s="28" t="str">
        <f t="shared" ref="B968:B996" ca="1" si="46">IF(D968&lt;&gt;"",DATE(Jahr,_xlfn.SHEET()-2,D968),"")</f>
        <v/>
      </c>
      <c r="C968" s="29" t="str">
        <f t="shared" ref="C968:C996" ca="1" si="47">B968</f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5"/>
        <v>0</v>
      </c>
    </row>
    <row r="969" spans="2:12" x14ac:dyDescent="0.3">
      <c r="B969" s="28" t="str">
        <f t="shared" ca="1" si="46"/>
        <v/>
      </c>
      <c r="C969" s="29" t="str">
        <f t="shared" ca="1" si="47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5"/>
        <v>0</v>
      </c>
    </row>
    <row r="970" spans="2:12" x14ac:dyDescent="0.3">
      <c r="B970" s="28" t="str">
        <f t="shared" ca="1" si="46"/>
        <v/>
      </c>
      <c r="C970" s="29" t="str">
        <f t="shared" ca="1" si="47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si="45"/>
        <v>0</v>
      </c>
    </row>
    <row r="971" spans="2:12" x14ac:dyDescent="0.3">
      <c r="B971" s="28" t="str">
        <f t="shared" ca="1" si="46"/>
        <v/>
      </c>
      <c r="C971" s="29" t="str">
        <f t="shared" ca="1" si="47"/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5"/>
        <v>0</v>
      </c>
    </row>
    <row r="972" spans="2:12" x14ac:dyDescent="0.3">
      <c r="B972" s="28" t="str">
        <f t="shared" ca="1" si="46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5"/>
        <v>0</v>
      </c>
    </row>
    <row r="973" spans="2:12" x14ac:dyDescent="0.3">
      <c r="B973" s="28" t="str">
        <f t="shared" ca="1" si="46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5"/>
        <v>0</v>
      </c>
    </row>
    <row r="974" spans="2:12" x14ac:dyDescent="0.3">
      <c r="B974" s="28" t="str">
        <f t="shared" ca="1" si="46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5"/>
        <v>0</v>
      </c>
    </row>
    <row r="975" spans="2:12" x14ac:dyDescent="0.3">
      <c r="B975" s="28" t="str">
        <f t="shared" ca="1" si="46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5"/>
        <v>0</v>
      </c>
    </row>
    <row r="976" spans="2:12" x14ac:dyDescent="0.3">
      <c r="B976" s="28" t="str">
        <f t="shared" ca="1" si="46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5"/>
        <v>0</v>
      </c>
    </row>
    <row r="977" spans="2:12" x14ac:dyDescent="0.3">
      <c r="B977" s="28" t="str">
        <f t="shared" ca="1" si="46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3" spans="2:12" x14ac:dyDescent="0.3">
      <c r="B983" s="28" t="str">
        <f t="shared" ca="1" si="46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B984" s="28" t="str">
        <f t="shared" ca="1" si="46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5"/>
        <v>0</v>
      </c>
    </row>
    <row r="985" spans="2:12" x14ac:dyDescent="0.3">
      <c r="B985" s="28" t="str">
        <f t="shared" ca="1" si="46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5"/>
        <v>0</v>
      </c>
    </row>
    <row r="986" spans="2:12" x14ac:dyDescent="0.3">
      <c r="B986" s="28" t="str">
        <f t="shared" ca="1" si="46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5"/>
        <v>0</v>
      </c>
    </row>
    <row r="987" spans="2:12" x14ac:dyDescent="0.3">
      <c r="B987" s="28" t="str">
        <f t="shared" ca="1" si="46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5"/>
        <v>0</v>
      </c>
    </row>
    <row r="988" spans="2:12" x14ac:dyDescent="0.3">
      <c r="B988" s="28" t="str">
        <f t="shared" ca="1" si="46"/>
        <v/>
      </c>
      <c r="C988" s="29" t="str">
        <f t="shared" ca="1" si="47"/>
        <v/>
      </c>
      <c r="D988" s="57"/>
      <c r="E988" s="57"/>
      <c r="F988" s="57"/>
      <c r="G988" s="58"/>
      <c r="H988" s="58"/>
      <c r="I988" s="59"/>
      <c r="J988" s="59"/>
      <c r="K988" s="59"/>
      <c r="L988" s="5">
        <f t="shared" si="45"/>
        <v>0</v>
      </c>
    </row>
    <row r="989" spans="2:12" x14ac:dyDescent="0.3">
      <c r="B989" s="28" t="str">
        <f t="shared" ca="1" si="46"/>
        <v/>
      </c>
      <c r="C989" s="29" t="str">
        <f t="shared" ca="1" si="47"/>
        <v/>
      </c>
      <c r="D989" s="57"/>
      <c r="E989" s="57"/>
      <c r="F989" s="57"/>
      <c r="G989" s="58"/>
      <c r="H989" s="58"/>
      <c r="I989" s="59"/>
      <c r="J989" s="59"/>
      <c r="K989" s="59"/>
      <c r="L989" s="5">
        <f t="shared" si="45"/>
        <v>0</v>
      </c>
    </row>
    <row r="990" spans="2:12" x14ac:dyDescent="0.3">
      <c r="B990" s="28" t="str">
        <f t="shared" ca="1" si="46"/>
        <v/>
      </c>
      <c r="C990" s="29" t="str">
        <f t="shared" ca="1" si="47"/>
        <v/>
      </c>
      <c r="D990" s="57"/>
      <c r="E990" s="57"/>
      <c r="F990" s="57"/>
      <c r="G990" s="58"/>
      <c r="H990" s="58"/>
      <c r="I990" s="59"/>
      <c r="J990" s="59"/>
      <c r="K990" s="59"/>
      <c r="L990" s="5">
        <f t="shared" si="45"/>
        <v>0</v>
      </c>
    </row>
    <row r="991" spans="2:12" x14ac:dyDescent="0.3">
      <c r="B991" s="28" t="str">
        <f t="shared" ca="1" si="46"/>
        <v/>
      </c>
      <c r="C991" s="29" t="str">
        <f t="shared" ca="1" si="47"/>
        <v/>
      </c>
      <c r="D991" s="57"/>
      <c r="E991" s="57"/>
      <c r="F991" s="57"/>
      <c r="G991" s="58"/>
      <c r="H991" s="58"/>
      <c r="I991" s="59"/>
      <c r="J991" s="59"/>
      <c r="K991" s="59"/>
      <c r="L991" s="5">
        <f t="shared" si="45"/>
        <v>0</v>
      </c>
    </row>
    <row r="992" spans="2:12" x14ac:dyDescent="0.3">
      <c r="B992" s="28" t="str">
        <f t="shared" ca="1" si="46"/>
        <v/>
      </c>
      <c r="C992" s="29" t="str">
        <f t="shared" ca="1" si="47"/>
        <v/>
      </c>
      <c r="D992" s="57"/>
      <c r="E992" s="57"/>
      <c r="F992" s="57"/>
      <c r="G992" s="58"/>
      <c r="H992" s="58"/>
      <c r="I992" s="59"/>
      <c r="J992" s="59"/>
      <c r="K992" s="59"/>
      <c r="L992" s="5">
        <f t="shared" si="45"/>
        <v>0</v>
      </c>
    </row>
    <row r="993" spans="2:12" x14ac:dyDescent="0.3">
      <c r="B993" s="28" t="str">
        <f t="shared" ca="1" si="46"/>
        <v/>
      </c>
      <c r="C993" s="29" t="str">
        <f t="shared" ca="1" si="47"/>
        <v/>
      </c>
      <c r="D993" s="57"/>
      <c r="E993" s="57"/>
      <c r="F993" s="57"/>
      <c r="G993" s="58"/>
      <c r="H993" s="58"/>
      <c r="I993" s="59"/>
      <c r="J993" s="59"/>
      <c r="K993" s="59"/>
      <c r="L993" s="5">
        <f t="shared" si="45"/>
        <v>0</v>
      </c>
    </row>
    <row r="994" spans="2:12" x14ac:dyDescent="0.3">
      <c r="B994" s="28" t="str">
        <f t="shared" ca="1" si="46"/>
        <v/>
      </c>
      <c r="C994" s="29" t="str">
        <f t="shared" ca="1" si="47"/>
        <v/>
      </c>
      <c r="D994" s="57"/>
      <c r="E994" s="57"/>
      <c r="F994" s="57"/>
      <c r="G994" s="58"/>
      <c r="H994" s="58"/>
      <c r="I994" s="59"/>
      <c r="J994" s="59"/>
      <c r="K994" s="59"/>
      <c r="L994" s="5">
        <f t="shared" si="45"/>
        <v>0</v>
      </c>
    </row>
    <row r="995" spans="2:12" x14ac:dyDescent="0.3">
      <c r="B995" s="28" t="str">
        <f t="shared" ca="1" si="46"/>
        <v/>
      </c>
      <c r="C995" s="29" t="str">
        <f t="shared" ca="1" si="47"/>
        <v/>
      </c>
      <c r="D995" s="57"/>
      <c r="E995" s="57"/>
      <c r="F995" s="57"/>
      <c r="G995" s="58"/>
      <c r="H995" s="58"/>
      <c r="I995" s="59"/>
      <c r="J995" s="59"/>
      <c r="K995" s="59"/>
      <c r="L995" s="5">
        <f t="shared" si="45"/>
        <v>0</v>
      </c>
    </row>
    <row r="996" spans="2:12" x14ac:dyDescent="0.3">
      <c r="B996" s="28" t="str">
        <f t="shared" ca="1" si="46"/>
        <v/>
      </c>
      <c r="C996" s="29" t="str">
        <f t="shared" ca="1" si="47"/>
        <v/>
      </c>
      <c r="D996" s="57"/>
      <c r="E996" s="57"/>
      <c r="F996" s="57"/>
      <c r="G996" s="58"/>
      <c r="H996" s="58"/>
      <c r="I996" s="59"/>
      <c r="J996" s="59"/>
      <c r="K996" s="59"/>
      <c r="L996" s="5">
        <f t="shared" si="45"/>
        <v>0</v>
      </c>
    </row>
  </sheetData>
  <autoFilter ref="B8:L996" xr:uid="{00000000-0009-0000-0000-00000A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96">
    <cfRule type="expression" dxfId="27" priority="1">
      <formula>AND($D9&lt;&gt;"",NOT(ISNUMBER($D9)))</formula>
    </cfRule>
    <cfRule type="expression" dxfId="26" priority="2">
      <formula>OR($D9&lt;=0,DAY(DATE(YEAR($C9),MONTH($C9)+1,1)-1) &lt;$D9)</formula>
    </cfRule>
    <cfRule type="expression" dxfId="24" priority="4">
      <formula>AND($D9&lt;&gt;"",WEEKDAY($B9,2)=6)</formula>
    </cfRule>
    <cfRule type="expression" dxfId="23" priority="5">
      <formula>AND($D9&lt;&gt;"",WEEKDAY($B9,2)=7)</formula>
    </cfRule>
    <cfRule type="expression" dxfId="22" priority="6">
      <formula>AND($D9&lt;&gt;"",WEEKDAY($B9,2)&lt;6)</formula>
    </cfRule>
  </conditionalFormatting>
  <dataValidations count="2">
    <dataValidation type="list" allowBlank="1" showInputMessage="1" showErrorMessage="1" sqref="F9:F996" xr:uid="{631A28BE-16F5-460E-A58A-F7E1241BC821}">
      <formula1>Projektnamen</formula1>
    </dataValidation>
    <dataValidation type="list" allowBlank="1" showInputMessage="1" showErrorMessage="1" sqref="G9:G996" xr:uid="{F18EB5B5-6212-4597-BD9C-60796E8F177E}">
      <formula1>Arbeitspakete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7CDAA2CB-D227-4C8A-B784-139BB1941E75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B9:B996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T999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28" sqref="G28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SUM(L9:L999)*24</f>
        <v>0</v>
      </c>
    </row>
    <row r="5" spans="2:12" x14ac:dyDescent="0.3">
      <c r="B5" t="s">
        <v>67</v>
      </c>
      <c r="D5" t="str">
        <f ca="1">TEXT("1. "&amp;_xlfn.SHEET()-2,"MMMM")</f>
        <v>Oktober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-142.99999999999997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72" si="0">J9-I9-K9</f>
        <v>0</v>
      </c>
    </row>
    <row r="10" spans="2:12" x14ac:dyDescent="0.3">
      <c r="B10" s="28" t="str">
        <f t="shared" ref="B10:B72" ca="1" si="1">IF(D10&lt;&gt;"",DATE(Jahr,_xlfn.SHEET()-2,D10),"")</f>
        <v/>
      </c>
      <c r="C10" s="29" t="str">
        <f t="shared" ref="C10:C72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ca="1">IF(D11&lt;&gt;"",DATE(Jahr,_xlfn.SHEET()-2,D11),"")</f>
        <v/>
      </c>
      <c r="C11" s="29" t="str">
        <f ca="1">B11</f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  <c r="T28" s="88"/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  <c r="T29" s="89"/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  <c r="T30" s="89"/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  <c r="T31" s="89"/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  <c r="T32" s="89"/>
    </row>
    <row r="33" spans="2:20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  <c r="T33" s="89"/>
    </row>
    <row r="34" spans="2:20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  <c r="T34" s="90"/>
    </row>
    <row r="35" spans="2:20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20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  <c r="T36" s="91"/>
    </row>
    <row r="37" spans="2:20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</row>
    <row r="38" spans="2:20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</row>
    <row r="39" spans="2:20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</row>
    <row r="40" spans="2:20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0"/>
        <v>0</v>
      </c>
    </row>
    <row r="41" spans="2:20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20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0"/>
        <v>0</v>
      </c>
    </row>
    <row r="43" spans="2:20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20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20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20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20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20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t="shared" ca="1" si="1"/>
        <v/>
      </c>
      <c r="C63" s="29" t="str">
        <f t="shared" ca="1" si="2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0"/>
        <v>0</v>
      </c>
    </row>
    <row r="64" spans="2:12" x14ac:dyDescent="0.3">
      <c r="B64" s="28" t="str">
        <f t="shared" ca="1" si="1"/>
        <v/>
      </c>
      <c r="C64" s="29" t="str">
        <f t="shared" ca="1" si="2"/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0"/>
        <v>0</v>
      </c>
    </row>
    <row r="65" spans="2:12" x14ac:dyDescent="0.3">
      <c r="B65" s="28" t="str">
        <f t="shared" ca="1" si="1"/>
        <v/>
      </c>
      <c r="C65" s="29" t="str">
        <f t="shared" ca="1" si="2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0"/>
        <v>0</v>
      </c>
    </row>
    <row r="66" spans="2:12" x14ac:dyDescent="0.3">
      <c r="B66" s="28" t="str">
        <f t="shared" ca="1" si="1"/>
        <v/>
      </c>
      <c r="C66" s="29" t="str">
        <f t="shared" ca="1" si="2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0"/>
        <v>0</v>
      </c>
    </row>
    <row r="67" spans="2:12" x14ac:dyDescent="0.3">
      <c r="B67" s="28" t="str">
        <f t="shared" ca="1" si="1"/>
        <v/>
      </c>
      <c r="C67" s="29" t="str">
        <f t="shared" ca="1" si="2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0"/>
        <v>0</v>
      </c>
    </row>
    <row r="68" spans="2:12" x14ac:dyDescent="0.3">
      <c r="B68" s="28" t="str">
        <f t="shared" ca="1" si="1"/>
        <v/>
      </c>
      <c r="C68" s="29" t="str">
        <f t="shared" ca="1" si="2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0"/>
        <v>0</v>
      </c>
    </row>
    <row r="69" spans="2:12" x14ac:dyDescent="0.3">
      <c r="B69" s="28" t="str">
        <f t="shared" ca="1" si="1"/>
        <v/>
      </c>
      <c r="C69" s="29" t="str">
        <f t="shared" ca="1" si="2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0"/>
        <v>0</v>
      </c>
    </row>
    <row r="70" spans="2:12" x14ac:dyDescent="0.3">
      <c r="B70" s="28" t="str">
        <f t="shared" ca="1" si="1"/>
        <v/>
      </c>
      <c r="C70" s="29" t="str">
        <f t="shared" ca="1" si="2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0"/>
        <v>0</v>
      </c>
    </row>
    <row r="71" spans="2:12" x14ac:dyDescent="0.3">
      <c r="B71" s="28" t="str">
        <f t="shared" ca="1" si="1"/>
        <v/>
      </c>
      <c r="C71" s="29" t="str">
        <f t="shared" ca="1" si="2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0"/>
        <v>0</v>
      </c>
    </row>
    <row r="72" spans="2:12" x14ac:dyDescent="0.3">
      <c r="B72" s="28" t="str">
        <f t="shared" ca="1" si="1"/>
        <v/>
      </c>
      <c r="C72" s="29" t="str">
        <f t="shared" ca="1" si="2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0"/>
        <v>0</v>
      </c>
    </row>
    <row r="73" spans="2:12" x14ac:dyDescent="0.3">
      <c r="B73" s="28" t="str">
        <f ca="1">IF(D73&lt;&gt;"",DATE(Jahr,_xlfn.SHEET()-2,D73),"")</f>
        <v/>
      </c>
      <c r="C73" s="29" t="str">
        <f ca="1">B73</f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ref="L73:L137" si="3">J73-I73-K73</f>
        <v>0</v>
      </c>
    </row>
    <row r="74" spans="2:12" x14ac:dyDescent="0.3">
      <c r="B74" s="28" t="str">
        <f t="shared" ref="B74:B138" ca="1" si="4">IF(D74&lt;&gt;"",DATE(Jahr,_xlfn.SHEET()-2,D74),"")</f>
        <v/>
      </c>
      <c r="C74" s="29" t="str">
        <f t="shared" ref="C74:C138" ca="1" si="5">B74</f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3"/>
        <v>0</v>
      </c>
    </row>
    <row r="75" spans="2:12" x14ac:dyDescent="0.3">
      <c r="B75" s="28" t="str">
        <f t="shared" ca="1" si="4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3"/>
        <v>0</v>
      </c>
    </row>
    <row r="76" spans="2:12" x14ac:dyDescent="0.3">
      <c r="B76" s="28" t="str">
        <f t="shared" ca="1" si="4"/>
        <v/>
      </c>
      <c r="C76" s="29" t="str">
        <f t="shared" ca="1" si="5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3"/>
        <v>0</v>
      </c>
    </row>
    <row r="77" spans="2:12" x14ac:dyDescent="0.3">
      <c r="B77" s="28" t="str">
        <f t="shared" ca="1" si="4"/>
        <v/>
      </c>
      <c r="C77" s="29" t="str">
        <f t="shared" ca="1" si="5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3"/>
        <v>0</v>
      </c>
    </row>
    <row r="78" spans="2:12" x14ac:dyDescent="0.3">
      <c r="B78" s="28" t="str">
        <f t="shared" ca="1" si="4"/>
        <v/>
      </c>
      <c r="C78" s="29" t="str">
        <f t="shared" ca="1" si="5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3"/>
        <v>0</v>
      </c>
    </row>
    <row r="79" spans="2:12" x14ac:dyDescent="0.3">
      <c r="B79" s="28" t="str">
        <f t="shared" ca="1" si="4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t="shared" ca="1" si="4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ca="1">IF(D86&lt;&gt;"",DATE(Jahr,_xlfn.SHEET()-2,D86),"")</f>
        <v/>
      </c>
      <c r="C86" s="29" t="str">
        <f ca="1">B86</f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3"/>
        <v>0</v>
      </c>
    </row>
    <row r="123" spans="2:12" x14ac:dyDescent="0.3">
      <c r="B123" s="28" t="str">
        <f t="shared" ca="1" si="4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3"/>
        <v>0</v>
      </c>
    </row>
    <row r="124" spans="2:12" x14ac:dyDescent="0.3">
      <c r="B124" s="28" t="str">
        <f t="shared" ca="1" si="4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3"/>
        <v>0</v>
      </c>
    </row>
    <row r="125" spans="2:12" x14ac:dyDescent="0.3">
      <c r="B125" s="28" t="str">
        <f t="shared" ca="1" si="4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3"/>
        <v>0</v>
      </c>
    </row>
    <row r="126" spans="2:12" x14ac:dyDescent="0.3">
      <c r="B126" s="28" t="str">
        <f t="shared" ca="1" si="4"/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3"/>
        <v>0</v>
      </c>
    </row>
    <row r="127" spans="2:12" x14ac:dyDescent="0.3">
      <c r="B127" s="28" t="str">
        <f t="shared" ca="1" si="4"/>
        <v/>
      </c>
      <c r="C127" s="29" t="str">
        <f t="shared" ca="1" si="5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3"/>
        <v>0</v>
      </c>
    </row>
    <row r="128" spans="2:12" x14ac:dyDescent="0.3">
      <c r="B128" s="28" t="str">
        <f t="shared" ca="1" si="4"/>
        <v/>
      </c>
      <c r="C128" s="29" t="str">
        <f t="shared" ca="1" si="5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3"/>
        <v>0</v>
      </c>
    </row>
    <row r="129" spans="2:12" x14ac:dyDescent="0.3">
      <c r="B129" s="28" t="str">
        <f t="shared" ca="1" si="4"/>
        <v/>
      </c>
      <c r="C129" s="29" t="str">
        <f t="shared" ca="1" si="5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3"/>
        <v>0</v>
      </c>
    </row>
    <row r="130" spans="2:12" x14ac:dyDescent="0.3">
      <c r="B130" s="28" t="str">
        <f t="shared" ca="1" si="4"/>
        <v/>
      </c>
      <c r="C130" s="29" t="str">
        <f t="shared" ca="1" si="5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3"/>
        <v>0</v>
      </c>
    </row>
    <row r="131" spans="2:12" x14ac:dyDescent="0.3">
      <c r="B131" s="28" t="str">
        <f t="shared" ca="1" si="4"/>
        <v/>
      </c>
      <c r="C131" s="29" t="str">
        <f t="shared" ca="1" si="5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3"/>
        <v>0</v>
      </c>
    </row>
    <row r="132" spans="2:12" x14ac:dyDescent="0.3">
      <c r="B132" s="28" t="str">
        <f t="shared" ca="1" si="4"/>
        <v/>
      </c>
      <c r="C132" s="29" t="str">
        <f t="shared" ca="1" si="5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3"/>
        <v>0</v>
      </c>
    </row>
    <row r="133" spans="2:12" x14ac:dyDescent="0.3">
      <c r="B133" s="28" t="str">
        <f t="shared" ca="1" si="4"/>
        <v/>
      </c>
      <c r="C133" s="29" t="str">
        <f t="shared" ca="1" si="5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3"/>
        <v>0</v>
      </c>
    </row>
    <row r="134" spans="2:12" x14ac:dyDescent="0.3">
      <c r="B134" s="28" t="str">
        <f t="shared" ca="1" si="4"/>
        <v/>
      </c>
      <c r="C134" s="29" t="str">
        <f t="shared" ca="1" si="5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3"/>
        <v>0</v>
      </c>
    </row>
    <row r="135" spans="2:12" x14ac:dyDescent="0.3">
      <c r="B135" s="28" t="str">
        <f t="shared" ca="1" si="4"/>
        <v/>
      </c>
      <c r="C135" s="29" t="str">
        <f t="shared" ca="1" si="5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3"/>
        <v>0</v>
      </c>
    </row>
    <row r="136" spans="2:12" x14ac:dyDescent="0.3">
      <c r="B136" s="28" t="str">
        <f t="shared" ca="1" si="4"/>
        <v/>
      </c>
      <c r="C136" s="29" t="str">
        <f t="shared" ca="1" si="5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3"/>
        <v>0</v>
      </c>
    </row>
    <row r="137" spans="2:12" x14ac:dyDescent="0.3">
      <c r="B137" s="28" t="str">
        <f t="shared" ca="1" si="4"/>
        <v/>
      </c>
      <c r="C137" s="29" t="str">
        <f t="shared" ca="1" si="5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3"/>
        <v>0</v>
      </c>
    </row>
    <row r="138" spans="2:12" x14ac:dyDescent="0.3">
      <c r="B138" s="28" t="str">
        <f t="shared" ca="1" si="4"/>
        <v/>
      </c>
      <c r="C138" s="29" t="str">
        <f t="shared" ca="1" si="5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ref="L138:L201" si="6">J138-I138-K138</f>
        <v>0</v>
      </c>
    </row>
    <row r="139" spans="2:12" x14ac:dyDescent="0.3">
      <c r="B139" s="28" t="str">
        <f t="shared" ref="B139:B202" ca="1" si="7">IF(D139&lt;&gt;"",DATE(Jahr,_xlfn.SHEET()-2,D139),"")</f>
        <v/>
      </c>
      <c r="C139" s="29" t="str">
        <f t="shared" ref="C139:C202" ca="1" si="8">B139</f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6"/>
        <v>0</v>
      </c>
    </row>
    <row r="187" spans="2:12" x14ac:dyDescent="0.3">
      <c r="B187" s="28" t="str">
        <f t="shared" ca="1" si="7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6"/>
        <v>0</v>
      </c>
    </row>
    <row r="188" spans="2:12" x14ac:dyDescent="0.3">
      <c r="B188" s="28" t="str">
        <f t="shared" ca="1" si="7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6"/>
        <v>0</v>
      </c>
    </row>
    <row r="189" spans="2:12" x14ac:dyDescent="0.3">
      <c r="B189" s="28" t="str">
        <f t="shared" ca="1" si="7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6"/>
        <v>0</v>
      </c>
    </row>
    <row r="190" spans="2:12" x14ac:dyDescent="0.3">
      <c r="B190" s="28" t="str">
        <f t="shared" ca="1" si="7"/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6"/>
        <v>0</v>
      </c>
    </row>
    <row r="191" spans="2:12" x14ac:dyDescent="0.3">
      <c r="B191" s="28" t="str">
        <f t="shared" ca="1" si="7"/>
        <v/>
      </c>
      <c r="C191" s="29" t="str">
        <f t="shared" ca="1" si="8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6"/>
        <v>0</v>
      </c>
    </row>
    <row r="192" spans="2:12" x14ac:dyDescent="0.3">
      <c r="B192" s="28" t="str">
        <f t="shared" ca="1" si="7"/>
        <v/>
      </c>
      <c r="C192" s="29" t="str">
        <f t="shared" ca="1" si="8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6"/>
        <v>0</v>
      </c>
    </row>
    <row r="193" spans="2:12" x14ac:dyDescent="0.3">
      <c r="B193" s="28" t="str">
        <f t="shared" ca="1" si="7"/>
        <v/>
      </c>
      <c r="C193" s="29" t="str">
        <f t="shared" ca="1" si="8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6"/>
        <v>0</v>
      </c>
    </row>
    <row r="194" spans="2:12" x14ac:dyDescent="0.3">
      <c r="B194" s="28" t="str">
        <f t="shared" ca="1" si="7"/>
        <v/>
      </c>
      <c r="C194" s="29" t="str">
        <f t="shared" ca="1" si="8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6"/>
        <v>0</v>
      </c>
    </row>
    <row r="195" spans="2:12" x14ac:dyDescent="0.3">
      <c r="B195" s="28" t="str">
        <f t="shared" ca="1" si="7"/>
        <v/>
      </c>
      <c r="C195" s="29" t="str">
        <f t="shared" ca="1" si="8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6"/>
        <v>0</v>
      </c>
    </row>
    <row r="196" spans="2:12" x14ac:dyDescent="0.3">
      <c r="B196" s="28" t="str">
        <f t="shared" ca="1" si="7"/>
        <v/>
      </c>
      <c r="C196" s="29" t="str">
        <f t="shared" ca="1" si="8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6"/>
        <v>0</v>
      </c>
    </row>
    <row r="197" spans="2:12" x14ac:dyDescent="0.3">
      <c r="B197" s="28" t="str">
        <f t="shared" ca="1" si="7"/>
        <v/>
      </c>
      <c r="C197" s="29" t="str">
        <f t="shared" ca="1" si="8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6"/>
        <v>0</v>
      </c>
    </row>
    <row r="198" spans="2:12" x14ac:dyDescent="0.3">
      <c r="B198" s="28" t="str">
        <f t="shared" ca="1" si="7"/>
        <v/>
      </c>
      <c r="C198" s="29" t="str">
        <f t="shared" ca="1" si="8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6"/>
        <v>0</v>
      </c>
    </row>
    <row r="199" spans="2:12" x14ac:dyDescent="0.3">
      <c r="B199" s="28" t="str">
        <f t="shared" ca="1" si="7"/>
        <v/>
      </c>
      <c r="C199" s="29" t="str">
        <f t="shared" ca="1" si="8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6"/>
        <v>0</v>
      </c>
    </row>
    <row r="200" spans="2:12" x14ac:dyDescent="0.3">
      <c r="B200" s="28" t="str">
        <f t="shared" ca="1" si="7"/>
        <v/>
      </c>
      <c r="C200" s="29" t="str">
        <f t="shared" ca="1" si="8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6"/>
        <v>0</v>
      </c>
    </row>
    <row r="201" spans="2:12" x14ac:dyDescent="0.3">
      <c r="B201" s="28" t="str">
        <f t="shared" ca="1" si="7"/>
        <v/>
      </c>
      <c r="C201" s="29" t="str">
        <f t="shared" ca="1" si="8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6"/>
        <v>0</v>
      </c>
    </row>
    <row r="202" spans="2:12" x14ac:dyDescent="0.3">
      <c r="B202" s="28" t="str">
        <f t="shared" ca="1" si="7"/>
        <v/>
      </c>
      <c r="C202" s="29" t="str">
        <f t="shared" ca="1" si="8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ref="L202:L265" si="9">J202-I202-K202</f>
        <v>0</v>
      </c>
    </row>
    <row r="203" spans="2:12" x14ac:dyDescent="0.3">
      <c r="B203" s="28" t="str">
        <f t="shared" ref="B203:B266" ca="1" si="10">IF(D203&lt;&gt;"",DATE(Jahr,_xlfn.SHEET()-2,D203),"")</f>
        <v/>
      </c>
      <c r="C203" s="29" t="str">
        <f t="shared" ref="C203:C266" ca="1" si="11">B203</f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9"/>
        <v>0</v>
      </c>
    </row>
    <row r="251" spans="2:12" x14ac:dyDescent="0.3">
      <c r="B251" s="28" t="str">
        <f t="shared" ca="1" si="10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9"/>
        <v>0</v>
      </c>
    </row>
    <row r="252" spans="2:12" x14ac:dyDescent="0.3">
      <c r="B252" s="28" t="str">
        <f t="shared" ca="1" si="10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9"/>
        <v>0</v>
      </c>
    </row>
    <row r="253" spans="2:12" x14ac:dyDescent="0.3">
      <c r="B253" s="28" t="str">
        <f t="shared" ca="1" si="10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9"/>
        <v>0</v>
      </c>
    </row>
    <row r="254" spans="2:12" x14ac:dyDescent="0.3">
      <c r="B254" s="28" t="str">
        <f t="shared" ca="1" si="10"/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9"/>
        <v>0</v>
      </c>
    </row>
    <row r="255" spans="2:12" x14ac:dyDescent="0.3">
      <c r="B255" s="28" t="str">
        <f t="shared" ca="1" si="10"/>
        <v/>
      </c>
      <c r="C255" s="29" t="str">
        <f t="shared" ca="1" si="11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9"/>
        <v>0</v>
      </c>
    </row>
    <row r="256" spans="2:12" x14ac:dyDescent="0.3">
      <c r="B256" s="28" t="str">
        <f t="shared" ca="1" si="10"/>
        <v/>
      </c>
      <c r="C256" s="29" t="str">
        <f t="shared" ca="1" si="11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9"/>
        <v>0</v>
      </c>
    </row>
    <row r="257" spans="2:12" x14ac:dyDescent="0.3">
      <c r="B257" s="28" t="str">
        <f t="shared" ca="1" si="10"/>
        <v/>
      </c>
      <c r="C257" s="29" t="str">
        <f t="shared" ca="1" si="11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9"/>
        <v>0</v>
      </c>
    </row>
    <row r="258" spans="2:12" x14ac:dyDescent="0.3">
      <c r="B258" s="28" t="str">
        <f t="shared" ca="1" si="10"/>
        <v/>
      </c>
      <c r="C258" s="29" t="str">
        <f t="shared" ca="1" si="11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9"/>
        <v>0</v>
      </c>
    </row>
    <row r="259" spans="2:12" x14ac:dyDescent="0.3">
      <c r="B259" s="28" t="str">
        <f t="shared" ca="1" si="10"/>
        <v/>
      </c>
      <c r="C259" s="29" t="str">
        <f t="shared" ca="1" si="11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9"/>
        <v>0</v>
      </c>
    </row>
    <row r="260" spans="2:12" x14ac:dyDescent="0.3">
      <c r="B260" s="28" t="str">
        <f t="shared" ca="1" si="10"/>
        <v/>
      </c>
      <c r="C260" s="29" t="str">
        <f t="shared" ca="1" si="11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9"/>
        <v>0</v>
      </c>
    </row>
    <row r="261" spans="2:12" x14ac:dyDescent="0.3">
      <c r="B261" s="28" t="str">
        <f t="shared" ca="1" si="10"/>
        <v/>
      </c>
      <c r="C261" s="29" t="str">
        <f t="shared" ca="1" si="11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9"/>
        <v>0</v>
      </c>
    </row>
    <row r="262" spans="2:12" x14ac:dyDescent="0.3">
      <c r="B262" s="28" t="str">
        <f t="shared" ca="1" si="10"/>
        <v/>
      </c>
      <c r="C262" s="29" t="str">
        <f t="shared" ca="1" si="11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9"/>
        <v>0</v>
      </c>
    </row>
    <row r="263" spans="2:12" x14ac:dyDescent="0.3">
      <c r="B263" s="28" t="str">
        <f t="shared" ca="1" si="10"/>
        <v/>
      </c>
      <c r="C263" s="29" t="str">
        <f t="shared" ca="1" si="11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9"/>
        <v>0</v>
      </c>
    </row>
    <row r="264" spans="2:12" x14ac:dyDescent="0.3">
      <c r="B264" s="28" t="str">
        <f t="shared" ca="1" si="10"/>
        <v/>
      </c>
      <c r="C264" s="29" t="str">
        <f t="shared" ca="1" si="11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9"/>
        <v>0</v>
      </c>
    </row>
    <row r="265" spans="2:12" x14ac:dyDescent="0.3">
      <c r="B265" s="28" t="str">
        <f t="shared" ca="1" si="10"/>
        <v/>
      </c>
      <c r="C265" s="29" t="str">
        <f t="shared" ca="1" si="11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9"/>
        <v>0</v>
      </c>
    </row>
    <row r="266" spans="2:12" x14ac:dyDescent="0.3">
      <c r="B266" s="28" t="str">
        <f t="shared" ca="1" si="10"/>
        <v/>
      </c>
      <c r="C266" s="29" t="str">
        <f t="shared" ca="1" si="11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ref="L266:L329" si="12">J266-I266-K266</f>
        <v>0</v>
      </c>
    </row>
    <row r="267" spans="2:12" x14ac:dyDescent="0.3">
      <c r="B267" s="28" t="str">
        <f t="shared" ref="B267:B330" ca="1" si="13">IF(D267&lt;&gt;"",DATE(Jahr,_xlfn.SHEET()-2,D267),"")</f>
        <v/>
      </c>
      <c r="C267" s="29" t="str">
        <f t="shared" ref="C267:C330" ca="1" si="14">B267</f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2"/>
        <v>0</v>
      </c>
    </row>
    <row r="315" spans="2:12" x14ac:dyDescent="0.3">
      <c r="B315" s="28" t="str">
        <f t="shared" ca="1" si="13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2"/>
        <v>0</v>
      </c>
    </row>
    <row r="316" spans="2:12" x14ac:dyDescent="0.3">
      <c r="B316" s="28" t="str">
        <f t="shared" ca="1" si="13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2"/>
        <v>0</v>
      </c>
    </row>
    <row r="317" spans="2:12" x14ac:dyDescent="0.3">
      <c r="B317" s="28" t="str">
        <f t="shared" ca="1" si="13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2"/>
        <v>0</v>
      </c>
    </row>
    <row r="318" spans="2:12" x14ac:dyDescent="0.3">
      <c r="B318" s="28" t="str">
        <f t="shared" ca="1" si="13"/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2"/>
        <v>0</v>
      </c>
    </row>
    <row r="319" spans="2:12" x14ac:dyDescent="0.3">
      <c r="B319" s="28" t="str">
        <f t="shared" ca="1" si="13"/>
        <v/>
      </c>
      <c r="C319" s="29" t="str">
        <f t="shared" ca="1" si="14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2"/>
        <v>0</v>
      </c>
    </row>
    <row r="320" spans="2:12" x14ac:dyDescent="0.3">
      <c r="B320" s="28" t="str">
        <f t="shared" ca="1" si="13"/>
        <v/>
      </c>
      <c r="C320" s="29" t="str">
        <f t="shared" ca="1" si="14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2"/>
        <v>0</v>
      </c>
    </row>
    <row r="321" spans="2:12" x14ac:dyDescent="0.3">
      <c r="B321" s="28" t="str">
        <f t="shared" ca="1" si="13"/>
        <v/>
      </c>
      <c r="C321" s="29" t="str">
        <f t="shared" ca="1" si="14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2"/>
        <v>0</v>
      </c>
    </row>
    <row r="322" spans="2:12" x14ac:dyDescent="0.3">
      <c r="B322" s="28" t="str">
        <f t="shared" ca="1" si="13"/>
        <v/>
      </c>
      <c r="C322" s="29" t="str">
        <f t="shared" ca="1" si="14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2"/>
        <v>0</v>
      </c>
    </row>
    <row r="323" spans="2:12" x14ac:dyDescent="0.3">
      <c r="B323" s="28" t="str">
        <f t="shared" ca="1" si="13"/>
        <v/>
      </c>
      <c r="C323" s="29" t="str">
        <f t="shared" ca="1" si="14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2"/>
        <v>0</v>
      </c>
    </row>
    <row r="324" spans="2:12" x14ac:dyDescent="0.3">
      <c r="B324" s="28" t="str">
        <f t="shared" ca="1" si="13"/>
        <v/>
      </c>
      <c r="C324" s="29" t="str">
        <f t="shared" ca="1" si="14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2"/>
        <v>0</v>
      </c>
    </row>
    <row r="325" spans="2:12" x14ac:dyDescent="0.3">
      <c r="B325" s="28" t="str">
        <f t="shared" ca="1" si="13"/>
        <v/>
      </c>
      <c r="C325" s="29" t="str">
        <f t="shared" ca="1" si="14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2"/>
        <v>0</v>
      </c>
    </row>
    <row r="326" spans="2:12" x14ac:dyDescent="0.3">
      <c r="B326" s="28" t="str">
        <f t="shared" ca="1" si="13"/>
        <v/>
      </c>
      <c r="C326" s="29" t="str">
        <f t="shared" ca="1" si="14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2"/>
        <v>0</v>
      </c>
    </row>
    <row r="327" spans="2:12" x14ac:dyDescent="0.3">
      <c r="B327" s="28" t="str">
        <f t="shared" ca="1" si="13"/>
        <v/>
      </c>
      <c r="C327" s="29" t="str">
        <f t="shared" ca="1" si="14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2"/>
        <v>0</v>
      </c>
    </row>
    <row r="328" spans="2:12" x14ac:dyDescent="0.3">
      <c r="B328" s="28" t="str">
        <f t="shared" ca="1" si="13"/>
        <v/>
      </c>
      <c r="C328" s="29" t="str">
        <f t="shared" ca="1" si="14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2"/>
        <v>0</v>
      </c>
    </row>
    <row r="329" spans="2:12" x14ac:dyDescent="0.3">
      <c r="B329" s="28" t="str">
        <f t="shared" ca="1" si="13"/>
        <v/>
      </c>
      <c r="C329" s="29" t="str">
        <f t="shared" ca="1" si="14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2"/>
        <v>0</v>
      </c>
    </row>
    <row r="330" spans="2:12" x14ac:dyDescent="0.3">
      <c r="B330" s="28" t="str">
        <f t="shared" ca="1" si="13"/>
        <v/>
      </c>
      <c r="C330" s="29" t="str">
        <f t="shared" ca="1" si="14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ref="L330:L393" si="15">J330-I330-K330</f>
        <v>0</v>
      </c>
    </row>
    <row r="331" spans="2:12" x14ac:dyDescent="0.3">
      <c r="B331" s="28" t="str">
        <f t="shared" ref="B331:B394" ca="1" si="16">IF(D331&lt;&gt;"",DATE(Jahr,_xlfn.SHEET()-2,D331),"")</f>
        <v/>
      </c>
      <c r="C331" s="29" t="str">
        <f t="shared" ref="C331:C394" ca="1" si="17">B331</f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5"/>
        <v>0</v>
      </c>
    </row>
    <row r="379" spans="2:12" x14ac:dyDescent="0.3">
      <c r="B379" s="28" t="str">
        <f t="shared" ca="1" si="16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5"/>
        <v>0</v>
      </c>
    </row>
    <row r="380" spans="2:12" x14ac:dyDescent="0.3">
      <c r="B380" s="28" t="str">
        <f t="shared" ca="1" si="16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5"/>
        <v>0</v>
      </c>
    </row>
    <row r="381" spans="2:12" x14ac:dyDescent="0.3">
      <c r="B381" s="28" t="str">
        <f t="shared" ca="1" si="16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5"/>
        <v>0</v>
      </c>
    </row>
    <row r="382" spans="2:12" x14ac:dyDescent="0.3">
      <c r="B382" s="28" t="str">
        <f t="shared" ca="1" si="16"/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5"/>
        <v>0</v>
      </c>
    </row>
    <row r="383" spans="2:12" x14ac:dyDescent="0.3">
      <c r="B383" s="28" t="str">
        <f t="shared" ca="1" si="16"/>
        <v/>
      </c>
      <c r="C383" s="29" t="str">
        <f t="shared" ca="1" si="17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5"/>
        <v>0</v>
      </c>
    </row>
    <row r="384" spans="2:12" x14ac:dyDescent="0.3">
      <c r="B384" s="28" t="str">
        <f t="shared" ca="1" si="16"/>
        <v/>
      </c>
      <c r="C384" s="29" t="str">
        <f t="shared" ca="1" si="17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5"/>
        <v>0</v>
      </c>
    </row>
    <row r="385" spans="2:12" x14ac:dyDescent="0.3">
      <c r="B385" s="28" t="str">
        <f t="shared" ca="1" si="16"/>
        <v/>
      </c>
      <c r="C385" s="29" t="str">
        <f t="shared" ca="1" si="17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5"/>
        <v>0</v>
      </c>
    </row>
    <row r="386" spans="2:12" x14ac:dyDescent="0.3">
      <c r="B386" s="28" t="str">
        <f t="shared" ca="1" si="16"/>
        <v/>
      </c>
      <c r="C386" s="29" t="str">
        <f t="shared" ca="1" si="17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5"/>
        <v>0</v>
      </c>
    </row>
    <row r="387" spans="2:12" x14ac:dyDescent="0.3">
      <c r="B387" s="28" t="str">
        <f t="shared" ca="1" si="16"/>
        <v/>
      </c>
      <c r="C387" s="29" t="str">
        <f t="shared" ca="1" si="17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5"/>
        <v>0</v>
      </c>
    </row>
    <row r="388" spans="2:12" x14ac:dyDescent="0.3">
      <c r="B388" s="28" t="str">
        <f t="shared" ca="1" si="16"/>
        <v/>
      </c>
      <c r="C388" s="29" t="str">
        <f t="shared" ca="1" si="17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5"/>
        <v>0</v>
      </c>
    </row>
    <row r="389" spans="2:12" x14ac:dyDescent="0.3">
      <c r="B389" s="28" t="str">
        <f t="shared" ca="1" si="16"/>
        <v/>
      </c>
      <c r="C389" s="29" t="str">
        <f t="shared" ca="1" si="17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5"/>
        <v>0</v>
      </c>
    </row>
    <row r="390" spans="2:12" x14ac:dyDescent="0.3">
      <c r="B390" s="28" t="str">
        <f t="shared" ca="1" si="16"/>
        <v/>
      </c>
      <c r="C390" s="29" t="str">
        <f t="shared" ca="1" si="17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5"/>
        <v>0</v>
      </c>
    </row>
    <row r="391" spans="2:12" x14ac:dyDescent="0.3">
      <c r="B391" s="28" t="str">
        <f t="shared" ca="1" si="16"/>
        <v/>
      </c>
      <c r="C391" s="29" t="str">
        <f t="shared" ca="1" si="17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5"/>
        <v>0</v>
      </c>
    </row>
    <row r="392" spans="2:12" x14ac:dyDescent="0.3">
      <c r="B392" s="28" t="str">
        <f t="shared" ca="1" si="16"/>
        <v/>
      </c>
      <c r="C392" s="29" t="str">
        <f t="shared" ca="1" si="17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5"/>
        <v>0</v>
      </c>
    </row>
    <row r="393" spans="2:12" x14ac:dyDescent="0.3">
      <c r="B393" s="28" t="str">
        <f t="shared" ca="1" si="16"/>
        <v/>
      </c>
      <c r="C393" s="29" t="str">
        <f t="shared" ca="1" si="17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5"/>
        <v>0</v>
      </c>
    </row>
    <row r="394" spans="2:12" x14ac:dyDescent="0.3">
      <c r="B394" s="28" t="str">
        <f t="shared" ca="1" si="16"/>
        <v/>
      </c>
      <c r="C394" s="29" t="str">
        <f t="shared" ca="1" si="17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ref="L394:L457" si="18">J394-I394-K394</f>
        <v>0</v>
      </c>
    </row>
    <row r="395" spans="2:12" x14ac:dyDescent="0.3">
      <c r="B395" s="28" t="str">
        <f t="shared" ref="B395:B458" ca="1" si="19">IF(D395&lt;&gt;"",DATE(Jahr,_xlfn.SHEET()-2,D395),"")</f>
        <v/>
      </c>
      <c r="C395" s="29" t="str">
        <f t="shared" ref="C395:C458" ca="1" si="20">B395</f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8"/>
        <v>0</v>
      </c>
    </row>
    <row r="443" spans="2:12" x14ac:dyDescent="0.3">
      <c r="B443" s="28" t="str">
        <f t="shared" ca="1" si="19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8"/>
        <v>0</v>
      </c>
    </row>
    <row r="444" spans="2:12" x14ac:dyDescent="0.3">
      <c r="B444" s="28" t="str">
        <f t="shared" ca="1" si="19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8"/>
        <v>0</v>
      </c>
    </row>
    <row r="445" spans="2:12" x14ac:dyDescent="0.3">
      <c r="B445" s="28" t="str">
        <f t="shared" ca="1" si="19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8"/>
        <v>0</v>
      </c>
    </row>
    <row r="446" spans="2:12" x14ac:dyDescent="0.3">
      <c r="B446" s="28" t="str">
        <f t="shared" ca="1" si="19"/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18"/>
        <v>0</v>
      </c>
    </row>
    <row r="447" spans="2:12" x14ac:dyDescent="0.3">
      <c r="B447" s="28" t="str">
        <f t="shared" ca="1" si="19"/>
        <v/>
      </c>
      <c r="C447" s="29" t="str">
        <f t="shared" ca="1" si="20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18"/>
        <v>0</v>
      </c>
    </row>
    <row r="448" spans="2:12" x14ac:dyDescent="0.3">
      <c r="B448" s="28" t="str">
        <f t="shared" ca="1" si="19"/>
        <v/>
      </c>
      <c r="C448" s="29" t="str">
        <f t="shared" ca="1" si="20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18"/>
        <v>0</v>
      </c>
    </row>
    <row r="449" spans="2:12" x14ac:dyDescent="0.3">
      <c r="B449" s="28" t="str">
        <f t="shared" ca="1" si="19"/>
        <v/>
      </c>
      <c r="C449" s="29" t="str">
        <f t="shared" ca="1" si="20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18"/>
        <v>0</v>
      </c>
    </row>
    <row r="450" spans="2:12" x14ac:dyDescent="0.3">
      <c r="B450" s="28" t="str">
        <f t="shared" ca="1" si="19"/>
        <v/>
      </c>
      <c r="C450" s="29" t="str">
        <f t="shared" ca="1" si="20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18"/>
        <v>0</v>
      </c>
    </row>
    <row r="451" spans="2:12" x14ac:dyDescent="0.3">
      <c r="B451" s="28" t="str">
        <f t="shared" ca="1" si="19"/>
        <v/>
      </c>
      <c r="C451" s="29" t="str">
        <f t="shared" ca="1" si="20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18"/>
        <v>0</v>
      </c>
    </row>
    <row r="452" spans="2:12" x14ac:dyDescent="0.3">
      <c r="B452" s="28" t="str">
        <f t="shared" ca="1" si="19"/>
        <v/>
      </c>
      <c r="C452" s="29" t="str">
        <f t="shared" ca="1" si="20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18"/>
        <v>0</v>
      </c>
    </row>
    <row r="453" spans="2:12" x14ac:dyDescent="0.3">
      <c r="B453" s="28" t="str">
        <f t="shared" ca="1" si="19"/>
        <v/>
      </c>
      <c r="C453" s="29" t="str">
        <f t="shared" ca="1" si="20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18"/>
        <v>0</v>
      </c>
    </row>
    <row r="454" spans="2:12" x14ac:dyDescent="0.3">
      <c r="B454" s="28" t="str">
        <f t="shared" ca="1" si="19"/>
        <v/>
      </c>
      <c r="C454" s="29" t="str">
        <f t="shared" ca="1" si="20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18"/>
        <v>0</v>
      </c>
    </row>
    <row r="455" spans="2:12" x14ac:dyDescent="0.3">
      <c r="B455" s="28" t="str">
        <f t="shared" ca="1" si="19"/>
        <v/>
      </c>
      <c r="C455" s="29" t="str">
        <f t="shared" ca="1" si="20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18"/>
        <v>0</v>
      </c>
    </row>
    <row r="456" spans="2:12" x14ac:dyDescent="0.3">
      <c r="B456" s="28" t="str">
        <f t="shared" ca="1" si="19"/>
        <v/>
      </c>
      <c r="C456" s="29" t="str">
        <f t="shared" ca="1" si="20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18"/>
        <v>0</v>
      </c>
    </row>
    <row r="457" spans="2:12" x14ac:dyDescent="0.3">
      <c r="B457" s="28" t="str">
        <f t="shared" ca="1" si="19"/>
        <v/>
      </c>
      <c r="C457" s="29" t="str">
        <f t="shared" ca="1" si="20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18"/>
        <v>0</v>
      </c>
    </row>
    <row r="458" spans="2:12" x14ac:dyDescent="0.3">
      <c r="B458" s="28" t="str">
        <f t="shared" ca="1" si="19"/>
        <v/>
      </c>
      <c r="C458" s="29" t="str">
        <f t="shared" ca="1" si="20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ref="L458:L521" si="21">J458-I458-K458</f>
        <v>0</v>
      </c>
    </row>
    <row r="459" spans="2:12" x14ac:dyDescent="0.3">
      <c r="B459" s="28" t="str">
        <f t="shared" ref="B459:B522" ca="1" si="22">IF(D459&lt;&gt;"",DATE(Jahr,_xlfn.SHEET()-2,D459),"")</f>
        <v/>
      </c>
      <c r="C459" s="29" t="str">
        <f t="shared" ref="C459:C522" ca="1" si="23">B459</f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1"/>
        <v>0</v>
      </c>
    </row>
    <row r="507" spans="2:12" x14ac:dyDescent="0.3">
      <c r="B507" s="28" t="str">
        <f t="shared" ca="1" si="22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1"/>
        <v>0</v>
      </c>
    </row>
    <row r="508" spans="2:12" x14ac:dyDescent="0.3">
      <c r="B508" s="28" t="str">
        <f t="shared" ca="1" si="22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1"/>
        <v>0</v>
      </c>
    </row>
    <row r="509" spans="2:12" x14ac:dyDescent="0.3">
      <c r="B509" s="28" t="str">
        <f t="shared" ca="1" si="22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1"/>
        <v>0</v>
      </c>
    </row>
    <row r="510" spans="2:12" x14ac:dyDescent="0.3">
      <c r="B510" s="28" t="str">
        <f t="shared" ca="1" si="22"/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1"/>
        <v>0</v>
      </c>
    </row>
    <row r="511" spans="2:12" x14ac:dyDescent="0.3">
      <c r="B511" s="28" t="str">
        <f t="shared" ca="1" si="22"/>
        <v/>
      </c>
      <c r="C511" s="29" t="str">
        <f t="shared" ca="1" si="23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1"/>
        <v>0</v>
      </c>
    </row>
    <row r="512" spans="2:12" x14ac:dyDescent="0.3">
      <c r="B512" s="28" t="str">
        <f t="shared" ca="1" si="22"/>
        <v/>
      </c>
      <c r="C512" s="29" t="str">
        <f t="shared" ca="1" si="23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1"/>
        <v>0</v>
      </c>
    </row>
    <row r="513" spans="2:12" x14ac:dyDescent="0.3">
      <c r="B513" s="28" t="str">
        <f t="shared" ca="1" si="22"/>
        <v/>
      </c>
      <c r="C513" s="29" t="str">
        <f t="shared" ca="1" si="23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1"/>
        <v>0</v>
      </c>
    </row>
    <row r="514" spans="2:12" x14ac:dyDescent="0.3">
      <c r="B514" s="28" t="str">
        <f t="shared" ca="1" si="22"/>
        <v/>
      </c>
      <c r="C514" s="29" t="str">
        <f t="shared" ca="1" si="23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1"/>
        <v>0</v>
      </c>
    </row>
    <row r="515" spans="2:12" x14ac:dyDescent="0.3">
      <c r="B515" s="28" t="str">
        <f t="shared" ca="1" si="22"/>
        <v/>
      </c>
      <c r="C515" s="29" t="str">
        <f t="shared" ca="1" si="23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1"/>
        <v>0</v>
      </c>
    </row>
    <row r="516" spans="2:12" x14ac:dyDescent="0.3">
      <c r="B516" s="28" t="str">
        <f t="shared" ca="1" si="22"/>
        <v/>
      </c>
      <c r="C516" s="29" t="str">
        <f t="shared" ca="1" si="23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1"/>
        <v>0</v>
      </c>
    </row>
    <row r="517" spans="2:12" x14ac:dyDescent="0.3">
      <c r="B517" s="28" t="str">
        <f t="shared" ca="1" si="22"/>
        <v/>
      </c>
      <c r="C517" s="29" t="str">
        <f t="shared" ca="1" si="23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1"/>
        <v>0</v>
      </c>
    </row>
    <row r="518" spans="2:12" x14ac:dyDescent="0.3">
      <c r="B518" s="28" t="str">
        <f t="shared" ca="1" si="22"/>
        <v/>
      </c>
      <c r="C518" s="29" t="str">
        <f t="shared" ca="1" si="23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1"/>
        <v>0</v>
      </c>
    </row>
    <row r="519" spans="2:12" x14ac:dyDescent="0.3">
      <c r="B519" s="28" t="str">
        <f t="shared" ca="1" si="22"/>
        <v/>
      </c>
      <c r="C519" s="29" t="str">
        <f t="shared" ca="1" si="23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1"/>
        <v>0</v>
      </c>
    </row>
    <row r="520" spans="2:12" x14ac:dyDescent="0.3">
      <c r="B520" s="28" t="str">
        <f t="shared" ca="1" si="22"/>
        <v/>
      </c>
      <c r="C520" s="29" t="str">
        <f t="shared" ca="1" si="23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1"/>
        <v>0</v>
      </c>
    </row>
    <row r="521" spans="2:12" x14ac:dyDescent="0.3">
      <c r="B521" s="28" t="str">
        <f t="shared" ca="1" si="22"/>
        <v/>
      </c>
      <c r="C521" s="29" t="str">
        <f t="shared" ca="1" si="23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1"/>
        <v>0</v>
      </c>
    </row>
    <row r="522" spans="2:12" x14ac:dyDescent="0.3">
      <c r="B522" s="28" t="str">
        <f t="shared" ca="1" si="22"/>
        <v/>
      </c>
      <c r="C522" s="29" t="str">
        <f t="shared" ca="1" si="23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ref="L522:L585" si="24">J522-I522-K522</f>
        <v>0</v>
      </c>
    </row>
    <row r="523" spans="2:12" x14ac:dyDescent="0.3">
      <c r="B523" s="28" t="str">
        <f t="shared" ref="B523:B586" ca="1" si="25">IF(D523&lt;&gt;"",DATE(Jahr,_xlfn.SHEET()-2,D523),"")</f>
        <v/>
      </c>
      <c r="C523" s="29" t="str">
        <f t="shared" ref="C523:C586" ca="1" si="26">B523</f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4"/>
        <v>0</v>
      </c>
    </row>
    <row r="571" spans="2:12" x14ac:dyDescent="0.3">
      <c r="B571" s="28" t="str">
        <f t="shared" ca="1" si="25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4"/>
        <v>0</v>
      </c>
    </row>
    <row r="572" spans="2:12" x14ac:dyDescent="0.3">
      <c r="B572" s="28" t="str">
        <f t="shared" ca="1" si="25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4"/>
        <v>0</v>
      </c>
    </row>
    <row r="573" spans="2:12" x14ac:dyDescent="0.3">
      <c r="B573" s="28" t="str">
        <f t="shared" ca="1" si="25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4"/>
        <v>0</v>
      </c>
    </row>
    <row r="574" spans="2:12" x14ac:dyDescent="0.3">
      <c r="B574" s="28" t="str">
        <f t="shared" ca="1" si="25"/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4"/>
        <v>0</v>
      </c>
    </row>
    <row r="575" spans="2:12" x14ac:dyDescent="0.3">
      <c r="B575" s="28" t="str">
        <f t="shared" ca="1" si="25"/>
        <v/>
      </c>
      <c r="C575" s="29" t="str">
        <f t="shared" ca="1" si="26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4"/>
        <v>0</v>
      </c>
    </row>
    <row r="576" spans="2:12" x14ac:dyDescent="0.3">
      <c r="B576" s="28" t="str">
        <f t="shared" ca="1" si="25"/>
        <v/>
      </c>
      <c r="C576" s="29" t="str">
        <f t="shared" ca="1" si="26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4"/>
        <v>0</v>
      </c>
    </row>
    <row r="577" spans="2:12" x14ac:dyDescent="0.3">
      <c r="B577" s="28" t="str">
        <f t="shared" ca="1" si="25"/>
        <v/>
      </c>
      <c r="C577" s="29" t="str">
        <f t="shared" ca="1" si="26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4"/>
        <v>0</v>
      </c>
    </row>
    <row r="578" spans="2:12" x14ac:dyDescent="0.3">
      <c r="B578" s="28" t="str">
        <f t="shared" ca="1" si="25"/>
        <v/>
      </c>
      <c r="C578" s="29" t="str">
        <f t="shared" ca="1" si="26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4"/>
        <v>0</v>
      </c>
    </row>
    <row r="579" spans="2:12" x14ac:dyDescent="0.3">
      <c r="B579" s="28" t="str">
        <f t="shared" ca="1" si="25"/>
        <v/>
      </c>
      <c r="C579" s="29" t="str">
        <f t="shared" ca="1" si="26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4"/>
        <v>0</v>
      </c>
    </row>
    <row r="580" spans="2:12" x14ac:dyDescent="0.3">
      <c r="B580" s="28" t="str">
        <f t="shared" ca="1" si="25"/>
        <v/>
      </c>
      <c r="C580" s="29" t="str">
        <f t="shared" ca="1" si="26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4"/>
        <v>0</v>
      </c>
    </row>
    <row r="581" spans="2:12" x14ac:dyDescent="0.3">
      <c r="B581" s="28" t="str">
        <f t="shared" ca="1" si="25"/>
        <v/>
      </c>
      <c r="C581" s="29" t="str">
        <f t="shared" ca="1" si="26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4"/>
        <v>0</v>
      </c>
    </row>
    <row r="582" spans="2:12" x14ac:dyDescent="0.3">
      <c r="B582" s="28" t="str">
        <f t="shared" ca="1" si="25"/>
        <v/>
      </c>
      <c r="C582" s="29" t="str">
        <f t="shared" ca="1" si="26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4"/>
        <v>0</v>
      </c>
    </row>
    <row r="583" spans="2:12" x14ac:dyDescent="0.3">
      <c r="B583" s="28" t="str">
        <f t="shared" ca="1" si="25"/>
        <v/>
      </c>
      <c r="C583" s="29" t="str">
        <f t="shared" ca="1" si="26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4"/>
        <v>0</v>
      </c>
    </row>
    <row r="584" spans="2:12" x14ac:dyDescent="0.3">
      <c r="B584" s="28" t="str">
        <f t="shared" ca="1" si="25"/>
        <v/>
      </c>
      <c r="C584" s="29" t="str">
        <f t="shared" ca="1" si="26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4"/>
        <v>0</v>
      </c>
    </row>
    <row r="585" spans="2:12" x14ac:dyDescent="0.3">
      <c r="B585" s="28" t="str">
        <f t="shared" ca="1" si="25"/>
        <v/>
      </c>
      <c r="C585" s="29" t="str">
        <f t="shared" ca="1" si="26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4"/>
        <v>0</v>
      </c>
    </row>
    <row r="586" spans="2:12" x14ac:dyDescent="0.3">
      <c r="B586" s="28" t="str">
        <f t="shared" ca="1" si="25"/>
        <v/>
      </c>
      <c r="C586" s="29" t="str">
        <f t="shared" ca="1" si="26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ref="L586:L649" si="27">J586-I586-K586</f>
        <v>0</v>
      </c>
    </row>
    <row r="587" spans="2:12" x14ac:dyDescent="0.3">
      <c r="B587" s="28" t="str">
        <f t="shared" ref="B587:B650" ca="1" si="28">IF(D587&lt;&gt;"",DATE(Jahr,_xlfn.SHEET()-2,D587),"")</f>
        <v/>
      </c>
      <c r="C587" s="29" t="str">
        <f t="shared" ref="C587:C650" ca="1" si="29">B587</f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7"/>
        <v>0</v>
      </c>
    </row>
    <row r="635" spans="2:12" x14ac:dyDescent="0.3">
      <c r="B635" s="28" t="str">
        <f t="shared" ca="1" si="28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7"/>
        <v>0</v>
      </c>
    </row>
    <row r="636" spans="2:12" x14ac:dyDescent="0.3">
      <c r="B636" s="28" t="str">
        <f t="shared" ca="1" si="28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7"/>
        <v>0</v>
      </c>
    </row>
    <row r="637" spans="2:12" x14ac:dyDescent="0.3">
      <c r="B637" s="28" t="str">
        <f t="shared" ca="1" si="28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7"/>
        <v>0</v>
      </c>
    </row>
    <row r="638" spans="2:12" x14ac:dyDescent="0.3">
      <c r="B638" s="28" t="str">
        <f t="shared" ca="1" si="28"/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27"/>
        <v>0</v>
      </c>
    </row>
    <row r="639" spans="2:12" x14ac:dyDescent="0.3">
      <c r="B639" s="28" t="str">
        <f t="shared" ca="1" si="28"/>
        <v/>
      </c>
      <c r="C639" s="29" t="str">
        <f t="shared" ca="1" si="29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27"/>
        <v>0</v>
      </c>
    </row>
    <row r="640" spans="2:12" x14ac:dyDescent="0.3">
      <c r="B640" s="28" t="str">
        <f t="shared" ca="1" si="28"/>
        <v/>
      </c>
      <c r="C640" s="29" t="str">
        <f t="shared" ca="1" si="29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27"/>
        <v>0</v>
      </c>
    </row>
    <row r="641" spans="2:12" x14ac:dyDescent="0.3">
      <c r="B641" s="28" t="str">
        <f t="shared" ca="1" si="28"/>
        <v/>
      </c>
      <c r="C641" s="29" t="str">
        <f t="shared" ca="1" si="29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27"/>
        <v>0</v>
      </c>
    </row>
    <row r="642" spans="2:12" x14ac:dyDescent="0.3">
      <c r="B642" s="28" t="str">
        <f t="shared" ca="1" si="28"/>
        <v/>
      </c>
      <c r="C642" s="29" t="str">
        <f t="shared" ca="1" si="29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27"/>
        <v>0</v>
      </c>
    </row>
    <row r="643" spans="2:12" x14ac:dyDescent="0.3">
      <c r="B643" s="28" t="str">
        <f t="shared" ca="1" si="28"/>
        <v/>
      </c>
      <c r="C643" s="29" t="str">
        <f t="shared" ca="1" si="29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27"/>
        <v>0</v>
      </c>
    </row>
    <row r="644" spans="2:12" x14ac:dyDescent="0.3">
      <c r="B644" s="28" t="str">
        <f t="shared" ca="1" si="28"/>
        <v/>
      </c>
      <c r="C644" s="29" t="str">
        <f t="shared" ca="1" si="29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27"/>
        <v>0</v>
      </c>
    </row>
    <row r="645" spans="2:12" x14ac:dyDescent="0.3">
      <c r="B645" s="28" t="str">
        <f t="shared" ca="1" si="28"/>
        <v/>
      </c>
      <c r="C645" s="29" t="str">
        <f t="shared" ca="1" si="29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27"/>
        <v>0</v>
      </c>
    </row>
    <row r="646" spans="2:12" x14ac:dyDescent="0.3">
      <c r="B646" s="28" t="str">
        <f t="shared" ca="1" si="28"/>
        <v/>
      </c>
      <c r="C646" s="29" t="str">
        <f t="shared" ca="1" si="29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27"/>
        <v>0</v>
      </c>
    </row>
    <row r="647" spans="2:12" x14ac:dyDescent="0.3">
      <c r="B647" s="28" t="str">
        <f t="shared" ca="1" si="28"/>
        <v/>
      </c>
      <c r="C647" s="29" t="str">
        <f t="shared" ca="1" si="29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27"/>
        <v>0</v>
      </c>
    </row>
    <row r="648" spans="2:12" x14ac:dyDescent="0.3">
      <c r="B648" s="28" t="str">
        <f t="shared" ca="1" si="28"/>
        <v/>
      </c>
      <c r="C648" s="29" t="str">
        <f t="shared" ca="1" si="29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27"/>
        <v>0</v>
      </c>
    </row>
    <row r="649" spans="2:12" x14ac:dyDescent="0.3">
      <c r="B649" s="28" t="str">
        <f t="shared" ca="1" si="28"/>
        <v/>
      </c>
      <c r="C649" s="29" t="str">
        <f t="shared" ca="1" si="29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27"/>
        <v>0</v>
      </c>
    </row>
    <row r="650" spans="2:12" x14ac:dyDescent="0.3">
      <c r="B650" s="28" t="str">
        <f t="shared" ca="1" si="28"/>
        <v/>
      </c>
      <c r="C650" s="29" t="str">
        <f t="shared" ca="1" si="29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ref="L650:L713" si="30">J650-I650-K650</f>
        <v>0</v>
      </c>
    </row>
    <row r="651" spans="2:12" x14ac:dyDescent="0.3">
      <c r="B651" s="28" t="str">
        <f t="shared" ref="B651:B714" ca="1" si="31">IF(D651&lt;&gt;"",DATE(Jahr,_xlfn.SHEET()-2,D651),"")</f>
        <v/>
      </c>
      <c r="C651" s="29" t="str">
        <f t="shared" ref="C651:C714" ca="1" si="32">B651</f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0"/>
        <v>0</v>
      </c>
    </row>
    <row r="699" spans="2:12" x14ac:dyDescent="0.3">
      <c r="B699" s="28" t="str">
        <f t="shared" ca="1" si="31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0"/>
        <v>0</v>
      </c>
    </row>
    <row r="700" spans="2:12" x14ac:dyDescent="0.3">
      <c r="B700" s="28" t="str">
        <f t="shared" ca="1" si="31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0"/>
        <v>0</v>
      </c>
    </row>
    <row r="701" spans="2:12" x14ac:dyDescent="0.3">
      <c r="B701" s="28" t="str">
        <f t="shared" ca="1" si="31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0"/>
        <v>0</v>
      </c>
    </row>
    <row r="702" spans="2:12" x14ac:dyDescent="0.3">
      <c r="B702" s="28" t="str">
        <f t="shared" ca="1" si="31"/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0"/>
        <v>0</v>
      </c>
    </row>
    <row r="703" spans="2:12" x14ac:dyDescent="0.3">
      <c r="B703" s="28" t="str">
        <f t="shared" ca="1" si="31"/>
        <v/>
      </c>
      <c r="C703" s="29" t="str">
        <f t="shared" ca="1" si="32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0"/>
        <v>0</v>
      </c>
    </row>
    <row r="704" spans="2:12" x14ac:dyDescent="0.3">
      <c r="B704" s="28" t="str">
        <f t="shared" ca="1" si="31"/>
        <v/>
      </c>
      <c r="C704" s="29" t="str">
        <f t="shared" ca="1" si="32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0"/>
        <v>0</v>
      </c>
    </row>
    <row r="705" spans="2:12" x14ac:dyDescent="0.3">
      <c r="B705" s="28" t="str">
        <f t="shared" ca="1" si="31"/>
        <v/>
      </c>
      <c r="C705" s="29" t="str">
        <f t="shared" ca="1" si="32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0"/>
        <v>0</v>
      </c>
    </row>
    <row r="706" spans="2:12" x14ac:dyDescent="0.3">
      <c r="B706" s="28" t="str">
        <f t="shared" ca="1" si="31"/>
        <v/>
      </c>
      <c r="C706" s="29" t="str">
        <f t="shared" ca="1" si="32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0"/>
        <v>0</v>
      </c>
    </row>
    <row r="707" spans="2:12" x14ac:dyDescent="0.3">
      <c r="B707" s="28" t="str">
        <f t="shared" ca="1" si="31"/>
        <v/>
      </c>
      <c r="C707" s="29" t="str">
        <f t="shared" ca="1" si="32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0"/>
        <v>0</v>
      </c>
    </row>
    <row r="708" spans="2:12" x14ac:dyDescent="0.3">
      <c r="B708" s="28" t="str">
        <f t="shared" ca="1" si="31"/>
        <v/>
      </c>
      <c r="C708" s="29" t="str">
        <f t="shared" ca="1" si="32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0"/>
        <v>0</v>
      </c>
    </row>
    <row r="709" spans="2:12" x14ac:dyDescent="0.3">
      <c r="B709" s="28" t="str">
        <f t="shared" ca="1" si="31"/>
        <v/>
      </c>
      <c r="C709" s="29" t="str">
        <f t="shared" ca="1" si="32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0"/>
        <v>0</v>
      </c>
    </row>
    <row r="710" spans="2:12" x14ac:dyDescent="0.3">
      <c r="B710" s="28" t="str">
        <f t="shared" ca="1" si="31"/>
        <v/>
      </c>
      <c r="C710" s="29" t="str">
        <f t="shared" ca="1" si="32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0"/>
        <v>0</v>
      </c>
    </row>
    <row r="711" spans="2:12" x14ac:dyDescent="0.3">
      <c r="B711" s="28" t="str">
        <f t="shared" ca="1" si="31"/>
        <v/>
      </c>
      <c r="C711" s="29" t="str">
        <f t="shared" ca="1" si="32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0"/>
        <v>0</v>
      </c>
    </row>
    <row r="712" spans="2:12" x14ac:dyDescent="0.3">
      <c r="B712" s="28" t="str">
        <f t="shared" ca="1" si="31"/>
        <v/>
      </c>
      <c r="C712" s="29" t="str">
        <f t="shared" ca="1" si="32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0"/>
        <v>0</v>
      </c>
    </row>
    <row r="713" spans="2:12" x14ac:dyDescent="0.3">
      <c r="B713" s="28" t="str">
        <f t="shared" ca="1" si="31"/>
        <v/>
      </c>
      <c r="C713" s="29" t="str">
        <f t="shared" ca="1" si="32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0"/>
        <v>0</v>
      </c>
    </row>
    <row r="714" spans="2:12" x14ac:dyDescent="0.3">
      <c r="B714" s="28" t="str">
        <f t="shared" ca="1" si="31"/>
        <v/>
      </c>
      <c r="C714" s="29" t="str">
        <f t="shared" ca="1" si="32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ref="L714:L777" si="33">J714-I714-K714</f>
        <v>0</v>
      </c>
    </row>
    <row r="715" spans="2:12" x14ac:dyDescent="0.3">
      <c r="B715" s="28" t="str">
        <f t="shared" ref="B715:B778" ca="1" si="34">IF(D715&lt;&gt;"",DATE(Jahr,_xlfn.SHEET()-2,D715),"")</f>
        <v/>
      </c>
      <c r="C715" s="29" t="str">
        <f t="shared" ref="C715:C778" ca="1" si="35">B715</f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3"/>
        <v>0</v>
      </c>
    </row>
    <row r="763" spans="2:12" x14ac:dyDescent="0.3">
      <c r="B763" s="28" t="str">
        <f t="shared" ca="1" si="34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3"/>
        <v>0</v>
      </c>
    </row>
    <row r="764" spans="2:12" x14ac:dyDescent="0.3">
      <c r="B764" s="28" t="str">
        <f t="shared" ca="1" si="34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3"/>
        <v>0</v>
      </c>
    </row>
    <row r="765" spans="2:12" x14ac:dyDescent="0.3">
      <c r="B765" s="28" t="str">
        <f t="shared" ca="1" si="34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3"/>
        <v>0</v>
      </c>
    </row>
    <row r="766" spans="2:12" x14ac:dyDescent="0.3">
      <c r="B766" s="28" t="str">
        <f t="shared" ca="1" si="34"/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3"/>
        <v>0</v>
      </c>
    </row>
    <row r="767" spans="2:12" x14ac:dyDescent="0.3">
      <c r="B767" s="28" t="str">
        <f t="shared" ca="1" si="34"/>
        <v/>
      </c>
      <c r="C767" s="29" t="str">
        <f t="shared" ca="1" si="35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3"/>
        <v>0</v>
      </c>
    </row>
    <row r="768" spans="2:12" x14ac:dyDescent="0.3">
      <c r="B768" s="28" t="str">
        <f t="shared" ca="1" si="34"/>
        <v/>
      </c>
      <c r="C768" s="29" t="str">
        <f t="shared" ca="1" si="35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3"/>
        <v>0</v>
      </c>
    </row>
    <row r="769" spans="2:12" x14ac:dyDescent="0.3">
      <c r="B769" s="28" t="str">
        <f t="shared" ca="1" si="34"/>
        <v/>
      </c>
      <c r="C769" s="29" t="str">
        <f t="shared" ca="1" si="35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3"/>
        <v>0</v>
      </c>
    </row>
    <row r="770" spans="2:12" x14ac:dyDescent="0.3">
      <c r="B770" s="28" t="str">
        <f t="shared" ca="1" si="34"/>
        <v/>
      </c>
      <c r="C770" s="29" t="str">
        <f t="shared" ca="1" si="35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3"/>
        <v>0</v>
      </c>
    </row>
    <row r="771" spans="2:12" x14ac:dyDescent="0.3">
      <c r="B771" s="28" t="str">
        <f t="shared" ca="1" si="34"/>
        <v/>
      </c>
      <c r="C771" s="29" t="str">
        <f t="shared" ca="1" si="35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3"/>
        <v>0</v>
      </c>
    </row>
    <row r="772" spans="2:12" x14ac:dyDescent="0.3">
      <c r="B772" s="28" t="str">
        <f t="shared" ca="1" si="34"/>
        <v/>
      </c>
      <c r="C772" s="29" t="str">
        <f t="shared" ca="1" si="35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3"/>
        <v>0</v>
      </c>
    </row>
    <row r="773" spans="2:12" x14ac:dyDescent="0.3">
      <c r="B773" s="28" t="str">
        <f t="shared" ca="1" si="34"/>
        <v/>
      </c>
      <c r="C773" s="29" t="str">
        <f t="shared" ca="1" si="35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3"/>
        <v>0</v>
      </c>
    </row>
    <row r="774" spans="2:12" x14ac:dyDescent="0.3">
      <c r="B774" s="28" t="str">
        <f t="shared" ca="1" si="34"/>
        <v/>
      </c>
      <c r="C774" s="29" t="str">
        <f t="shared" ca="1" si="35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3"/>
        <v>0</v>
      </c>
    </row>
    <row r="775" spans="2:12" x14ac:dyDescent="0.3">
      <c r="B775" s="28" t="str">
        <f t="shared" ca="1" si="34"/>
        <v/>
      </c>
      <c r="C775" s="29" t="str">
        <f t="shared" ca="1" si="35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3"/>
        <v>0</v>
      </c>
    </row>
    <row r="776" spans="2:12" x14ac:dyDescent="0.3">
      <c r="B776" s="28" t="str">
        <f t="shared" ca="1" si="34"/>
        <v/>
      </c>
      <c r="C776" s="29" t="str">
        <f t="shared" ca="1" si="35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3"/>
        <v>0</v>
      </c>
    </row>
    <row r="777" spans="2:12" x14ac:dyDescent="0.3">
      <c r="B777" s="28" t="str">
        <f t="shared" ca="1" si="34"/>
        <v/>
      </c>
      <c r="C777" s="29" t="str">
        <f t="shared" ca="1" si="35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3"/>
        <v>0</v>
      </c>
    </row>
    <row r="778" spans="2:12" x14ac:dyDescent="0.3">
      <c r="B778" s="28" t="str">
        <f t="shared" ca="1" si="34"/>
        <v/>
      </c>
      <c r="C778" s="29" t="str">
        <f t="shared" ca="1" si="35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ref="L778:L841" si="36">J778-I778-K778</f>
        <v>0</v>
      </c>
    </row>
    <row r="779" spans="2:12" x14ac:dyDescent="0.3">
      <c r="B779" s="28" t="str">
        <f t="shared" ref="B779:B842" ca="1" si="37">IF(D779&lt;&gt;"",DATE(Jahr,_xlfn.SHEET()-2,D779),"")</f>
        <v/>
      </c>
      <c r="C779" s="29" t="str">
        <f t="shared" ref="C779:C842" ca="1" si="38">B779</f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6"/>
        <v>0</v>
      </c>
    </row>
    <row r="827" spans="2:12" x14ac:dyDescent="0.3">
      <c r="B827" s="28" t="str">
        <f t="shared" ca="1" si="37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6"/>
        <v>0</v>
      </c>
    </row>
    <row r="828" spans="2:12" x14ac:dyDescent="0.3">
      <c r="B828" s="28" t="str">
        <f t="shared" ca="1" si="37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6"/>
        <v>0</v>
      </c>
    </row>
    <row r="829" spans="2:12" x14ac:dyDescent="0.3">
      <c r="B829" s="28" t="str">
        <f t="shared" ca="1" si="37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6"/>
        <v>0</v>
      </c>
    </row>
    <row r="830" spans="2:12" x14ac:dyDescent="0.3">
      <c r="B830" s="28" t="str">
        <f t="shared" ca="1" si="37"/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6"/>
        <v>0</v>
      </c>
    </row>
    <row r="831" spans="2:12" x14ac:dyDescent="0.3">
      <c r="B831" s="28" t="str">
        <f t="shared" ca="1" si="37"/>
        <v/>
      </c>
      <c r="C831" s="29" t="str">
        <f t="shared" ca="1" si="38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6"/>
        <v>0</v>
      </c>
    </row>
    <row r="832" spans="2:12" x14ac:dyDescent="0.3">
      <c r="B832" s="28" t="str">
        <f t="shared" ca="1" si="37"/>
        <v/>
      </c>
      <c r="C832" s="29" t="str">
        <f t="shared" ca="1" si="38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6"/>
        <v>0</v>
      </c>
    </row>
    <row r="833" spans="2:12" x14ac:dyDescent="0.3">
      <c r="B833" s="28" t="str">
        <f t="shared" ca="1" si="37"/>
        <v/>
      </c>
      <c r="C833" s="29" t="str">
        <f t="shared" ca="1" si="38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6"/>
        <v>0</v>
      </c>
    </row>
    <row r="834" spans="2:12" x14ac:dyDescent="0.3">
      <c r="B834" s="28" t="str">
        <f t="shared" ca="1" si="37"/>
        <v/>
      </c>
      <c r="C834" s="29" t="str">
        <f t="shared" ca="1" si="38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6"/>
        <v>0</v>
      </c>
    </row>
    <row r="835" spans="2:12" x14ac:dyDescent="0.3">
      <c r="B835" s="28" t="str">
        <f t="shared" ca="1" si="37"/>
        <v/>
      </c>
      <c r="C835" s="29" t="str">
        <f t="shared" ca="1" si="38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6"/>
        <v>0</v>
      </c>
    </row>
    <row r="836" spans="2:12" x14ac:dyDescent="0.3">
      <c r="B836" s="28" t="str">
        <f t="shared" ca="1" si="37"/>
        <v/>
      </c>
      <c r="C836" s="29" t="str">
        <f t="shared" ca="1" si="38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6"/>
        <v>0</v>
      </c>
    </row>
    <row r="837" spans="2:12" x14ac:dyDescent="0.3">
      <c r="B837" s="28" t="str">
        <f t="shared" ca="1" si="37"/>
        <v/>
      </c>
      <c r="C837" s="29" t="str">
        <f t="shared" ca="1" si="38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6"/>
        <v>0</v>
      </c>
    </row>
    <row r="838" spans="2:12" x14ac:dyDescent="0.3">
      <c r="B838" s="28" t="str">
        <f t="shared" ca="1" si="37"/>
        <v/>
      </c>
      <c r="C838" s="29" t="str">
        <f t="shared" ca="1" si="38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6"/>
        <v>0</v>
      </c>
    </row>
    <row r="839" spans="2:12" x14ac:dyDescent="0.3">
      <c r="B839" s="28" t="str">
        <f t="shared" ca="1" si="37"/>
        <v/>
      </c>
      <c r="C839" s="29" t="str">
        <f t="shared" ca="1" si="38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6"/>
        <v>0</v>
      </c>
    </row>
    <row r="840" spans="2:12" x14ac:dyDescent="0.3">
      <c r="B840" s="28" t="str">
        <f t="shared" ca="1" si="37"/>
        <v/>
      </c>
      <c r="C840" s="29" t="str">
        <f t="shared" ca="1" si="38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6"/>
        <v>0</v>
      </c>
    </row>
    <row r="841" spans="2:12" x14ac:dyDescent="0.3">
      <c r="B841" s="28" t="str">
        <f t="shared" ca="1" si="37"/>
        <v/>
      </c>
      <c r="C841" s="29" t="str">
        <f t="shared" ca="1" si="38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6"/>
        <v>0</v>
      </c>
    </row>
    <row r="842" spans="2:12" x14ac:dyDescent="0.3">
      <c r="B842" s="28" t="str">
        <f t="shared" ca="1" si="37"/>
        <v/>
      </c>
      <c r="C842" s="29" t="str">
        <f t="shared" ca="1" si="38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ref="L842:L905" si="39">J842-I842-K842</f>
        <v>0</v>
      </c>
    </row>
    <row r="843" spans="2:12" x14ac:dyDescent="0.3">
      <c r="B843" s="28" t="str">
        <f t="shared" ref="B843:B906" ca="1" si="40">IF(D843&lt;&gt;"",DATE(Jahr,_xlfn.SHEET()-2,D843),"")</f>
        <v/>
      </c>
      <c r="C843" s="29" t="str">
        <f t="shared" ref="C843:C906" ca="1" si="41">B843</f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39"/>
        <v>0</v>
      </c>
    </row>
    <row r="891" spans="2:12" x14ac:dyDescent="0.3">
      <c r="B891" s="28" t="str">
        <f t="shared" ca="1" si="40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39"/>
        <v>0</v>
      </c>
    </row>
    <row r="892" spans="2:12" x14ac:dyDescent="0.3">
      <c r="B892" s="28" t="str">
        <f t="shared" ca="1" si="40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39"/>
        <v>0</v>
      </c>
    </row>
    <row r="893" spans="2:12" x14ac:dyDescent="0.3">
      <c r="B893" s="28" t="str">
        <f t="shared" ca="1" si="40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39"/>
        <v>0</v>
      </c>
    </row>
    <row r="894" spans="2:12" x14ac:dyDescent="0.3">
      <c r="B894" s="28" t="str">
        <f t="shared" ca="1" si="40"/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39"/>
        <v>0</v>
      </c>
    </row>
    <row r="895" spans="2:12" x14ac:dyDescent="0.3">
      <c r="B895" s="28" t="str">
        <f t="shared" ca="1" si="40"/>
        <v/>
      </c>
      <c r="C895" s="29" t="str">
        <f t="shared" ca="1" si="41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39"/>
        <v>0</v>
      </c>
    </row>
    <row r="896" spans="2:12" x14ac:dyDescent="0.3">
      <c r="B896" s="28" t="str">
        <f t="shared" ca="1" si="40"/>
        <v/>
      </c>
      <c r="C896" s="29" t="str">
        <f t="shared" ca="1" si="41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39"/>
        <v>0</v>
      </c>
    </row>
    <row r="897" spans="2:12" x14ac:dyDescent="0.3">
      <c r="B897" s="28" t="str">
        <f t="shared" ca="1" si="40"/>
        <v/>
      </c>
      <c r="C897" s="29" t="str">
        <f t="shared" ca="1" si="41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39"/>
        <v>0</v>
      </c>
    </row>
    <row r="898" spans="2:12" x14ac:dyDescent="0.3">
      <c r="B898" s="28" t="str">
        <f t="shared" ca="1" si="40"/>
        <v/>
      </c>
      <c r="C898" s="29" t="str">
        <f t="shared" ca="1" si="41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39"/>
        <v>0</v>
      </c>
    </row>
    <row r="899" spans="2:12" x14ac:dyDescent="0.3">
      <c r="B899" s="28" t="str">
        <f t="shared" ca="1" si="40"/>
        <v/>
      </c>
      <c r="C899" s="29" t="str">
        <f t="shared" ca="1" si="41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39"/>
        <v>0</v>
      </c>
    </row>
    <row r="900" spans="2:12" x14ac:dyDescent="0.3">
      <c r="B900" s="28" t="str">
        <f t="shared" ca="1" si="40"/>
        <v/>
      </c>
      <c r="C900" s="29" t="str">
        <f t="shared" ca="1" si="41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39"/>
        <v>0</v>
      </c>
    </row>
    <row r="901" spans="2:12" x14ac:dyDescent="0.3">
      <c r="B901" s="28" t="str">
        <f t="shared" ca="1" si="40"/>
        <v/>
      </c>
      <c r="C901" s="29" t="str">
        <f t="shared" ca="1" si="41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39"/>
        <v>0</v>
      </c>
    </row>
    <row r="902" spans="2:12" x14ac:dyDescent="0.3">
      <c r="B902" s="28" t="str">
        <f t="shared" ca="1" si="40"/>
        <v/>
      </c>
      <c r="C902" s="29" t="str">
        <f t="shared" ca="1" si="41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39"/>
        <v>0</v>
      </c>
    </row>
    <row r="903" spans="2:12" x14ac:dyDescent="0.3">
      <c r="B903" s="28" t="str">
        <f t="shared" ca="1" si="40"/>
        <v/>
      </c>
      <c r="C903" s="29" t="str">
        <f t="shared" ca="1" si="41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39"/>
        <v>0</v>
      </c>
    </row>
    <row r="904" spans="2:12" x14ac:dyDescent="0.3">
      <c r="B904" s="28" t="str">
        <f t="shared" ca="1" si="40"/>
        <v/>
      </c>
      <c r="C904" s="29" t="str">
        <f t="shared" ca="1" si="41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39"/>
        <v>0</v>
      </c>
    </row>
    <row r="905" spans="2:12" x14ac:dyDescent="0.3">
      <c r="B905" s="28" t="str">
        <f t="shared" ca="1" si="40"/>
        <v/>
      </c>
      <c r="C905" s="29" t="str">
        <f t="shared" ca="1" si="41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39"/>
        <v>0</v>
      </c>
    </row>
    <row r="906" spans="2:12" x14ac:dyDescent="0.3">
      <c r="B906" s="28" t="str">
        <f t="shared" ca="1" si="40"/>
        <v/>
      </c>
      <c r="C906" s="29" t="str">
        <f t="shared" ca="1" si="41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ref="L906:L969" si="42">J906-I906-K906</f>
        <v>0</v>
      </c>
    </row>
    <row r="907" spans="2:12" x14ac:dyDescent="0.3">
      <c r="B907" s="28" t="str">
        <f t="shared" ref="B907:B970" ca="1" si="43">IF(D907&lt;&gt;"",DATE(Jahr,_xlfn.SHEET()-2,D907),"")</f>
        <v/>
      </c>
      <c r="C907" s="29" t="str">
        <f t="shared" ref="C907:C970" ca="1" si="44">B907</f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2"/>
        <v>0</v>
      </c>
    </row>
    <row r="955" spans="2:12" x14ac:dyDescent="0.3">
      <c r="B955" s="28" t="str">
        <f t="shared" ca="1" si="43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2"/>
        <v>0</v>
      </c>
    </row>
    <row r="956" spans="2:12" x14ac:dyDescent="0.3">
      <c r="B956" s="28" t="str">
        <f t="shared" ca="1" si="43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2"/>
        <v>0</v>
      </c>
    </row>
    <row r="957" spans="2:12" x14ac:dyDescent="0.3">
      <c r="B957" s="28" t="str">
        <f t="shared" ca="1" si="43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2"/>
        <v>0</v>
      </c>
    </row>
    <row r="958" spans="2:12" x14ac:dyDescent="0.3">
      <c r="B958" s="28" t="str">
        <f t="shared" ca="1" si="43"/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2"/>
        <v>0</v>
      </c>
    </row>
    <row r="959" spans="2:12" x14ac:dyDescent="0.3">
      <c r="B959" s="28" t="str">
        <f t="shared" ca="1" si="43"/>
        <v/>
      </c>
      <c r="C959" s="29" t="str">
        <f t="shared" ca="1" si="44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2"/>
        <v>0</v>
      </c>
    </row>
    <row r="960" spans="2:12" x14ac:dyDescent="0.3">
      <c r="B960" s="28" t="str">
        <f t="shared" ca="1" si="43"/>
        <v/>
      </c>
      <c r="C960" s="29" t="str">
        <f t="shared" ca="1" si="44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2"/>
        <v>0</v>
      </c>
    </row>
    <row r="961" spans="2:12" x14ac:dyDescent="0.3">
      <c r="B961" s="28" t="str">
        <f t="shared" ca="1" si="43"/>
        <v/>
      </c>
      <c r="C961" s="29" t="str">
        <f t="shared" ca="1" si="44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2"/>
        <v>0</v>
      </c>
    </row>
    <row r="962" spans="2:12" x14ac:dyDescent="0.3">
      <c r="B962" s="28" t="str">
        <f t="shared" ca="1" si="43"/>
        <v/>
      </c>
      <c r="C962" s="29" t="str">
        <f t="shared" ca="1" si="44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2"/>
        <v>0</v>
      </c>
    </row>
    <row r="963" spans="2:12" x14ac:dyDescent="0.3">
      <c r="B963" s="28" t="str">
        <f t="shared" ca="1" si="43"/>
        <v/>
      </c>
      <c r="C963" s="29" t="str">
        <f t="shared" ca="1" si="44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2"/>
        <v>0</v>
      </c>
    </row>
    <row r="964" spans="2:12" x14ac:dyDescent="0.3">
      <c r="B964" s="28" t="str">
        <f t="shared" ca="1" si="43"/>
        <v/>
      </c>
      <c r="C964" s="29" t="str">
        <f t="shared" ca="1" si="44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2"/>
        <v>0</v>
      </c>
    </row>
    <row r="965" spans="2:12" x14ac:dyDescent="0.3">
      <c r="B965" s="28" t="str">
        <f t="shared" ca="1" si="43"/>
        <v/>
      </c>
      <c r="C965" s="29" t="str">
        <f t="shared" ca="1" si="44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2"/>
        <v>0</v>
      </c>
    </row>
    <row r="966" spans="2:12" x14ac:dyDescent="0.3">
      <c r="B966" s="28" t="str">
        <f t="shared" ca="1" si="43"/>
        <v/>
      </c>
      <c r="C966" s="29" t="str">
        <f t="shared" ca="1" si="44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2"/>
        <v>0</v>
      </c>
    </row>
    <row r="967" spans="2:12" x14ac:dyDescent="0.3">
      <c r="B967" s="28" t="str">
        <f t="shared" ca="1" si="43"/>
        <v/>
      </c>
      <c r="C967" s="29" t="str">
        <f t="shared" ca="1" si="44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2"/>
        <v>0</v>
      </c>
    </row>
    <row r="968" spans="2:12" x14ac:dyDescent="0.3">
      <c r="B968" s="28" t="str">
        <f t="shared" ca="1" si="43"/>
        <v/>
      </c>
      <c r="C968" s="29" t="str">
        <f t="shared" ca="1" si="44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2"/>
        <v>0</v>
      </c>
    </row>
    <row r="969" spans="2:12" x14ac:dyDescent="0.3">
      <c r="B969" s="28" t="str">
        <f t="shared" ca="1" si="43"/>
        <v/>
      </c>
      <c r="C969" s="29" t="str">
        <f t="shared" ca="1" si="44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2"/>
        <v>0</v>
      </c>
    </row>
    <row r="970" spans="2:12" x14ac:dyDescent="0.3">
      <c r="B970" s="28" t="str">
        <f t="shared" ca="1" si="43"/>
        <v/>
      </c>
      <c r="C970" s="29" t="str">
        <f t="shared" ca="1" si="44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ref="L970:L999" si="45">J970-I970-K970</f>
        <v>0</v>
      </c>
    </row>
    <row r="971" spans="2:12" x14ac:dyDescent="0.3">
      <c r="B971" s="28" t="str">
        <f t="shared" ref="B971:B999" ca="1" si="46">IF(D971&lt;&gt;"",DATE(Jahr,_xlfn.SHEET()-2,D971),"")</f>
        <v/>
      </c>
      <c r="C971" s="29" t="str">
        <f t="shared" ref="C971:C999" ca="1" si="47">B971</f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5"/>
        <v>0</v>
      </c>
    </row>
    <row r="972" spans="2:12" x14ac:dyDescent="0.3">
      <c r="B972" s="28" t="str">
        <f t="shared" ca="1" si="46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5"/>
        <v>0</v>
      </c>
    </row>
    <row r="973" spans="2:12" x14ac:dyDescent="0.3">
      <c r="B973" s="28" t="str">
        <f t="shared" ca="1" si="46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5"/>
        <v>0</v>
      </c>
    </row>
    <row r="974" spans="2:12" x14ac:dyDescent="0.3">
      <c r="B974" s="28" t="str">
        <f t="shared" ca="1" si="46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5"/>
        <v>0</v>
      </c>
    </row>
    <row r="975" spans="2:12" x14ac:dyDescent="0.3">
      <c r="B975" s="28" t="str">
        <f t="shared" ca="1" si="46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5"/>
        <v>0</v>
      </c>
    </row>
    <row r="976" spans="2:12" x14ac:dyDescent="0.3">
      <c r="B976" s="28" t="str">
        <f t="shared" ca="1" si="46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5"/>
        <v>0</v>
      </c>
    </row>
    <row r="977" spans="2:12" x14ac:dyDescent="0.3">
      <c r="B977" s="28" t="str">
        <f t="shared" ca="1" si="46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3" spans="2:12" x14ac:dyDescent="0.3">
      <c r="B983" s="28" t="str">
        <f t="shared" ca="1" si="46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B984" s="28" t="str">
        <f t="shared" ca="1" si="46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5"/>
        <v>0</v>
      </c>
    </row>
    <row r="985" spans="2:12" x14ac:dyDescent="0.3">
      <c r="B985" s="28" t="str">
        <f t="shared" ca="1" si="46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5"/>
        <v>0</v>
      </c>
    </row>
    <row r="986" spans="2:12" x14ac:dyDescent="0.3">
      <c r="B986" s="28" t="str">
        <f t="shared" ca="1" si="46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5"/>
        <v>0</v>
      </c>
    </row>
    <row r="987" spans="2:12" x14ac:dyDescent="0.3">
      <c r="B987" s="28" t="str">
        <f t="shared" ca="1" si="46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5"/>
        <v>0</v>
      </c>
    </row>
    <row r="988" spans="2:12" x14ac:dyDescent="0.3">
      <c r="B988" s="28" t="str">
        <f t="shared" ca="1" si="46"/>
        <v/>
      </c>
      <c r="C988" s="29" t="str">
        <f t="shared" ca="1" si="47"/>
        <v/>
      </c>
      <c r="D988" s="57"/>
      <c r="E988" s="57"/>
      <c r="F988" s="57"/>
      <c r="G988" s="58"/>
      <c r="H988" s="58"/>
      <c r="I988" s="59"/>
      <c r="J988" s="59"/>
      <c r="K988" s="59"/>
      <c r="L988" s="5">
        <f t="shared" si="45"/>
        <v>0</v>
      </c>
    </row>
    <row r="989" spans="2:12" x14ac:dyDescent="0.3">
      <c r="B989" s="28" t="str">
        <f t="shared" ca="1" si="46"/>
        <v/>
      </c>
      <c r="C989" s="29" t="str">
        <f t="shared" ca="1" si="47"/>
        <v/>
      </c>
      <c r="D989" s="57"/>
      <c r="E989" s="57"/>
      <c r="F989" s="57"/>
      <c r="G989" s="58"/>
      <c r="H989" s="58"/>
      <c r="I989" s="59"/>
      <c r="J989" s="59"/>
      <c r="K989" s="59"/>
      <c r="L989" s="5">
        <f t="shared" si="45"/>
        <v>0</v>
      </c>
    </row>
    <row r="990" spans="2:12" x14ac:dyDescent="0.3">
      <c r="B990" s="28" t="str">
        <f t="shared" ca="1" si="46"/>
        <v/>
      </c>
      <c r="C990" s="29" t="str">
        <f t="shared" ca="1" si="47"/>
        <v/>
      </c>
      <c r="D990" s="57"/>
      <c r="E990" s="57"/>
      <c r="F990" s="57"/>
      <c r="G990" s="58"/>
      <c r="H990" s="58"/>
      <c r="I990" s="59"/>
      <c r="J990" s="59"/>
      <c r="K990" s="59"/>
      <c r="L990" s="5">
        <f t="shared" si="45"/>
        <v>0</v>
      </c>
    </row>
    <row r="991" spans="2:12" x14ac:dyDescent="0.3">
      <c r="B991" s="28" t="str">
        <f t="shared" ca="1" si="46"/>
        <v/>
      </c>
      <c r="C991" s="29" t="str">
        <f t="shared" ca="1" si="47"/>
        <v/>
      </c>
      <c r="D991" s="57"/>
      <c r="E991" s="57"/>
      <c r="F991" s="57"/>
      <c r="G991" s="58"/>
      <c r="H991" s="58"/>
      <c r="I991" s="59"/>
      <c r="J991" s="59"/>
      <c r="K991" s="59"/>
      <c r="L991" s="5">
        <f t="shared" si="45"/>
        <v>0</v>
      </c>
    </row>
    <row r="992" spans="2:12" x14ac:dyDescent="0.3">
      <c r="B992" s="28" t="str">
        <f t="shared" ca="1" si="46"/>
        <v/>
      </c>
      <c r="C992" s="29" t="str">
        <f t="shared" ca="1" si="47"/>
        <v/>
      </c>
      <c r="D992" s="57"/>
      <c r="E992" s="57"/>
      <c r="F992" s="57"/>
      <c r="G992" s="58"/>
      <c r="H992" s="58"/>
      <c r="I992" s="59"/>
      <c r="J992" s="59"/>
      <c r="K992" s="59"/>
      <c r="L992" s="5">
        <f t="shared" si="45"/>
        <v>0</v>
      </c>
    </row>
    <row r="993" spans="2:12" x14ac:dyDescent="0.3">
      <c r="B993" s="28" t="str">
        <f t="shared" ca="1" si="46"/>
        <v/>
      </c>
      <c r="C993" s="29" t="str">
        <f t="shared" ca="1" si="47"/>
        <v/>
      </c>
      <c r="D993" s="57"/>
      <c r="E993" s="57"/>
      <c r="F993" s="57"/>
      <c r="G993" s="58"/>
      <c r="H993" s="58"/>
      <c r="I993" s="59"/>
      <c r="J993" s="59"/>
      <c r="K993" s="59"/>
      <c r="L993" s="5">
        <f t="shared" si="45"/>
        <v>0</v>
      </c>
    </row>
    <row r="994" spans="2:12" x14ac:dyDescent="0.3">
      <c r="B994" s="28" t="str">
        <f t="shared" ca="1" si="46"/>
        <v/>
      </c>
      <c r="C994" s="29" t="str">
        <f t="shared" ca="1" si="47"/>
        <v/>
      </c>
      <c r="D994" s="57"/>
      <c r="E994" s="57"/>
      <c r="F994" s="57"/>
      <c r="G994" s="58"/>
      <c r="H994" s="58"/>
      <c r="I994" s="59"/>
      <c r="J994" s="59"/>
      <c r="K994" s="59"/>
      <c r="L994" s="5">
        <f t="shared" si="45"/>
        <v>0</v>
      </c>
    </row>
    <row r="995" spans="2:12" x14ac:dyDescent="0.3">
      <c r="B995" s="28" t="str">
        <f t="shared" ca="1" si="46"/>
        <v/>
      </c>
      <c r="C995" s="29" t="str">
        <f t="shared" ca="1" si="47"/>
        <v/>
      </c>
      <c r="D995" s="57"/>
      <c r="E995" s="57"/>
      <c r="F995" s="57"/>
      <c r="G995" s="58"/>
      <c r="H995" s="58"/>
      <c r="I995" s="59"/>
      <c r="J995" s="59"/>
      <c r="K995" s="59"/>
      <c r="L995" s="5">
        <f t="shared" si="45"/>
        <v>0</v>
      </c>
    </row>
    <row r="996" spans="2:12" x14ac:dyDescent="0.3">
      <c r="B996" s="28" t="str">
        <f t="shared" ca="1" si="46"/>
        <v/>
      </c>
      <c r="C996" s="29" t="str">
        <f t="shared" ca="1" si="47"/>
        <v/>
      </c>
      <c r="D996" s="57"/>
      <c r="E996" s="57"/>
      <c r="F996" s="57"/>
      <c r="G996" s="58"/>
      <c r="H996" s="58"/>
      <c r="I996" s="59"/>
      <c r="J996" s="59"/>
      <c r="K996" s="59"/>
      <c r="L996" s="5">
        <f t="shared" si="45"/>
        <v>0</v>
      </c>
    </row>
    <row r="997" spans="2:12" x14ac:dyDescent="0.3">
      <c r="B997" s="28" t="str">
        <f t="shared" ca="1" si="46"/>
        <v/>
      </c>
      <c r="C997" s="29" t="str">
        <f t="shared" ca="1" si="47"/>
        <v/>
      </c>
      <c r="D997" s="57"/>
      <c r="E997" s="57"/>
      <c r="F997" s="57"/>
      <c r="G997" s="58"/>
      <c r="H997" s="58"/>
      <c r="I997" s="59"/>
      <c r="J997" s="59"/>
      <c r="K997" s="59"/>
      <c r="L997" s="5">
        <f t="shared" si="45"/>
        <v>0</v>
      </c>
    </row>
    <row r="998" spans="2:12" x14ac:dyDescent="0.3">
      <c r="B998" s="28" t="str">
        <f t="shared" ca="1" si="46"/>
        <v/>
      </c>
      <c r="C998" s="29" t="str">
        <f t="shared" ca="1" si="47"/>
        <v/>
      </c>
      <c r="D998" s="57"/>
      <c r="E998" s="57"/>
      <c r="F998" s="57"/>
      <c r="G998" s="58"/>
      <c r="H998" s="58"/>
      <c r="I998" s="59"/>
      <c r="J998" s="59"/>
      <c r="K998" s="59"/>
      <c r="L998" s="5">
        <f t="shared" si="45"/>
        <v>0</v>
      </c>
    </row>
    <row r="999" spans="2:12" x14ac:dyDescent="0.3">
      <c r="B999" s="28" t="str">
        <f t="shared" ca="1" si="46"/>
        <v/>
      </c>
      <c r="C999" s="29" t="str">
        <f t="shared" ca="1" si="47"/>
        <v/>
      </c>
      <c r="D999" s="57"/>
      <c r="E999" s="57"/>
      <c r="F999" s="57"/>
      <c r="G999" s="58"/>
      <c r="H999" s="58"/>
      <c r="I999" s="59"/>
      <c r="J999" s="59"/>
      <c r="K999" s="59"/>
      <c r="L999" s="5">
        <f t="shared" si="45"/>
        <v>0</v>
      </c>
    </row>
  </sheetData>
  <autoFilter ref="B8:L917" xr:uid="{00000000-0009-0000-0000-00000B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99">
    <cfRule type="expression" dxfId="21" priority="1">
      <formula>AND($D9&lt;&gt;"",NOT(ISNUMBER($D9)))</formula>
    </cfRule>
    <cfRule type="expression" dxfId="20" priority="2">
      <formula>OR($D9&lt;=0,DAY(DATE(YEAR($C9),MONTH($C9)+1,1)-1) &lt;$D9)</formula>
    </cfRule>
    <cfRule type="expression" dxfId="18" priority="4">
      <formula>AND($D9&lt;&gt;"",WEEKDAY($B9,2)=6)</formula>
    </cfRule>
    <cfRule type="expression" dxfId="17" priority="5">
      <formula>AND($D9&lt;&gt;"",WEEKDAY($B9,2)=7)</formula>
    </cfRule>
    <cfRule type="expression" dxfId="16" priority="6">
      <formula>AND($D9&lt;&gt;"",WEEKDAY($B9,2)&lt;6)</formula>
    </cfRule>
  </conditionalFormatting>
  <dataValidations count="2">
    <dataValidation type="list" allowBlank="1" showInputMessage="1" showErrorMessage="1" sqref="G9:G999" xr:uid="{837B30F6-1951-49B7-AB8F-5DA7FDD9552D}">
      <formula1>Arbeitspakete</formula1>
    </dataValidation>
    <dataValidation type="list" allowBlank="1" showInputMessage="1" showErrorMessage="1" sqref="F9:F999" xr:uid="{A1253A7A-9539-482A-A196-E345CC3B8363}">
      <formula1>Projektnamen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F3C28F1-E552-4A32-91C5-5E2FBF1533C8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B9:B999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T999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SUM(L9:L999)*24</f>
        <v>0</v>
      </c>
    </row>
    <row r="5" spans="2:12" x14ac:dyDescent="0.3">
      <c r="B5" t="s">
        <v>67</v>
      </c>
      <c r="D5" t="str">
        <f ca="1">TEXT("1. "&amp;_xlfn.SHEET()-2,"MMMM")</f>
        <v>November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-142.99999999999997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72" si="0">J9-I9-K9</f>
        <v>0</v>
      </c>
    </row>
    <row r="10" spans="2:12" x14ac:dyDescent="0.3">
      <c r="B10" s="28" t="str">
        <f t="shared" ref="B10:B72" ca="1" si="1">IF(D10&lt;&gt;"",DATE(Jahr,_xlfn.SHEET()-2,D10),"")</f>
        <v/>
      </c>
      <c r="C10" s="29" t="str">
        <f t="shared" ref="C10:C72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ca="1">IF(D11&lt;&gt;"",DATE(Jahr,_xlfn.SHEET()-2,D11),"")</f>
        <v/>
      </c>
      <c r="C11" s="29" t="str">
        <f ca="1">B11</f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  <c r="T28" s="88"/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  <c r="T29" s="89"/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  <c r="T30" s="89"/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  <c r="T31" s="89"/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  <c r="T32" s="89"/>
    </row>
    <row r="33" spans="2:20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  <c r="T33" s="89"/>
    </row>
    <row r="34" spans="2:20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  <c r="T34" s="90"/>
    </row>
    <row r="35" spans="2:20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20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  <c r="T36" s="91"/>
    </row>
    <row r="37" spans="2:20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</row>
    <row r="38" spans="2:20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</row>
    <row r="39" spans="2:20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</row>
    <row r="40" spans="2:20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0"/>
        <v>0</v>
      </c>
    </row>
    <row r="41" spans="2:20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20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0"/>
        <v>0</v>
      </c>
    </row>
    <row r="43" spans="2:20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20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20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20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20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20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8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t="shared" ca="1" si="1"/>
        <v/>
      </c>
      <c r="C63" s="29" t="str">
        <f t="shared" ca="1" si="2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0"/>
        <v>0</v>
      </c>
    </row>
    <row r="64" spans="2:12" x14ac:dyDescent="0.3">
      <c r="B64" s="28" t="str">
        <f t="shared" ca="1" si="1"/>
        <v/>
      </c>
      <c r="C64" s="29" t="str">
        <f t="shared" ca="1" si="2"/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0"/>
        <v>0</v>
      </c>
    </row>
    <row r="65" spans="2:12" x14ac:dyDescent="0.3">
      <c r="B65" s="28" t="str">
        <f t="shared" ca="1" si="1"/>
        <v/>
      </c>
      <c r="C65" s="29" t="str">
        <f t="shared" ca="1" si="2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0"/>
        <v>0</v>
      </c>
    </row>
    <row r="66" spans="2:12" x14ac:dyDescent="0.3">
      <c r="B66" s="28" t="str">
        <f t="shared" ca="1" si="1"/>
        <v/>
      </c>
      <c r="C66" s="29" t="str">
        <f t="shared" ca="1" si="2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0"/>
        <v>0</v>
      </c>
    </row>
    <row r="67" spans="2:12" x14ac:dyDescent="0.3">
      <c r="B67" s="28" t="str">
        <f t="shared" ca="1" si="1"/>
        <v/>
      </c>
      <c r="C67" s="29" t="str">
        <f t="shared" ca="1" si="2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0"/>
        <v>0</v>
      </c>
    </row>
    <row r="68" spans="2:12" x14ac:dyDescent="0.3">
      <c r="B68" s="28" t="str">
        <f t="shared" ca="1" si="1"/>
        <v/>
      </c>
      <c r="C68" s="29" t="str">
        <f t="shared" ca="1" si="2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0"/>
        <v>0</v>
      </c>
    </row>
    <row r="69" spans="2:12" x14ac:dyDescent="0.3">
      <c r="B69" s="28" t="str">
        <f t="shared" ca="1" si="1"/>
        <v/>
      </c>
      <c r="C69" s="29" t="str">
        <f t="shared" ca="1" si="2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0"/>
        <v>0</v>
      </c>
    </row>
    <row r="70" spans="2:12" x14ac:dyDescent="0.3">
      <c r="B70" s="28" t="str">
        <f t="shared" ca="1" si="1"/>
        <v/>
      </c>
      <c r="C70" s="29" t="str">
        <f t="shared" ca="1" si="2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0"/>
        <v>0</v>
      </c>
    </row>
    <row r="71" spans="2:12" x14ac:dyDescent="0.3">
      <c r="B71" s="28" t="str">
        <f t="shared" ca="1" si="1"/>
        <v/>
      </c>
      <c r="C71" s="29" t="str">
        <f t="shared" ca="1" si="2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0"/>
        <v>0</v>
      </c>
    </row>
    <row r="72" spans="2:12" x14ac:dyDescent="0.3">
      <c r="B72" s="28" t="str">
        <f t="shared" ca="1" si="1"/>
        <v/>
      </c>
      <c r="C72" s="29" t="str">
        <f t="shared" ca="1" si="2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0"/>
        <v>0</v>
      </c>
    </row>
    <row r="73" spans="2:12" x14ac:dyDescent="0.3">
      <c r="B73" s="28" t="str">
        <f ca="1">IF(D73&lt;&gt;"",DATE(Jahr,_xlfn.SHEET()-2,D73),"")</f>
        <v/>
      </c>
      <c r="C73" s="29" t="str">
        <f ca="1">B73</f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ref="L73:L137" si="3">J73-I73-K73</f>
        <v>0</v>
      </c>
    </row>
    <row r="74" spans="2:12" x14ac:dyDescent="0.3">
      <c r="B74" s="28" t="str">
        <f t="shared" ref="B74:B138" ca="1" si="4">IF(D74&lt;&gt;"",DATE(Jahr,_xlfn.SHEET()-2,D74),"")</f>
        <v/>
      </c>
      <c r="C74" s="29" t="str">
        <f t="shared" ref="C74:C138" ca="1" si="5">B74</f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3"/>
        <v>0</v>
      </c>
    </row>
    <row r="75" spans="2:12" x14ac:dyDescent="0.3">
      <c r="B75" s="28" t="str">
        <f t="shared" ca="1" si="4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3"/>
        <v>0</v>
      </c>
    </row>
    <row r="76" spans="2:12" x14ac:dyDescent="0.3">
      <c r="B76" s="28" t="str">
        <f t="shared" ca="1" si="4"/>
        <v/>
      </c>
      <c r="C76" s="29" t="str">
        <f t="shared" ca="1" si="5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3"/>
        <v>0</v>
      </c>
    </row>
    <row r="77" spans="2:12" x14ac:dyDescent="0.3">
      <c r="B77" s="28" t="str">
        <f t="shared" ca="1" si="4"/>
        <v/>
      </c>
      <c r="C77" s="29" t="str">
        <f t="shared" ca="1" si="5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3"/>
        <v>0</v>
      </c>
    </row>
    <row r="78" spans="2:12" x14ac:dyDescent="0.3">
      <c r="B78" s="28" t="str">
        <f t="shared" ca="1" si="4"/>
        <v/>
      </c>
      <c r="C78" s="29" t="str">
        <f t="shared" ca="1" si="5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3"/>
        <v>0</v>
      </c>
    </row>
    <row r="79" spans="2:12" x14ac:dyDescent="0.3">
      <c r="B79" s="28" t="str">
        <f t="shared" ca="1" si="4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t="shared" ca="1" si="4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ca="1">IF(D86&lt;&gt;"",DATE(Jahr,_xlfn.SHEET()-2,D86),"")</f>
        <v/>
      </c>
      <c r="C86" s="29" t="str">
        <f ca="1">B86</f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3"/>
        <v>0</v>
      </c>
    </row>
    <row r="123" spans="2:12" x14ac:dyDescent="0.3">
      <c r="B123" s="28" t="str">
        <f t="shared" ca="1" si="4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3"/>
        <v>0</v>
      </c>
    </row>
    <row r="124" spans="2:12" x14ac:dyDescent="0.3">
      <c r="B124" s="28" t="str">
        <f t="shared" ca="1" si="4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3"/>
        <v>0</v>
      </c>
    </row>
    <row r="125" spans="2:12" x14ac:dyDescent="0.3">
      <c r="B125" s="28" t="str">
        <f t="shared" ca="1" si="4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3"/>
        <v>0</v>
      </c>
    </row>
    <row r="126" spans="2:12" x14ac:dyDescent="0.3">
      <c r="B126" s="28" t="str">
        <f t="shared" ca="1" si="4"/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3"/>
        <v>0</v>
      </c>
    </row>
    <row r="127" spans="2:12" x14ac:dyDescent="0.3">
      <c r="B127" s="28" t="str">
        <f t="shared" ca="1" si="4"/>
        <v/>
      </c>
      <c r="C127" s="29" t="str">
        <f t="shared" ca="1" si="5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3"/>
        <v>0</v>
      </c>
    </row>
    <row r="128" spans="2:12" x14ac:dyDescent="0.3">
      <c r="B128" s="28" t="str">
        <f t="shared" ca="1" si="4"/>
        <v/>
      </c>
      <c r="C128" s="29" t="str">
        <f t="shared" ca="1" si="5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3"/>
        <v>0</v>
      </c>
    </row>
    <row r="129" spans="2:12" x14ac:dyDescent="0.3">
      <c r="B129" s="28" t="str">
        <f t="shared" ca="1" si="4"/>
        <v/>
      </c>
      <c r="C129" s="29" t="str">
        <f t="shared" ca="1" si="5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3"/>
        <v>0</v>
      </c>
    </row>
    <row r="130" spans="2:12" x14ac:dyDescent="0.3">
      <c r="B130" s="28" t="str">
        <f t="shared" ca="1" si="4"/>
        <v/>
      </c>
      <c r="C130" s="29" t="str">
        <f t="shared" ca="1" si="5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3"/>
        <v>0</v>
      </c>
    </row>
    <row r="131" spans="2:12" x14ac:dyDescent="0.3">
      <c r="B131" s="28" t="str">
        <f t="shared" ca="1" si="4"/>
        <v/>
      </c>
      <c r="C131" s="29" t="str">
        <f t="shared" ca="1" si="5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3"/>
        <v>0</v>
      </c>
    </row>
    <row r="132" spans="2:12" x14ac:dyDescent="0.3">
      <c r="B132" s="28" t="str">
        <f t="shared" ca="1" si="4"/>
        <v/>
      </c>
      <c r="C132" s="29" t="str">
        <f t="shared" ca="1" si="5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3"/>
        <v>0</v>
      </c>
    </row>
    <row r="133" spans="2:12" x14ac:dyDescent="0.3">
      <c r="B133" s="28" t="str">
        <f t="shared" ca="1" si="4"/>
        <v/>
      </c>
      <c r="C133" s="29" t="str">
        <f t="shared" ca="1" si="5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3"/>
        <v>0</v>
      </c>
    </row>
    <row r="134" spans="2:12" x14ac:dyDescent="0.3">
      <c r="B134" s="28" t="str">
        <f t="shared" ca="1" si="4"/>
        <v/>
      </c>
      <c r="C134" s="29" t="str">
        <f t="shared" ca="1" si="5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3"/>
        <v>0</v>
      </c>
    </row>
    <row r="135" spans="2:12" x14ac:dyDescent="0.3">
      <c r="B135" s="28" t="str">
        <f t="shared" ca="1" si="4"/>
        <v/>
      </c>
      <c r="C135" s="29" t="str">
        <f t="shared" ca="1" si="5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3"/>
        <v>0</v>
      </c>
    </row>
    <row r="136" spans="2:12" x14ac:dyDescent="0.3">
      <c r="B136" s="28" t="str">
        <f t="shared" ca="1" si="4"/>
        <v/>
      </c>
      <c r="C136" s="29" t="str">
        <f t="shared" ca="1" si="5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3"/>
        <v>0</v>
      </c>
    </row>
    <row r="137" spans="2:12" x14ac:dyDescent="0.3">
      <c r="B137" s="28" t="str">
        <f t="shared" ca="1" si="4"/>
        <v/>
      </c>
      <c r="C137" s="29" t="str">
        <f t="shared" ca="1" si="5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3"/>
        <v>0</v>
      </c>
    </row>
    <row r="138" spans="2:12" x14ac:dyDescent="0.3">
      <c r="B138" s="28" t="str">
        <f t="shared" ca="1" si="4"/>
        <v/>
      </c>
      <c r="C138" s="29" t="str">
        <f t="shared" ca="1" si="5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ref="L138:L201" si="6">J138-I138-K138</f>
        <v>0</v>
      </c>
    </row>
    <row r="139" spans="2:12" x14ac:dyDescent="0.3">
      <c r="B139" s="28" t="str">
        <f t="shared" ref="B139:B202" ca="1" si="7">IF(D139&lt;&gt;"",DATE(Jahr,_xlfn.SHEET()-2,D139),"")</f>
        <v/>
      </c>
      <c r="C139" s="29" t="str">
        <f t="shared" ref="C139:C202" ca="1" si="8">B139</f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6"/>
        <v>0</v>
      </c>
    </row>
    <row r="187" spans="2:12" x14ac:dyDescent="0.3">
      <c r="B187" s="28" t="str">
        <f t="shared" ca="1" si="7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6"/>
        <v>0</v>
      </c>
    </row>
    <row r="188" spans="2:12" x14ac:dyDescent="0.3">
      <c r="B188" s="28" t="str">
        <f t="shared" ca="1" si="7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6"/>
        <v>0</v>
      </c>
    </row>
    <row r="189" spans="2:12" x14ac:dyDescent="0.3">
      <c r="B189" s="28" t="str">
        <f t="shared" ca="1" si="7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6"/>
        <v>0</v>
      </c>
    </row>
    <row r="190" spans="2:12" x14ac:dyDescent="0.3">
      <c r="B190" s="28" t="str">
        <f t="shared" ca="1" si="7"/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6"/>
        <v>0</v>
      </c>
    </row>
    <row r="191" spans="2:12" x14ac:dyDescent="0.3">
      <c r="B191" s="28" t="str">
        <f t="shared" ca="1" si="7"/>
        <v/>
      </c>
      <c r="C191" s="29" t="str">
        <f t="shared" ca="1" si="8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6"/>
        <v>0</v>
      </c>
    </row>
    <row r="192" spans="2:12" x14ac:dyDescent="0.3">
      <c r="B192" s="28" t="str">
        <f t="shared" ca="1" si="7"/>
        <v/>
      </c>
      <c r="C192" s="29" t="str">
        <f t="shared" ca="1" si="8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6"/>
        <v>0</v>
      </c>
    </row>
    <row r="193" spans="2:12" x14ac:dyDescent="0.3">
      <c r="B193" s="28" t="str">
        <f t="shared" ca="1" si="7"/>
        <v/>
      </c>
      <c r="C193" s="29" t="str">
        <f t="shared" ca="1" si="8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6"/>
        <v>0</v>
      </c>
    </row>
    <row r="194" spans="2:12" x14ac:dyDescent="0.3">
      <c r="B194" s="28" t="str">
        <f t="shared" ca="1" si="7"/>
        <v/>
      </c>
      <c r="C194" s="29" t="str">
        <f t="shared" ca="1" si="8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6"/>
        <v>0</v>
      </c>
    </row>
    <row r="195" spans="2:12" x14ac:dyDescent="0.3">
      <c r="B195" s="28" t="str">
        <f t="shared" ca="1" si="7"/>
        <v/>
      </c>
      <c r="C195" s="29" t="str">
        <f t="shared" ca="1" si="8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6"/>
        <v>0</v>
      </c>
    </row>
    <row r="196" spans="2:12" x14ac:dyDescent="0.3">
      <c r="B196" s="28" t="str">
        <f t="shared" ca="1" si="7"/>
        <v/>
      </c>
      <c r="C196" s="29" t="str">
        <f t="shared" ca="1" si="8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6"/>
        <v>0</v>
      </c>
    </row>
    <row r="197" spans="2:12" x14ac:dyDescent="0.3">
      <c r="B197" s="28" t="str">
        <f t="shared" ca="1" si="7"/>
        <v/>
      </c>
      <c r="C197" s="29" t="str">
        <f t="shared" ca="1" si="8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6"/>
        <v>0</v>
      </c>
    </row>
    <row r="198" spans="2:12" x14ac:dyDescent="0.3">
      <c r="B198" s="28" t="str">
        <f t="shared" ca="1" si="7"/>
        <v/>
      </c>
      <c r="C198" s="29" t="str">
        <f t="shared" ca="1" si="8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6"/>
        <v>0</v>
      </c>
    </row>
    <row r="199" spans="2:12" x14ac:dyDescent="0.3">
      <c r="B199" s="28" t="str">
        <f t="shared" ca="1" si="7"/>
        <v/>
      </c>
      <c r="C199" s="29" t="str">
        <f t="shared" ca="1" si="8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6"/>
        <v>0</v>
      </c>
    </row>
    <row r="200" spans="2:12" x14ac:dyDescent="0.3">
      <c r="B200" s="28" t="str">
        <f t="shared" ca="1" si="7"/>
        <v/>
      </c>
      <c r="C200" s="29" t="str">
        <f t="shared" ca="1" si="8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6"/>
        <v>0</v>
      </c>
    </row>
    <row r="201" spans="2:12" x14ac:dyDescent="0.3">
      <c r="B201" s="28" t="str">
        <f t="shared" ca="1" si="7"/>
        <v/>
      </c>
      <c r="C201" s="29" t="str">
        <f t="shared" ca="1" si="8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6"/>
        <v>0</v>
      </c>
    </row>
    <row r="202" spans="2:12" x14ac:dyDescent="0.3">
      <c r="B202" s="28" t="str">
        <f t="shared" ca="1" si="7"/>
        <v/>
      </c>
      <c r="C202" s="29" t="str">
        <f t="shared" ca="1" si="8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ref="L202:L265" si="9">J202-I202-K202</f>
        <v>0</v>
      </c>
    </row>
    <row r="203" spans="2:12" x14ac:dyDescent="0.3">
      <c r="B203" s="28" t="str">
        <f t="shared" ref="B203:B266" ca="1" si="10">IF(D203&lt;&gt;"",DATE(Jahr,_xlfn.SHEET()-2,D203),"")</f>
        <v/>
      </c>
      <c r="C203" s="29" t="str">
        <f t="shared" ref="C203:C266" ca="1" si="11">B203</f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9"/>
        <v>0</v>
      </c>
    </row>
    <row r="251" spans="2:12" x14ac:dyDescent="0.3">
      <c r="B251" s="28" t="str">
        <f t="shared" ca="1" si="10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9"/>
        <v>0</v>
      </c>
    </row>
    <row r="252" spans="2:12" x14ac:dyDescent="0.3">
      <c r="B252" s="28" t="str">
        <f t="shared" ca="1" si="10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9"/>
        <v>0</v>
      </c>
    </row>
    <row r="253" spans="2:12" x14ac:dyDescent="0.3">
      <c r="B253" s="28" t="str">
        <f t="shared" ca="1" si="10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9"/>
        <v>0</v>
      </c>
    </row>
    <row r="254" spans="2:12" x14ac:dyDescent="0.3">
      <c r="B254" s="28" t="str">
        <f t="shared" ca="1" si="10"/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9"/>
        <v>0</v>
      </c>
    </row>
    <row r="255" spans="2:12" x14ac:dyDescent="0.3">
      <c r="B255" s="28" t="str">
        <f t="shared" ca="1" si="10"/>
        <v/>
      </c>
      <c r="C255" s="29" t="str">
        <f t="shared" ca="1" si="11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9"/>
        <v>0</v>
      </c>
    </row>
    <row r="256" spans="2:12" x14ac:dyDescent="0.3">
      <c r="B256" s="28" t="str">
        <f t="shared" ca="1" si="10"/>
        <v/>
      </c>
      <c r="C256" s="29" t="str">
        <f t="shared" ca="1" si="11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9"/>
        <v>0</v>
      </c>
    </row>
    <row r="257" spans="2:12" x14ac:dyDescent="0.3">
      <c r="B257" s="28" t="str">
        <f t="shared" ca="1" si="10"/>
        <v/>
      </c>
      <c r="C257" s="29" t="str">
        <f t="shared" ca="1" si="11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9"/>
        <v>0</v>
      </c>
    </row>
    <row r="258" spans="2:12" x14ac:dyDescent="0.3">
      <c r="B258" s="28" t="str">
        <f t="shared" ca="1" si="10"/>
        <v/>
      </c>
      <c r="C258" s="29" t="str">
        <f t="shared" ca="1" si="11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9"/>
        <v>0</v>
      </c>
    </row>
    <row r="259" spans="2:12" x14ac:dyDescent="0.3">
      <c r="B259" s="28" t="str">
        <f t="shared" ca="1" si="10"/>
        <v/>
      </c>
      <c r="C259" s="29" t="str">
        <f t="shared" ca="1" si="11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9"/>
        <v>0</v>
      </c>
    </row>
    <row r="260" spans="2:12" x14ac:dyDescent="0.3">
      <c r="B260" s="28" t="str">
        <f t="shared" ca="1" si="10"/>
        <v/>
      </c>
      <c r="C260" s="29" t="str">
        <f t="shared" ca="1" si="11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9"/>
        <v>0</v>
      </c>
    </row>
    <row r="261" spans="2:12" x14ac:dyDescent="0.3">
      <c r="B261" s="28" t="str">
        <f t="shared" ca="1" si="10"/>
        <v/>
      </c>
      <c r="C261" s="29" t="str">
        <f t="shared" ca="1" si="11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9"/>
        <v>0</v>
      </c>
    </row>
    <row r="262" spans="2:12" x14ac:dyDescent="0.3">
      <c r="B262" s="28" t="str">
        <f t="shared" ca="1" si="10"/>
        <v/>
      </c>
      <c r="C262" s="29" t="str">
        <f t="shared" ca="1" si="11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9"/>
        <v>0</v>
      </c>
    </row>
    <row r="263" spans="2:12" x14ac:dyDescent="0.3">
      <c r="B263" s="28" t="str">
        <f t="shared" ca="1" si="10"/>
        <v/>
      </c>
      <c r="C263" s="29" t="str">
        <f t="shared" ca="1" si="11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9"/>
        <v>0</v>
      </c>
    </row>
    <row r="264" spans="2:12" x14ac:dyDescent="0.3">
      <c r="B264" s="28" t="str">
        <f t="shared" ca="1" si="10"/>
        <v/>
      </c>
      <c r="C264" s="29" t="str">
        <f t="shared" ca="1" si="11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9"/>
        <v>0</v>
      </c>
    </row>
    <row r="265" spans="2:12" x14ac:dyDescent="0.3">
      <c r="B265" s="28" t="str">
        <f t="shared" ca="1" si="10"/>
        <v/>
      </c>
      <c r="C265" s="29" t="str">
        <f t="shared" ca="1" si="11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9"/>
        <v>0</v>
      </c>
    </row>
    <row r="266" spans="2:12" x14ac:dyDescent="0.3">
      <c r="B266" s="28" t="str">
        <f t="shared" ca="1" si="10"/>
        <v/>
      </c>
      <c r="C266" s="29" t="str">
        <f t="shared" ca="1" si="11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ref="L266:L329" si="12">J266-I266-K266</f>
        <v>0</v>
      </c>
    </row>
    <row r="267" spans="2:12" x14ac:dyDescent="0.3">
      <c r="B267" s="28" t="str">
        <f t="shared" ref="B267:B330" ca="1" si="13">IF(D267&lt;&gt;"",DATE(Jahr,_xlfn.SHEET()-2,D267),"")</f>
        <v/>
      </c>
      <c r="C267" s="29" t="str">
        <f t="shared" ref="C267:C330" ca="1" si="14">B267</f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2"/>
        <v>0</v>
      </c>
    </row>
    <row r="315" spans="2:12" x14ac:dyDescent="0.3">
      <c r="B315" s="28" t="str">
        <f t="shared" ca="1" si="13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2"/>
        <v>0</v>
      </c>
    </row>
    <row r="316" spans="2:12" x14ac:dyDescent="0.3">
      <c r="B316" s="28" t="str">
        <f t="shared" ca="1" si="13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2"/>
        <v>0</v>
      </c>
    </row>
    <row r="317" spans="2:12" x14ac:dyDescent="0.3">
      <c r="B317" s="28" t="str">
        <f t="shared" ca="1" si="13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2"/>
        <v>0</v>
      </c>
    </row>
    <row r="318" spans="2:12" x14ac:dyDescent="0.3">
      <c r="B318" s="28" t="str">
        <f t="shared" ca="1" si="13"/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2"/>
        <v>0</v>
      </c>
    </row>
    <row r="319" spans="2:12" x14ac:dyDescent="0.3">
      <c r="B319" s="28" t="str">
        <f t="shared" ca="1" si="13"/>
        <v/>
      </c>
      <c r="C319" s="29" t="str">
        <f t="shared" ca="1" si="14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2"/>
        <v>0</v>
      </c>
    </row>
    <row r="320" spans="2:12" x14ac:dyDescent="0.3">
      <c r="B320" s="28" t="str">
        <f t="shared" ca="1" si="13"/>
        <v/>
      </c>
      <c r="C320" s="29" t="str">
        <f t="shared" ca="1" si="14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2"/>
        <v>0</v>
      </c>
    </row>
    <row r="321" spans="2:12" x14ac:dyDescent="0.3">
      <c r="B321" s="28" t="str">
        <f t="shared" ca="1" si="13"/>
        <v/>
      </c>
      <c r="C321" s="29" t="str">
        <f t="shared" ca="1" si="14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2"/>
        <v>0</v>
      </c>
    </row>
    <row r="322" spans="2:12" x14ac:dyDescent="0.3">
      <c r="B322" s="28" t="str">
        <f t="shared" ca="1" si="13"/>
        <v/>
      </c>
      <c r="C322" s="29" t="str">
        <f t="shared" ca="1" si="14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2"/>
        <v>0</v>
      </c>
    </row>
    <row r="323" spans="2:12" x14ac:dyDescent="0.3">
      <c r="B323" s="28" t="str">
        <f t="shared" ca="1" si="13"/>
        <v/>
      </c>
      <c r="C323" s="29" t="str">
        <f t="shared" ca="1" si="14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2"/>
        <v>0</v>
      </c>
    </row>
    <row r="324" spans="2:12" x14ac:dyDescent="0.3">
      <c r="B324" s="28" t="str">
        <f t="shared" ca="1" si="13"/>
        <v/>
      </c>
      <c r="C324" s="29" t="str">
        <f t="shared" ca="1" si="14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2"/>
        <v>0</v>
      </c>
    </row>
    <row r="325" spans="2:12" x14ac:dyDescent="0.3">
      <c r="B325" s="28" t="str">
        <f t="shared" ca="1" si="13"/>
        <v/>
      </c>
      <c r="C325" s="29" t="str">
        <f t="shared" ca="1" si="14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2"/>
        <v>0</v>
      </c>
    </row>
    <row r="326" spans="2:12" x14ac:dyDescent="0.3">
      <c r="B326" s="28" t="str">
        <f t="shared" ca="1" si="13"/>
        <v/>
      </c>
      <c r="C326" s="29" t="str">
        <f t="shared" ca="1" si="14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2"/>
        <v>0</v>
      </c>
    </row>
    <row r="327" spans="2:12" x14ac:dyDescent="0.3">
      <c r="B327" s="28" t="str">
        <f t="shared" ca="1" si="13"/>
        <v/>
      </c>
      <c r="C327" s="29" t="str">
        <f t="shared" ca="1" si="14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2"/>
        <v>0</v>
      </c>
    </row>
    <row r="328" spans="2:12" x14ac:dyDescent="0.3">
      <c r="B328" s="28" t="str">
        <f t="shared" ca="1" si="13"/>
        <v/>
      </c>
      <c r="C328" s="29" t="str">
        <f t="shared" ca="1" si="14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2"/>
        <v>0</v>
      </c>
    </row>
    <row r="329" spans="2:12" x14ac:dyDescent="0.3">
      <c r="B329" s="28" t="str">
        <f t="shared" ca="1" si="13"/>
        <v/>
      </c>
      <c r="C329" s="29" t="str">
        <f t="shared" ca="1" si="14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2"/>
        <v>0</v>
      </c>
    </row>
    <row r="330" spans="2:12" x14ac:dyDescent="0.3">
      <c r="B330" s="28" t="str">
        <f t="shared" ca="1" si="13"/>
        <v/>
      </c>
      <c r="C330" s="29" t="str">
        <f t="shared" ca="1" si="14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ref="L330:L393" si="15">J330-I330-K330</f>
        <v>0</v>
      </c>
    </row>
    <row r="331" spans="2:12" x14ac:dyDescent="0.3">
      <c r="B331" s="28" t="str">
        <f t="shared" ref="B331:B394" ca="1" si="16">IF(D331&lt;&gt;"",DATE(Jahr,_xlfn.SHEET()-2,D331),"")</f>
        <v/>
      </c>
      <c r="C331" s="29" t="str">
        <f t="shared" ref="C331:C394" ca="1" si="17">B331</f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5"/>
        <v>0</v>
      </c>
    </row>
    <row r="379" spans="2:12" x14ac:dyDescent="0.3">
      <c r="B379" s="28" t="str">
        <f t="shared" ca="1" si="16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5"/>
        <v>0</v>
      </c>
    </row>
    <row r="380" spans="2:12" x14ac:dyDescent="0.3">
      <c r="B380" s="28" t="str">
        <f t="shared" ca="1" si="16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5"/>
        <v>0</v>
      </c>
    </row>
    <row r="381" spans="2:12" x14ac:dyDescent="0.3">
      <c r="B381" s="28" t="str">
        <f t="shared" ca="1" si="16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5"/>
        <v>0</v>
      </c>
    </row>
    <row r="382" spans="2:12" x14ac:dyDescent="0.3">
      <c r="B382" s="28" t="str">
        <f t="shared" ca="1" si="16"/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5"/>
        <v>0</v>
      </c>
    </row>
    <row r="383" spans="2:12" x14ac:dyDescent="0.3">
      <c r="B383" s="28" t="str">
        <f t="shared" ca="1" si="16"/>
        <v/>
      </c>
      <c r="C383" s="29" t="str">
        <f t="shared" ca="1" si="17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5"/>
        <v>0</v>
      </c>
    </row>
    <row r="384" spans="2:12" x14ac:dyDescent="0.3">
      <c r="B384" s="28" t="str">
        <f t="shared" ca="1" si="16"/>
        <v/>
      </c>
      <c r="C384" s="29" t="str">
        <f t="shared" ca="1" si="17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5"/>
        <v>0</v>
      </c>
    </row>
    <row r="385" spans="2:12" x14ac:dyDescent="0.3">
      <c r="B385" s="28" t="str">
        <f t="shared" ca="1" si="16"/>
        <v/>
      </c>
      <c r="C385" s="29" t="str">
        <f t="shared" ca="1" si="17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5"/>
        <v>0</v>
      </c>
    </row>
    <row r="386" spans="2:12" x14ac:dyDescent="0.3">
      <c r="B386" s="28" t="str">
        <f t="shared" ca="1" si="16"/>
        <v/>
      </c>
      <c r="C386" s="29" t="str">
        <f t="shared" ca="1" si="17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5"/>
        <v>0</v>
      </c>
    </row>
    <row r="387" spans="2:12" x14ac:dyDescent="0.3">
      <c r="B387" s="28" t="str">
        <f t="shared" ca="1" si="16"/>
        <v/>
      </c>
      <c r="C387" s="29" t="str">
        <f t="shared" ca="1" si="17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5"/>
        <v>0</v>
      </c>
    </row>
    <row r="388" spans="2:12" x14ac:dyDescent="0.3">
      <c r="B388" s="28" t="str">
        <f t="shared" ca="1" si="16"/>
        <v/>
      </c>
      <c r="C388" s="29" t="str">
        <f t="shared" ca="1" si="17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5"/>
        <v>0</v>
      </c>
    </row>
    <row r="389" spans="2:12" x14ac:dyDescent="0.3">
      <c r="B389" s="28" t="str">
        <f t="shared" ca="1" si="16"/>
        <v/>
      </c>
      <c r="C389" s="29" t="str">
        <f t="shared" ca="1" si="17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5"/>
        <v>0</v>
      </c>
    </row>
    <row r="390" spans="2:12" x14ac:dyDescent="0.3">
      <c r="B390" s="28" t="str">
        <f t="shared" ca="1" si="16"/>
        <v/>
      </c>
      <c r="C390" s="29" t="str">
        <f t="shared" ca="1" si="17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5"/>
        <v>0</v>
      </c>
    </row>
    <row r="391" spans="2:12" x14ac:dyDescent="0.3">
      <c r="B391" s="28" t="str">
        <f t="shared" ca="1" si="16"/>
        <v/>
      </c>
      <c r="C391" s="29" t="str">
        <f t="shared" ca="1" si="17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5"/>
        <v>0</v>
      </c>
    </row>
    <row r="392" spans="2:12" x14ac:dyDescent="0.3">
      <c r="B392" s="28" t="str">
        <f t="shared" ca="1" si="16"/>
        <v/>
      </c>
      <c r="C392" s="29" t="str">
        <f t="shared" ca="1" si="17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5"/>
        <v>0</v>
      </c>
    </row>
    <row r="393" spans="2:12" x14ac:dyDescent="0.3">
      <c r="B393" s="28" t="str">
        <f t="shared" ca="1" si="16"/>
        <v/>
      </c>
      <c r="C393" s="29" t="str">
        <f t="shared" ca="1" si="17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5"/>
        <v>0</v>
      </c>
    </row>
    <row r="394" spans="2:12" x14ac:dyDescent="0.3">
      <c r="B394" s="28" t="str">
        <f t="shared" ca="1" si="16"/>
        <v/>
      </c>
      <c r="C394" s="29" t="str">
        <f t="shared" ca="1" si="17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ref="L394:L457" si="18">J394-I394-K394</f>
        <v>0</v>
      </c>
    </row>
    <row r="395" spans="2:12" x14ac:dyDescent="0.3">
      <c r="B395" s="28" t="str">
        <f t="shared" ref="B395:B458" ca="1" si="19">IF(D395&lt;&gt;"",DATE(Jahr,_xlfn.SHEET()-2,D395),"")</f>
        <v/>
      </c>
      <c r="C395" s="29" t="str">
        <f t="shared" ref="C395:C458" ca="1" si="20">B395</f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8"/>
        <v>0</v>
      </c>
    </row>
    <row r="443" spans="2:12" x14ac:dyDescent="0.3">
      <c r="B443" s="28" t="str">
        <f t="shared" ca="1" si="19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8"/>
        <v>0</v>
      </c>
    </row>
    <row r="444" spans="2:12" x14ac:dyDescent="0.3">
      <c r="B444" s="28" t="str">
        <f t="shared" ca="1" si="19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8"/>
        <v>0</v>
      </c>
    </row>
    <row r="445" spans="2:12" x14ac:dyDescent="0.3">
      <c r="B445" s="28" t="str">
        <f t="shared" ca="1" si="19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8"/>
        <v>0</v>
      </c>
    </row>
    <row r="446" spans="2:12" x14ac:dyDescent="0.3">
      <c r="B446" s="28" t="str">
        <f t="shared" ca="1" si="19"/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18"/>
        <v>0</v>
      </c>
    </row>
    <row r="447" spans="2:12" x14ac:dyDescent="0.3">
      <c r="B447" s="28" t="str">
        <f t="shared" ca="1" si="19"/>
        <v/>
      </c>
      <c r="C447" s="29" t="str">
        <f t="shared" ca="1" si="20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18"/>
        <v>0</v>
      </c>
    </row>
    <row r="448" spans="2:12" x14ac:dyDescent="0.3">
      <c r="B448" s="28" t="str">
        <f t="shared" ca="1" si="19"/>
        <v/>
      </c>
      <c r="C448" s="29" t="str">
        <f t="shared" ca="1" si="20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18"/>
        <v>0</v>
      </c>
    </row>
    <row r="449" spans="2:12" x14ac:dyDescent="0.3">
      <c r="B449" s="28" t="str">
        <f t="shared" ca="1" si="19"/>
        <v/>
      </c>
      <c r="C449" s="29" t="str">
        <f t="shared" ca="1" si="20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18"/>
        <v>0</v>
      </c>
    </row>
    <row r="450" spans="2:12" x14ac:dyDescent="0.3">
      <c r="B450" s="28" t="str">
        <f t="shared" ca="1" si="19"/>
        <v/>
      </c>
      <c r="C450" s="29" t="str">
        <f t="shared" ca="1" si="20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18"/>
        <v>0</v>
      </c>
    </row>
    <row r="451" spans="2:12" x14ac:dyDescent="0.3">
      <c r="B451" s="28" t="str">
        <f t="shared" ca="1" si="19"/>
        <v/>
      </c>
      <c r="C451" s="29" t="str">
        <f t="shared" ca="1" si="20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18"/>
        <v>0</v>
      </c>
    </row>
    <row r="452" spans="2:12" x14ac:dyDescent="0.3">
      <c r="B452" s="28" t="str">
        <f t="shared" ca="1" si="19"/>
        <v/>
      </c>
      <c r="C452" s="29" t="str">
        <f t="shared" ca="1" si="20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18"/>
        <v>0</v>
      </c>
    </row>
    <row r="453" spans="2:12" x14ac:dyDescent="0.3">
      <c r="B453" s="28" t="str">
        <f t="shared" ca="1" si="19"/>
        <v/>
      </c>
      <c r="C453" s="29" t="str">
        <f t="shared" ca="1" si="20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18"/>
        <v>0</v>
      </c>
    </row>
    <row r="454" spans="2:12" x14ac:dyDescent="0.3">
      <c r="B454" s="28" t="str">
        <f t="shared" ca="1" si="19"/>
        <v/>
      </c>
      <c r="C454" s="29" t="str">
        <f t="shared" ca="1" si="20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18"/>
        <v>0</v>
      </c>
    </row>
    <row r="455" spans="2:12" x14ac:dyDescent="0.3">
      <c r="B455" s="28" t="str">
        <f t="shared" ca="1" si="19"/>
        <v/>
      </c>
      <c r="C455" s="29" t="str">
        <f t="shared" ca="1" si="20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18"/>
        <v>0</v>
      </c>
    </row>
    <row r="456" spans="2:12" x14ac:dyDescent="0.3">
      <c r="B456" s="28" t="str">
        <f t="shared" ca="1" si="19"/>
        <v/>
      </c>
      <c r="C456" s="29" t="str">
        <f t="shared" ca="1" si="20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18"/>
        <v>0</v>
      </c>
    </row>
    <row r="457" spans="2:12" x14ac:dyDescent="0.3">
      <c r="B457" s="28" t="str">
        <f t="shared" ca="1" si="19"/>
        <v/>
      </c>
      <c r="C457" s="29" t="str">
        <f t="shared" ca="1" si="20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18"/>
        <v>0</v>
      </c>
    </row>
    <row r="458" spans="2:12" x14ac:dyDescent="0.3">
      <c r="B458" s="28" t="str">
        <f t="shared" ca="1" si="19"/>
        <v/>
      </c>
      <c r="C458" s="29" t="str">
        <f t="shared" ca="1" si="20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ref="L458:L521" si="21">J458-I458-K458</f>
        <v>0</v>
      </c>
    </row>
    <row r="459" spans="2:12" x14ac:dyDescent="0.3">
      <c r="B459" s="28" t="str">
        <f t="shared" ref="B459:B522" ca="1" si="22">IF(D459&lt;&gt;"",DATE(Jahr,_xlfn.SHEET()-2,D459),"")</f>
        <v/>
      </c>
      <c r="C459" s="29" t="str">
        <f t="shared" ref="C459:C522" ca="1" si="23">B459</f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1"/>
        <v>0</v>
      </c>
    </row>
    <row r="507" spans="2:12" x14ac:dyDescent="0.3">
      <c r="B507" s="28" t="str">
        <f t="shared" ca="1" si="22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1"/>
        <v>0</v>
      </c>
    </row>
    <row r="508" spans="2:12" x14ac:dyDescent="0.3">
      <c r="B508" s="28" t="str">
        <f t="shared" ca="1" si="22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1"/>
        <v>0</v>
      </c>
    </row>
    <row r="509" spans="2:12" x14ac:dyDescent="0.3">
      <c r="B509" s="28" t="str">
        <f t="shared" ca="1" si="22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1"/>
        <v>0</v>
      </c>
    </row>
    <row r="510" spans="2:12" x14ac:dyDescent="0.3">
      <c r="B510" s="28" t="str">
        <f t="shared" ca="1" si="22"/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1"/>
        <v>0</v>
      </c>
    </row>
    <row r="511" spans="2:12" x14ac:dyDescent="0.3">
      <c r="B511" s="28" t="str">
        <f t="shared" ca="1" si="22"/>
        <v/>
      </c>
      <c r="C511" s="29" t="str">
        <f t="shared" ca="1" si="23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1"/>
        <v>0</v>
      </c>
    </row>
    <row r="512" spans="2:12" x14ac:dyDescent="0.3">
      <c r="B512" s="28" t="str">
        <f t="shared" ca="1" si="22"/>
        <v/>
      </c>
      <c r="C512" s="29" t="str">
        <f t="shared" ca="1" si="23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1"/>
        <v>0</v>
      </c>
    </row>
    <row r="513" spans="2:12" x14ac:dyDescent="0.3">
      <c r="B513" s="28" t="str">
        <f t="shared" ca="1" si="22"/>
        <v/>
      </c>
      <c r="C513" s="29" t="str">
        <f t="shared" ca="1" si="23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1"/>
        <v>0</v>
      </c>
    </row>
    <row r="514" spans="2:12" x14ac:dyDescent="0.3">
      <c r="B514" s="28" t="str">
        <f t="shared" ca="1" si="22"/>
        <v/>
      </c>
      <c r="C514" s="29" t="str">
        <f t="shared" ca="1" si="23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1"/>
        <v>0</v>
      </c>
    </row>
    <row r="515" spans="2:12" x14ac:dyDescent="0.3">
      <c r="B515" s="28" t="str">
        <f t="shared" ca="1" si="22"/>
        <v/>
      </c>
      <c r="C515" s="29" t="str">
        <f t="shared" ca="1" si="23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1"/>
        <v>0</v>
      </c>
    </row>
    <row r="516" spans="2:12" x14ac:dyDescent="0.3">
      <c r="B516" s="28" t="str">
        <f t="shared" ca="1" si="22"/>
        <v/>
      </c>
      <c r="C516" s="29" t="str">
        <f t="shared" ca="1" si="23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1"/>
        <v>0</v>
      </c>
    </row>
    <row r="517" spans="2:12" x14ac:dyDescent="0.3">
      <c r="B517" s="28" t="str">
        <f t="shared" ca="1" si="22"/>
        <v/>
      </c>
      <c r="C517" s="29" t="str">
        <f t="shared" ca="1" si="23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1"/>
        <v>0</v>
      </c>
    </row>
    <row r="518" spans="2:12" x14ac:dyDescent="0.3">
      <c r="B518" s="28" t="str">
        <f t="shared" ca="1" si="22"/>
        <v/>
      </c>
      <c r="C518" s="29" t="str">
        <f t="shared" ca="1" si="23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1"/>
        <v>0</v>
      </c>
    </row>
    <row r="519" spans="2:12" x14ac:dyDescent="0.3">
      <c r="B519" s="28" t="str">
        <f t="shared" ca="1" si="22"/>
        <v/>
      </c>
      <c r="C519" s="29" t="str">
        <f t="shared" ca="1" si="23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1"/>
        <v>0</v>
      </c>
    </row>
    <row r="520" spans="2:12" x14ac:dyDescent="0.3">
      <c r="B520" s="28" t="str">
        <f t="shared" ca="1" si="22"/>
        <v/>
      </c>
      <c r="C520" s="29" t="str">
        <f t="shared" ca="1" si="23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1"/>
        <v>0</v>
      </c>
    </row>
    <row r="521" spans="2:12" x14ac:dyDescent="0.3">
      <c r="B521" s="28" t="str">
        <f t="shared" ca="1" si="22"/>
        <v/>
      </c>
      <c r="C521" s="29" t="str">
        <f t="shared" ca="1" si="23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1"/>
        <v>0</v>
      </c>
    </row>
    <row r="522" spans="2:12" x14ac:dyDescent="0.3">
      <c r="B522" s="28" t="str">
        <f t="shared" ca="1" si="22"/>
        <v/>
      </c>
      <c r="C522" s="29" t="str">
        <f t="shared" ca="1" si="23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ref="L522:L585" si="24">J522-I522-K522</f>
        <v>0</v>
      </c>
    </row>
    <row r="523" spans="2:12" x14ac:dyDescent="0.3">
      <c r="B523" s="28" t="str">
        <f t="shared" ref="B523:B586" ca="1" si="25">IF(D523&lt;&gt;"",DATE(Jahr,_xlfn.SHEET()-2,D523),"")</f>
        <v/>
      </c>
      <c r="C523" s="29" t="str">
        <f t="shared" ref="C523:C586" ca="1" si="26">B523</f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4"/>
        <v>0</v>
      </c>
    </row>
    <row r="571" spans="2:12" x14ac:dyDescent="0.3">
      <c r="B571" s="28" t="str">
        <f t="shared" ca="1" si="25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4"/>
        <v>0</v>
      </c>
    </row>
    <row r="572" spans="2:12" x14ac:dyDescent="0.3">
      <c r="B572" s="28" t="str">
        <f t="shared" ca="1" si="25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4"/>
        <v>0</v>
      </c>
    </row>
    <row r="573" spans="2:12" x14ac:dyDescent="0.3">
      <c r="B573" s="28" t="str">
        <f t="shared" ca="1" si="25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4"/>
        <v>0</v>
      </c>
    </row>
    <row r="574" spans="2:12" x14ac:dyDescent="0.3">
      <c r="B574" s="28" t="str">
        <f t="shared" ca="1" si="25"/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4"/>
        <v>0</v>
      </c>
    </row>
    <row r="575" spans="2:12" x14ac:dyDescent="0.3">
      <c r="B575" s="28" t="str">
        <f t="shared" ca="1" si="25"/>
        <v/>
      </c>
      <c r="C575" s="29" t="str">
        <f t="shared" ca="1" si="26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4"/>
        <v>0</v>
      </c>
    </row>
    <row r="576" spans="2:12" x14ac:dyDescent="0.3">
      <c r="B576" s="28" t="str">
        <f t="shared" ca="1" si="25"/>
        <v/>
      </c>
      <c r="C576" s="29" t="str">
        <f t="shared" ca="1" si="26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4"/>
        <v>0</v>
      </c>
    </row>
    <row r="577" spans="2:12" x14ac:dyDescent="0.3">
      <c r="B577" s="28" t="str">
        <f t="shared" ca="1" si="25"/>
        <v/>
      </c>
      <c r="C577" s="29" t="str">
        <f t="shared" ca="1" si="26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4"/>
        <v>0</v>
      </c>
    </row>
    <row r="578" spans="2:12" x14ac:dyDescent="0.3">
      <c r="B578" s="28" t="str">
        <f t="shared" ca="1" si="25"/>
        <v/>
      </c>
      <c r="C578" s="29" t="str">
        <f t="shared" ca="1" si="26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4"/>
        <v>0</v>
      </c>
    </row>
    <row r="579" spans="2:12" x14ac:dyDescent="0.3">
      <c r="B579" s="28" t="str">
        <f t="shared" ca="1" si="25"/>
        <v/>
      </c>
      <c r="C579" s="29" t="str">
        <f t="shared" ca="1" si="26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4"/>
        <v>0</v>
      </c>
    </row>
    <row r="580" spans="2:12" x14ac:dyDescent="0.3">
      <c r="B580" s="28" t="str">
        <f t="shared" ca="1" si="25"/>
        <v/>
      </c>
      <c r="C580" s="29" t="str">
        <f t="shared" ca="1" si="26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4"/>
        <v>0</v>
      </c>
    </row>
    <row r="581" spans="2:12" x14ac:dyDescent="0.3">
      <c r="B581" s="28" t="str">
        <f t="shared" ca="1" si="25"/>
        <v/>
      </c>
      <c r="C581" s="29" t="str">
        <f t="shared" ca="1" si="26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4"/>
        <v>0</v>
      </c>
    </row>
    <row r="582" spans="2:12" x14ac:dyDescent="0.3">
      <c r="B582" s="28" t="str">
        <f t="shared" ca="1" si="25"/>
        <v/>
      </c>
      <c r="C582" s="29" t="str">
        <f t="shared" ca="1" si="26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4"/>
        <v>0</v>
      </c>
    </row>
    <row r="583" spans="2:12" x14ac:dyDescent="0.3">
      <c r="B583" s="28" t="str">
        <f t="shared" ca="1" si="25"/>
        <v/>
      </c>
      <c r="C583" s="29" t="str">
        <f t="shared" ca="1" si="26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4"/>
        <v>0</v>
      </c>
    </row>
    <row r="584" spans="2:12" x14ac:dyDescent="0.3">
      <c r="B584" s="28" t="str">
        <f t="shared" ca="1" si="25"/>
        <v/>
      </c>
      <c r="C584" s="29" t="str">
        <f t="shared" ca="1" si="26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4"/>
        <v>0</v>
      </c>
    </row>
    <row r="585" spans="2:12" x14ac:dyDescent="0.3">
      <c r="B585" s="28" t="str">
        <f t="shared" ca="1" si="25"/>
        <v/>
      </c>
      <c r="C585" s="29" t="str">
        <f t="shared" ca="1" si="26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4"/>
        <v>0</v>
      </c>
    </row>
    <row r="586" spans="2:12" x14ac:dyDescent="0.3">
      <c r="B586" s="28" t="str">
        <f t="shared" ca="1" si="25"/>
        <v/>
      </c>
      <c r="C586" s="29" t="str">
        <f t="shared" ca="1" si="26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ref="L586:L649" si="27">J586-I586-K586</f>
        <v>0</v>
      </c>
    </row>
    <row r="587" spans="2:12" x14ac:dyDescent="0.3">
      <c r="B587" s="28" t="str">
        <f t="shared" ref="B587:B650" ca="1" si="28">IF(D587&lt;&gt;"",DATE(Jahr,_xlfn.SHEET()-2,D587),"")</f>
        <v/>
      </c>
      <c r="C587" s="29" t="str">
        <f t="shared" ref="C587:C650" ca="1" si="29">B587</f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7"/>
        <v>0</v>
      </c>
    </row>
    <row r="635" spans="2:12" x14ac:dyDescent="0.3">
      <c r="B635" s="28" t="str">
        <f t="shared" ca="1" si="28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7"/>
        <v>0</v>
      </c>
    </row>
    <row r="636" spans="2:12" x14ac:dyDescent="0.3">
      <c r="B636" s="28" t="str">
        <f t="shared" ca="1" si="28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7"/>
        <v>0</v>
      </c>
    </row>
    <row r="637" spans="2:12" x14ac:dyDescent="0.3">
      <c r="B637" s="28" t="str">
        <f t="shared" ca="1" si="28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7"/>
        <v>0</v>
      </c>
    </row>
    <row r="638" spans="2:12" x14ac:dyDescent="0.3">
      <c r="B638" s="28" t="str">
        <f t="shared" ca="1" si="28"/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27"/>
        <v>0</v>
      </c>
    </row>
    <row r="639" spans="2:12" x14ac:dyDescent="0.3">
      <c r="B639" s="28" t="str">
        <f t="shared" ca="1" si="28"/>
        <v/>
      </c>
      <c r="C639" s="29" t="str">
        <f t="shared" ca="1" si="29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27"/>
        <v>0</v>
      </c>
    </row>
    <row r="640" spans="2:12" x14ac:dyDescent="0.3">
      <c r="B640" s="28" t="str">
        <f t="shared" ca="1" si="28"/>
        <v/>
      </c>
      <c r="C640" s="29" t="str">
        <f t="shared" ca="1" si="29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27"/>
        <v>0</v>
      </c>
    </row>
    <row r="641" spans="2:12" x14ac:dyDescent="0.3">
      <c r="B641" s="28" t="str">
        <f t="shared" ca="1" si="28"/>
        <v/>
      </c>
      <c r="C641" s="29" t="str">
        <f t="shared" ca="1" si="29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27"/>
        <v>0</v>
      </c>
    </row>
    <row r="642" spans="2:12" x14ac:dyDescent="0.3">
      <c r="B642" s="28" t="str">
        <f t="shared" ca="1" si="28"/>
        <v/>
      </c>
      <c r="C642" s="29" t="str">
        <f t="shared" ca="1" si="29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27"/>
        <v>0</v>
      </c>
    </row>
    <row r="643" spans="2:12" x14ac:dyDescent="0.3">
      <c r="B643" s="28" t="str">
        <f t="shared" ca="1" si="28"/>
        <v/>
      </c>
      <c r="C643" s="29" t="str">
        <f t="shared" ca="1" si="29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27"/>
        <v>0</v>
      </c>
    </row>
    <row r="644" spans="2:12" x14ac:dyDescent="0.3">
      <c r="B644" s="28" t="str">
        <f t="shared" ca="1" si="28"/>
        <v/>
      </c>
      <c r="C644" s="29" t="str">
        <f t="shared" ca="1" si="29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27"/>
        <v>0</v>
      </c>
    </row>
    <row r="645" spans="2:12" x14ac:dyDescent="0.3">
      <c r="B645" s="28" t="str">
        <f t="shared" ca="1" si="28"/>
        <v/>
      </c>
      <c r="C645" s="29" t="str">
        <f t="shared" ca="1" si="29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27"/>
        <v>0</v>
      </c>
    </row>
    <row r="646" spans="2:12" x14ac:dyDescent="0.3">
      <c r="B646" s="28" t="str">
        <f t="shared" ca="1" si="28"/>
        <v/>
      </c>
      <c r="C646" s="29" t="str">
        <f t="shared" ca="1" si="29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27"/>
        <v>0</v>
      </c>
    </row>
    <row r="647" spans="2:12" x14ac:dyDescent="0.3">
      <c r="B647" s="28" t="str">
        <f t="shared" ca="1" si="28"/>
        <v/>
      </c>
      <c r="C647" s="29" t="str">
        <f t="shared" ca="1" si="29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27"/>
        <v>0</v>
      </c>
    </row>
    <row r="648" spans="2:12" x14ac:dyDescent="0.3">
      <c r="B648" s="28" t="str">
        <f t="shared" ca="1" si="28"/>
        <v/>
      </c>
      <c r="C648" s="29" t="str">
        <f t="shared" ca="1" si="29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27"/>
        <v>0</v>
      </c>
    </row>
    <row r="649" spans="2:12" x14ac:dyDescent="0.3">
      <c r="B649" s="28" t="str">
        <f t="shared" ca="1" si="28"/>
        <v/>
      </c>
      <c r="C649" s="29" t="str">
        <f t="shared" ca="1" si="29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27"/>
        <v>0</v>
      </c>
    </row>
    <row r="650" spans="2:12" x14ac:dyDescent="0.3">
      <c r="B650" s="28" t="str">
        <f t="shared" ca="1" si="28"/>
        <v/>
      </c>
      <c r="C650" s="29" t="str">
        <f t="shared" ca="1" si="29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ref="L650:L713" si="30">J650-I650-K650</f>
        <v>0</v>
      </c>
    </row>
    <row r="651" spans="2:12" x14ac:dyDescent="0.3">
      <c r="B651" s="28" t="str">
        <f t="shared" ref="B651:B714" ca="1" si="31">IF(D651&lt;&gt;"",DATE(Jahr,_xlfn.SHEET()-2,D651),"")</f>
        <v/>
      </c>
      <c r="C651" s="29" t="str">
        <f t="shared" ref="C651:C714" ca="1" si="32">B651</f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0"/>
        <v>0</v>
      </c>
    </row>
    <row r="699" spans="2:12" x14ac:dyDescent="0.3">
      <c r="B699" s="28" t="str">
        <f t="shared" ca="1" si="31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0"/>
        <v>0</v>
      </c>
    </row>
    <row r="700" spans="2:12" x14ac:dyDescent="0.3">
      <c r="B700" s="28" t="str">
        <f t="shared" ca="1" si="31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0"/>
        <v>0</v>
      </c>
    </row>
    <row r="701" spans="2:12" x14ac:dyDescent="0.3">
      <c r="B701" s="28" t="str">
        <f t="shared" ca="1" si="31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0"/>
        <v>0</v>
      </c>
    </row>
    <row r="702" spans="2:12" x14ac:dyDescent="0.3">
      <c r="B702" s="28" t="str">
        <f t="shared" ca="1" si="31"/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0"/>
        <v>0</v>
      </c>
    </row>
    <row r="703" spans="2:12" x14ac:dyDescent="0.3">
      <c r="B703" s="28" t="str">
        <f t="shared" ca="1" si="31"/>
        <v/>
      </c>
      <c r="C703" s="29" t="str">
        <f t="shared" ca="1" si="32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0"/>
        <v>0</v>
      </c>
    </row>
    <row r="704" spans="2:12" x14ac:dyDescent="0.3">
      <c r="B704" s="28" t="str">
        <f t="shared" ca="1" si="31"/>
        <v/>
      </c>
      <c r="C704" s="29" t="str">
        <f t="shared" ca="1" si="32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0"/>
        <v>0</v>
      </c>
    </row>
    <row r="705" spans="2:12" x14ac:dyDescent="0.3">
      <c r="B705" s="28" t="str">
        <f t="shared" ca="1" si="31"/>
        <v/>
      </c>
      <c r="C705" s="29" t="str">
        <f t="shared" ca="1" si="32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0"/>
        <v>0</v>
      </c>
    </row>
    <row r="706" spans="2:12" x14ac:dyDescent="0.3">
      <c r="B706" s="28" t="str">
        <f t="shared" ca="1" si="31"/>
        <v/>
      </c>
      <c r="C706" s="29" t="str">
        <f t="shared" ca="1" si="32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0"/>
        <v>0</v>
      </c>
    </row>
    <row r="707" spans="2:12" x14ac:dyDescent="0.3">
      <c r="B707" s="28" t="str">
        <f t="shared" ca="1" si="31"/>
        <v/>
      </c>
      <c r="C707" s="29" t="str">
        <f t="shared" ca="1" si="32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0"/>
        <v>0</v>
      </c>
    </row>
    <row r="708" spans="2:12" x14ac:dyDescent="0.3">
      <c r="B708" s="28" t="str">
        <f t="shared" ca="1" si="31"/>
        <v/>
      </c>
      <c r="C708" s="29" t="str">
        <f t="shared" ca="1" si="32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0"/>
        <v>0</v>
      </c>
    </row>
    <row r="709" spans="2:12" x14ac:dyDescent="0.3">
      <c r="B709" s="28" t="str">
        <f t="shared" ca="1" si="31"/>
        <v/>
      </c>
      <c r="C709" s="29" t="str">
        <f t="shared" ca="1" si="32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0"/>
        <v>0</v>
      </c>
    </row>
    <row r="710" spans="2:12" x14ac:dyDescent="0.3">
      <c r="B710" s="28" t="str">
        <f t="shared" ca="1" si="31"/>
        <v/>
      </c>
      <c r="C710" s="29" t="str">
        <f t="shared" ca="1" si="32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0"/>
        <v>0</v>
      </c>
    </row>
    <row r="711" spans="2:12" x14ac:dyDescent="0.3">
      <c r="B711" s="28" t="str">
        <f t="shared" ca="1" si="31"/>
        <v/>
      </c>
      <c r="C711" s="29" t="str">
        <f t="shared" ca="1" si="32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0"/>
        <v>0</v>
      </c>
    </row>
    <row r="712" spans="2:12" x14ac:dyDescent="0.3">
      <c r="B712" s="28" t="str">
        <f t="shared" ca="1" si="31"/>
        <v/>
      </c>
      <c r="C712" s="29" t="str">
        <f t="shared" ca="1" si="32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0"/>
        <v>0</v>
      </c>
    </row>
    <row r="713" spans="2:12" x14ac:dyDescent="0.3">
      <c r="B713" s="28" t="str">
        <f t="shared" ca="1" si="31"/>
        <v/>
      </c>
      <c r="C713" s="29" t="str">
        <f t="shared" ca="1" si="32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0"/>
        <v>0</v>
      </c>
    </row>
    <row r="714" spans="2:12" x14ac:dyDescent="0.3">
      <c r="B714" s="28" t="str">
        <f t="shared" ca="1" si="31"/>
        <v/>
      </c>
      <c r="C714" s="29" t="str">
        <f t="shared" ca="1" si="32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ref="L714:L777" si="33">J714-I714-K714</f>
        <v>0</v>
      </c>
    </row>
    <row r="715" spans="2:12" x14ac:dyDescent="0.3">
      <c r="B715" s="28" t="str">
        <f t="shared" ref="B715:B778" ca="1" si="34">IF(D715&lt;&gt;"",DATE(Jahr,_xlfn.SHEET()-2,D715),"")</f>
        <v/>
      </c>
      <c r="C715" s="29" t="str">
        <f t="shared" ref="C715:C778" ca="1" si="35">B715</f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3"/>
        <v>0</v>
      </c>
    </row>
    <row r="763" spans="2:12" x14ac:dyDescent="0.3">
      <c r="B763" s="28" t="str">
        <f t="shared" ca="1" si="34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3"/>
        <v>0</v>
      </c>
    </row>
    <row r="764" spans="2:12" x14ac:dyDescent="0.3">
      <c r="B764" s="28" t="str">
        <f t="shared" ca="1" si="34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3"/>
        <v>0</v>
      </c>
    </row>
    <row r="765" spans="2:12" x14ac:dyDescent="0.3">
      <c r="B765" s="28" t="str">
        <f t="shared" ca="1" si="34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3"/>
        <v>0</v>
      </c>
    </row>
    <row r="766" spans="2:12" x14ac:dyDescent="0.3">
      <c r="B766" s="28" t="str">
        <f t="shared" ca="1" si="34"/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3"/>
        <v>0</v>
      </c>
    </row>
    <row r="767" spans="2:12" x14ac:dyDescent="0.3">
      <c r="B767" s="28" t="str">
        <f t="shared" ca="1" si="34"/>
        <v/>
      </c>
      <c r="C767" s="29" t="str">
        <f t="shared" ca="1" si="35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3"/>
        <v>0</v>
      </c>
    </row>
    <row r="768" spans="2:12" x14ac:dyDescent="0.3">
      <c r="B768" s="28" t="str">
        <f t="shared" ca="1" si="34"/>
        <v/>
      </c>
      <c r="C768" s="29" t="str">
        <f t="shared" ca="1" si="35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3"/>
        <v>0</v>
      </c>
    </row>
    <row r="769" spans="2:12" x14ac:dyDescent="0.3">
      <c r="B769" s="28" t="str">
        <f t="shared" ca="1" si="34"/>
        <v/>
      </c>
      <c r="C769" s="29" t="str">
        <f t="shared" ca="1" si="35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3"/>
        <v>0</v>
      </c>
    </row>
    <row r="770" spans="2:12" x14ac:dyDescent="0.3">
      <c r="B770" s="28" t="str">
        <f t="shared" ca="1" si="34"/>
        <v/>
      </c>
      <c r="C770" s="29" t="str">
        <f t="shared" ca="1" si="35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3"/>
        <v>0</v>
      </c>
    </row>
    <row r="771" spans="2:12" x14ac:dyDescent="0.3">
      <c r="B771" s="28" t="str">
        <f t="shared" ca="1" si="34"/>
        <v/>
      </c>
      <c r="C771" s="29" t="str">
        <f t="shared" ca="1" si="35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3"/>
        <v>0</v>
      </c>
    </row>
    <row r="772" spans="2:12" x14ac:dyDescent="0.3">
      <c r="B772" s="28" t="str">
        <f t="shared" ca="1" si="34"/>
        <v/>
      </c>
      <c r="C772" s="29" t="str">
        <f t="shared" ca="1" si="35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3"/>
        <v>0</v>
      </c>
    </row>
    <row r="773" spans="2:12" x14ac:dyDescent="0.3">
      <c r="B773" s="28" t="str">
        <f t="shared" ca="1" si="34"/>
        <v/>
      </c>
      <c r="C773" s="29" t="str">
        <f t="shared" ca="1" si="35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3"/>
        <v>0</v>
      </c>
    </row>
    <row r="774" spans="2:12" x14ac:dyDescent="0.3">
      <c r="B774" s="28" t="str">
        <f t="shared" ca="1" si="34"/>
        <v/>
      </c>
      <c r="C774" s="29" t="str">
        <f t="shared" ca="1" si="35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3"/>
        <v>0</v>
      </c>
    </row>
    <row r="775" spans="2:12" x14ac:dyDescent="0.3">
      <c r="B775" s="28" t="str">
        <f t="shared" ca="1" si="34"/>
        <v/>
      </c>
      <c r="C775" s="29" t="str">
        <f t="shared" ca="1" si="35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3"/>
        <v>0</v>
      </c>
    </row>
    <row r="776" spans="2:12" x14ac:dyDescent="0.3">
      <c r="B776" s="28" t="str">
        <f t="shared" ca="1" si="34"/>
        <v/>
      </c>
      <c r="C776" s="29" t="str">
        <f t="shared" ca="1" si="35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3"/>
        <v>0</v>
      </c>
    </row>
    <row r="777" spans="2:12" x14ac:dyDescent="0.3">
      <c r="B777" s="28" t="str">
        <f t="shared" ca="1" si="34"/>
        <v/>
      </c>
      <c r="C777" s="29" t="str">
        <f t="shared" ca="1" si="35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3"/>
        <v>0</v>
      </c>
    </row>
    <row r="778" spans="2:12" x14ac:dyDescent="0.3">
      <c r="B778" s="28" t="str">
        <f t="shared" ca="1" si="34"/>
        <v/>
      </c>
      <c r="C778" s="29" t="str">
        <f t="shared" ca="1" si="35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ref="L778:L841" si="36">J778-I778-K778</f>
        <v>0</v>
      </c>
    </row>
    <row r="779" spans="2:12" x14ac:dyDescent="0.3">
      <c r="B779" s="28" t="str">
        <f t="shared" ref="B779:B842" ca="1" si="37">IF(D779&lt;&gt;"",DATE(Jahr,_xlfn.SHEET()-2,D779),"")</f>
        <v/>
      </c>
      <c r="C779" s="29" t="str">
        <f t="shared" ref="C779:C842" ca="1" si="38">B779</f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6"/>
        <v>0</v>
      </c>
    </row>
    <row r="827" spans="2:12" x14ac:dyDescent="0.3">
      <c r="B827" s="28" t="str">
        <f t="shared" ca="1" si="37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6"/>
        <v>0</v>
      </c>
    </row>
    <row r="828" spans="2:12" x14ac:dyDescent="0.3">
      <c r="B828" s="28" t="str">
        <f t="shared" ca="1" si="37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6"/>
        <v>0</v>
      </c>
    </row>
    <row r="829" spans="2:12" x14ac:dyDescent="0.3">
      <c r="B829" s="28" t="str">
        <f t="shared" ca="1" si="37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6"/>
        <v>0</v>
      </c>
    </row>
    <row r="830" spans="2:12" x14ac:dyDescent="0.3">
      <c r="B830" s="28" t="str">
        <f t="shared" ca="1" si="37"/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6"/>
        <v>0</v>
      </c>
    </row>
    <row r="831" spans="2:12" x14ac:dyDescent="0.3">
      <c r="B831" s="28" t="str">
        <f t="shared" ca="1" si="37"/>
        <v/>
      </c>
      <c r="C831" s="29" t="str">
        <f t="shared" ca="1" si="38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6"/>
        <v>0</v>
      </c>
    </row>
    <row r="832" spans="2:12" x14ac:dyDescent="0.3">
      <c r="B832" s="28" t="str">
        <f t="shared" ca="1" si="37"/>
        <v/>
      </c>
      <c r="C832" s="29" t="str">
        <f t="shared" ca="1" si="38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6"/>
        <v>0</v>
      </c>
    </row>
    <row r="833" spans="2:12" x14ac:dyDescent="0.3">
      <c r="B833" s="28" t="str">
        <f t="shared" ca="1" si="37"/>
        <v/>
      </c>
      <c r="C833" s="29" t="str">
        <f t="shared" ca="1" si="38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6"/>
        <v>0</v>
      </c>
    </row>
    <row r="834" spans="2:12" x14ac:dyDescent="0.3">
      <c r="B834" s="28" t="str">
        <f t="shared" ca="1" si="37"/>
        <v/>
      </c>
      <c r="C834" s="29" t="str">
        <f t="shared" ca="1" si="38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6"/>
        <v>0</v>
      </c>
    </row>
    <row r="835" spans="2:12" x14ac:dyDescent="0.3">
      <c r="B835" s="28" t="str">
        <f t="shared" ca="1" si="37"/>
        <v/>
      </c>
      <c r="C835" s="29" t="str">
        <f t="shared" ca="1" si="38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6"/>
        <v>0</v>
      </c>
    </row>
    <row r="836" spans="2:12" x14ac:dyDescent="0.3">
      <c r="B836" s="28" t="str">
        <f t="shared" ca="1" si="37"/>
        <v/>
      </c>
      <c r="C836" s="29" t="str">
        <f t="shared" ca="1" si="38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6"/>
        <v>0</v>
      </c>
    </row>
    <row r="837" spans="2:12" x14ac:dyDescent="0.3">
      <c r="B837" s="28" t="str">
        <f t="shared" ca="1" si="37"/>
        <v/>
      </c>
      <c r="C837" s="29" t="str">
        <f t="shared" ca="1" si="38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6"/>
        <v>0</v>
      </c>
    </row>
    <row r="838" spans="2:12" x14ac:dyDescent="0.3">
      <c r="B838" s="28" t="str">
        <f t="shared" ca="1" si="37"/>
        <v/>
      </c>
      <c r="C838" s="29" t="str">
        <f t="shared" ca="1" si="38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6"/>
        <v>0</v>
      </c>
    </row>
    <row r="839" spans="2:12" x14ac:dyDescent="0.3">
      <c r="B839" s="28" t="str">
        <f t="shared" ca="1" si="37"/>
        <v/>
      </c>
      <c r="C839" s="29" t="str">
        <f t="shared" ca="1" si="38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6"/>
        <v>0</v>
      </c>
    </row>
    <row r="840" spans="2:12" x14ac:dyDescent="0.3">
      <c r="B840" s="28" t="str">
        <f t="shared" ca="1" si="37"/>
        <v/>
      </c>
      <c r="C840" s="29" t="str">
        <f t="shared" ca="1" si="38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6"/>
        <v>0</v>
      </c>
    </row>
    <row r="841" spans="2:12" x14ac:dyDescent="0.3">
      <c r="B841" s="28" t="str">
        <f t="shared" ca="1" si="37"/>
        <v/>
      </c>
      <c r="C841" s="29" t="str">
        <f t="shared" ca="1" si="38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6"/>
        <v>0</v>
      </c>
    </row>
    <row r="842" spans="2:12" x14ac:dyDescent="0.3">
      <c r="B842" s="28" t="str">
        <f t="shared" ca="1" si="37"/>
        <v/>
      </c>
      <c r="C842" s="29" t="str">
        <f t="shared" ca="1" si="38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ref="L842:L905" si="39">J842-I842-K842</f>
        <v>0</v>
      </c>
    </row>
    <row r="843" spans="2:12" x14ac:dyDescent="0.3">
      <c r="B843" s="28" t="str">
        <f t="shared" ref="B843:B906" ca="1" si="40">IF(D843&lt;&gt;"",DATE(Jahr,_xlfn.SHEET()-2,D843),"")</f>
        <v/>
      </c>
      <c r="C843" s="29" t="str">
        <f t="shared" ref="C843:C906" ca="1" si="41">B843</f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39"/>
        <v>0</v>
      </c>
    </row>
    <row r="891" spans="2:12" x14ac:dyDescent="0.3">
      <c r="B891" s="28" t="str">
        <f t="shared" ca="1" si="40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39"/>
        <v>0</v>
      </c>
    </row>
    <row r="892" spans="2:12" x14ac:dyDescent="0.3">
      <c r="B892" s="28" t="str">
        <f t="shared" ca="1" si="40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39"/>
        <v>0</v>
      </c>
    </row>
    <row r="893" spans="2:12" x14ac:dyDescent="0.3">
      <c r="B893" s="28" t="str">
        <f t="shared" ca="1" si="40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39"/>
        <v>0</v>
      </c>
    </row>
    <row r="894" spans="2:12" x14ac:dyDescent="0.3">
      <c r="B894" s="28" t="str">
        <f t="shared" ca="1" si="40"/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39"/>
        <v>0</v>
      </c>
    </row>
    <row r="895" spans="2:12" x14ac:dyDescent="0.3">
      <c r="B895" s="28" t="str">
        <f t="shared" ca="1" si="40"/>
        <v/>
      </c>
      <c r="C895" s="29" t="str">
        <f t="shared" ca="1" si="41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39"/>
        <v>0</v>
      </c>
    </row>
    <row r="896" spans="2:12" x14ac:dyDescent="0.3">
      <c r="B896" s="28" t="str">
        <f t="shared" ca="1" si="40"/>
        <v/>
      </c>
      <c r="C896" s="29" t="str">
        <f t="shared" ca="1" si="41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39"/>
        <v>0</v>
      </c>
    </row>
    <row r="897" spans="2:12" x14ac:dyDescent="0.3">
      <c r="B897" s="28" t="str">
        <f t="shared" ca="1" si="40"/>
        <v/>
      </c>
      <c r="C897" s="29" t="str">
        <f t="shared" ca="1" si="41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39"/>
        <v>0</v>
      </c>
    </row>
    <row r="898" spans="2:12" x14ac:dyDescent="0.3">
      <c r="B898" s="28" t="str">
        <f t="shared" ca="1" si="40"/>
        <v/>
      </c>
      <c r="C898" s="29" t="str">
        <f t="shared" ca="1" si="41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39"/>
        <v>0</v>
      </c>
    </row>
    <row r="899" spans="2:12" x14ac:dyDescent="0.3">
      <c r="B899" s="28" t="str">
        <f t="shared" ca="1" si="40"/>
        <v/>
      </c>
      <c r="C899" s="29" t="str">
        <f t="shared" ca="1" si="41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39"/>
        <v>0</v>
      </c>
    </row>
    <row r="900" spans="2:12" x14ac:dyDescent="0.3">
      <c r="B900" s="28" t="str">
        <f t="shared" ca="1" si="40"/>
        <v/>
      </c>
      <c r="C900" s="29" t="str">
        <f t="shared" ca="1" si="41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39"/>
        <v>0</v>
      </c>
    </row>
    <row r="901" spans="2:12" x14ac:dyDescent="0.3">
      <c r="B901" s="28" t="str">
        <f t="shared" ca="1" si="40"/>
        <v/>
      </c>
      <c r="C901" s="29" t="str">
        <f t="shared" ca="1" si="41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39"/>
        <v>0</v>
      </c>
    </row>
    <row r="902" spans="2:12" x14ac:dyDescent="0.3">
      <c r="B902" s="28" t="str">
        <f t="shared" ca="1" si="40"/>
        <v/>
      </c>
      <c r="C902" s="29" t="str">
        <f t="shared" ca="1" si="41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39"/>
        <v>0</v>
      </c>
    </row>
    <row r="903" spans="2:12" x14ac:dyDescent="0.3">
      <c r="B903" s="28" t="str">
        <f t="shared" ca="1" si="40"/>
        <v/>
      </c>
      <c r="C903" s="29" t="str">
        <f t="shared" ca="1" si="41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39"/>
        <v>0</v>
      </c>
    </row>
    <row r="904" spans="2:12" x14ac:dyDescent="0.3">
      <c r="B904" s="28" t="str">
        <f t="shared" ca="1" si="40"/>
        <v/>
      </c>
      <c r="C904" s="29" t="str">
        <f t="shared" ca="1" si="41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39"/>
        <v>0</v>
      </c>
    </row>
    <row r="905" spans="2:12" x14ac:dyDescent="0.3">
      <c r="B905" s="28" t="str">
        <f t="shared" ca="1" si="40"/>
        <v/>
      </c>
      <c r="C905" s="29" t="str">
        <f t="shared" ca="1" si="41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39"/>
        <v>0</v>
      </c>
    </row>
    <row r="906" spans="2:12" x14ac:dyDescent="0.3">
      <c r="B906" s="28" t="str">
        <f t="shared" ca="1" si="40"/>
        <v/>
      </c>
      <c r="C906" s="29" t="str">
        <f t="shared" ca="1" si="41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ref="L906:L969" si="42">J906-I906-K906</f>
        <v>0</v>
      </c>
    </row>
    <row r="907" spans="2:12" x14ac:dyDescent="0.3">
      <c r="B907" s="28" t="str">
        <f t="shared" ref="B907:B970" ca="1" si="43">IF(D907&lt;&gt;"",DATE(Jahr,_xlfn.SHEET()-2,D907),"")</f>
        <v/>
      </c>
      <c r="C907" s="29" t="str">
        <f t="shared" ref="C907:C970" ca="1" si="44">B907</f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2"/>
        <v>0</v>
      </c>
    </row>
    <row r="955" spans="2:12" x14ac:dyDescent="0.3">
      <c r="B955" s="28" t="str">
        <f t="shared" ca="1" si="43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2"/>
        <v>0</v>
      </c>
    </row>
    <row r="956" spans="2:12" x14ac:dyDescent="0.3">
      <c r="B956" s="28" t="str">
        <f t="shared" ca="1" si="43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2"/>
        <v>0</v>
      </c>
    </row>
    <row r="957" spans="2:12" x14ac:dyDescent="0.3">
      <c r="B957" s="28" t="str">
        <f t="shared" ca="1" si="43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2"/>
        <v>0</v>
      </c>
    </row>
    <row r="958" spans="2:12" x14ac:dyDescent="0.3">
      <c r="B958" s="28" t="str">
        <f t="shared" ca="1" si="43"/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2"/>
        <v>0</v>
      </c>
    </row>
    <row r="959" spans="2:12" x14ac:dyDescent="0.3">
      <c r="B959" s="28" t="str">
        <f t="shared" ca="1" si="43"/>
        <v/>
      </c>
      <c r="C959" s="29" t="str">
        <f t="shared" ca="1" si="44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2"/>
        <v>0</v>
      </c>
    </row>
    <row r="960" spans="2:12" x14ac:dyDescent="0.3">
      <c r="B960" s="28" t="str">
        <f t="shared" ca="1" si="43"/>
        <v/>
      </c>
      <c r="C960" s="29" t="str">
        <f t="shared" ca="1" si="44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2"/>
        <v>0</v>
      </c>
    </row>
    <row r="961" spans="2:12" x14ac:dyDescent="0.3">
      <c r="B961" s="28" t="str">
        <f t="shared" ca="1" si="43"/>
        <v/>
      </c>
      <c r="C961" s="29" t="str">
        <f t="shared" ca="1" si="44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2"/>
        <v>0</v>
      </c>
    </row>
    <row r="962" spans="2:12" x14ac:dyDescent="0.3">
      <c r="B962" s="28" t="str">
        <f t="shared" ca="1" si="43"/>
        <v/>
      </c>
      <c r="C962" s="29" t="str">
        <f t="shared" ca="1" si="44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2"/>
        <v>0</v>
      </c>
    </row>
    <row r="963" spans="2:12" x14ac:dyDescent="0.3">
      <c r="B963" s="28" t="str">
        <f t="shared" ca="1" si="43"/>
        <v/>
      </c>
      <c r="C963" s="29" t="str">
        <f t="shared" ca="1" si="44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2"/>
        <v>0</v>
      </c>
    </row>
    <row r="964" spans="2:12" x14ac:dyDescent="0.3">
      <c r="B964" s="28" t="str">
        <f t="shared" ca="1" si="43"/>
        <v/>
      </c>
      <c r="C964" s="29" t="str">
        <f t="shared" ca="1" si="44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2"/>
        <v>0</v>
      </c>
    </row>
    <row r="965" spans="2:12" x14ac:dyDescent="0.3">
      <c r="B965" s="28" t="str">
        <f t="shared" ca="1" si="43"/>
        <v/>
      </c>
      <c r="C965" s="29" t="str">
        <f t="shared" ca="1" si="44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2"/>
        <v>0</v>
      </c>
    </row>
    <row r="966" spans="2:12" x14ac:dyDescent="0.3">
      <c r="B966" s="28" t="str">
        <f t="shared" ca="1" si="43"/>
        <v/>
      </c>
      <c r="C966" s="29" t="str">
        <f t="shared" ca="1" si="44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2"/>
        <v>0</v>
      </c>
    </row>
    <row r="967" spans="2:12" x14ac:dyDescent="0.3">
      <c r="B967" s="28" t="str">
        <f t="shared" ca="1" si="43"/>
        <v/>
      </c>
      <c r="C967" s="29" t="str">
        <f t="shared" ca="1" si="44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2"/>
        <v>0</v>
      </c>
    </row>
    <row r="968" spans="2:12" x14ac:dyDescent="0.3">
      <c r="B968" s="28" t="str">
        <f t="shared" ca="1" si="43"/>
        <v/>
      </c>
      <c r="C968" s="29" t="str">
        <f t="shared" ca="1" si="44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2"/>
        <v>0</v>
      </c>
    </row>
    <row r="969" spans="2:12" x14ac:dyDescent="0.3">
      <c r="B969" s="28" t="str">
        <f t="shared" ca="1" si="43"/>
        <v/>
      </c>
      <c r="C969" s="29" t="str">
        <f t="shared" ca="1" si="44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2"/>
        <v>0</v>
      </c>
    </row>
    <row r="970" spans="2:12" x14ac:dyDescent="0.3">
      <c r="B970" s="28" t="str">
        <f t="shared" ca="1" si="43"/>
        <v/>
      </c>
      <c r="C970" s="29" t="str">
        <f t="shared" ca="1" si="44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ref="L970:L999" si="45">J970-I970-K970</f>
        <v>0</v>
      </c>
    </row>
    <row r="971" spans="2:12" x14ac:dyDescent="0.3">
      <c r="B971" s="28" t="str">
        <f t="shared" ref="B971:B999" ca="1" si="46">IF(D971&lt;&gt;"",DATE(Jahr,_xlfn.SHEET()-2,D971),"")</f>
        <v/>
      </c>
      <c r="C971" s="29" t="str">
        <f t="shared" ref="C971:C999" ca="1" si="47">B971</f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5"/>
        <v>0</v>
      </c>
    </row>
    <row r="972" spans="2:12" x14ac:dyDescent="0.3">
      <c r="B972" s="28" t="str">
        <f t="shared" ca="1" si="46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5"/>
        <v>0</v>
      </c>
    </row>
    <row r="973" spans="2:12" x14ac:dyDescent="0.3">
      <c r="B973" s="28" t="str">
        <f t="shared" ca="1" si="46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5"/>
        <v>0</v>
      </c>
    </row>
    <row r="974" spans="2:12" x14ac:dyDescent="0.3">
      <c r="B974" s="28" t="str">
        <f t="shared" ca="1" si="46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5"/>
        <v>0</v>
      </c>
    </row>
    <row r="975" spans="2:12" x14ac:dyDescent="0.3">
      <c r="B975" s="28" t="str">
        <f t="shared" ca="1" si="46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5"/>
        <v>0</v>
      </c>
    </row>
    <row r="976" spans="2:12" x14ac:dyDescent="0.3">
      <c r="B976" s="28" t="str">
        <f t="shared" ca="1" si="46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5"/>
        <v>0</v>
      </c>
    </row>
    <row r="977" spans="2:12" x14ac:dyDescent="0.3">
      <c r="B977" s="28" t="str">
        <f t="shared" ca="1" si="46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3" spans="2:12" x14ac:dyDescent="0.3">
      <c r="B983" s="28" t="str">
        <f t="shared" ca="1" si="46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B984" s="28" t="str">
        <f t="shared" ca="1" si="46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5"/>
        <v>0</v>
      </c>
    </row>
    <row r="985" spans="2:12" x14ac:dyDescent="0.3">
      <c r="B985" s="28" t="str">
        <f t="shared" ca="1" si="46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5"/>
        <v>0</v>
      </c>
    </row>
    <row r="986" spans="2:12" x14ac:dyDescent="0.3">
      <c r="B986" s="28" t="str">
        <f t="shared" ca="1" si="46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5"/>
        <v>0</v>
      </c>
    </row>
    <row r="987" spans="2:12" x14ac:dyDescent="0.3">
      <c r="B987" s="28" t="str">
        <f t="shared" ca="1" si="46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5"/>
        <v>0</v>
      </c>
    </row>
    <row r="988" spans="2:12" x14ac:dyDescent="0.3">
      <c r="B988" s="28" t="str">
        <f t="shared" ca="1" si="46"/>
        <v/>
      </c>
      <c r="C988" s="29" t="str">
        <f t="shared" ca="1" si="47"/>
        <v/>
      </c>
      <c r="D988" s="57"/>
      <c r="E988" s="57"/>
      <c r="F988" s="57"/>
      <c r="G988" s="58"/>
      <c r="H988" s="58"/>
      <c r="I988" s="59"/>
      <c r="J988" s="59"/>
      <c r="K988" s="59"/>
      <c r="L988" s="5">
        <f t="shared" si="45"/>
        <v>0</v>
      </c>
    </row>
    <row r="989" spans="2:12" x14ac:dyDescent="0.3">
      <c r="B989" s="28" t="str">
        <f t="shared" ca="1" si="46"/>
        <v/>
      </c>
      <c r="C989" s="29" t="str">
        <f t="shared" ca="1" si="47"/>
        <v/>
      </c>
      <c r="D989" s="57"/>
      <c r="E989" s="57"/>
      <c r="F989" s="57"/>
      <c r="G989" s="58"/>
      <c r="H989" s="58"/>
      <c r="I989" s="59"/>
      <c r="J989" s="59"/>
      <c r="K989" s="59"/>
      <c r="L989" s="5">
        <f t="shared" si="45"/>
        <v>0</v>
      </c>
    </row>
    <row r="990" spans="2:12" x14ac:dyDescent="0.3">
      <c r="B990" s="28" t="str">
        <f t="shared" ca="1" si="46"/>
        <v/>
      </c>
      <c r="C990" s="29" t="str">
        <f t="shared" ca="1" si="47"/>
        <v/>
      </c>
      <c r="D990" s="57"/>
      <c r="E990" s="57"/>
      <c r="F990" s="57"/>
      <c r="G990" s="58"/>
      <c r="H990" s="58"/>
      <c r="I990" s="59"/>
      <c r="J990" s="59"/>
      <c r="K990" s="59"/>
      <c r="L990" s="5">
        <f t="shared" si="45"/>
        <v>0</v>
      </c>
    </row>
    <row r="991" spans="2:12" x14ac:dyDescent="0.3">
      <c r="B991" s="28" t="str">
        <f t="shared" ca="1" si="46"/>
        <v/>
      </c>
      <c r="C991" s="29" t="str">
        <f t="shared" ca="1" si="47"/>
        <v/>
      </c>
      <c r="D991" s="57"/>
      <c r="E991" s="57"/>
      <c r="F991" s="57"/>
      <c r="G991" s="58"/>
      <c r="H991" s="58"/>
      <c r="I991" s="59"/>
      <c r="J991" s="59"/>
      <c r="K991" s="59"/>
      <c r="L991" s="5">
        <f t="shared" si="45"/>
        <v>0</v>
      </c>
    </row>
    <row r="992" spans="2:12" x14ac:dyDescent="0.3">
      <c r="B992" s="28" t="str">
        <f t="shared" ca="1" si="46"/>
        <v/>
      </c>
      <c r="C992" s="29" t="str">
        <f t="shared" ca="1" si="47"/>
        <v/>
      </c>
      <c r="D992" s="57"/>
      <c r="E992" s="57"/>
      <c r="F992" s="57"/>
      <c r="G992" s="58"/>
      <c r="H992" s="58"/>
      <c r="I992" s="59"/>
      <c r="J992" s="59"/>
      <c r="K992" s="59"/>
      <c r="L992" s="5">
        <f t="shared" si="45"/>
        <v>0</v>
      </c>
    </row>
    <row r="993" spans="2:12" x14ac:dyDescent="0.3">
      <c r="B993" s="28" t="str">
        <f t="shared" ca="1" si="46"/>
        <v/>
      </c>
      <c r="C993" s="29" t="str">
        <f t="shared" ca="1" si="47"/>
        <v/>
      </c>
      <c r="D993" s="57"/>
      <c r="E993" s="57"/>
      <c r="F993" s="57"/>
      <c r="G993" s="58"/>
      <c r="H993" s="58"/>
      <c r="I993" s="59"/>
      <c r="J993" s="59"/>
      <c r="K993" s="59"/>
      <c r="L993" s="5">
        <f t="shared" si="45"/>
        <v>0</v>
      </c>
    </row>
    <row r="994" spans="2:12" x14ac:dyDescent="0.3">
      <c r="B994" s="28" t="str">
        <f t="shared" ca="1" si="46"/>
        <v/>
      </c>
      <c r="C994" s="29" t="str">
        <f t="shared" ca="1" si="47"/>
        <v/>
      </c>
      <c r="D994" s="57"/>
      <c r="E994" s="57"/>
      <c r="F994" s="57"/>
      <c r="G994" s="58"/>
      <c r="H994" s="58"/>
      <c r="I994" s="59"/>
      <c r="J994" s="59"/>
      <c r="K994" s="59"/>
      <c r="L994" s="5">
        <f t="shared" si="45"/>
        <v>0</v>
      </c>
    </row>
    <row r="995" spans="2:12" x14ac:dyDescent="0.3">
      <c r="B995" s="28" t="str">
        <f t="shared" ca="1" si="46"/>
        <v/>
      </c>
      <c r="C995" s="29" t="str">
        <f t="shared" ca="1" si="47"/>
        <v/>
      </c>
      <c r="D995" s="57"/>
      <c r="E995" s="57"/>
      <c r="F995" s="57"/>
      <c r="G995" s="58"/>
      <c r="H995" s="58"/>
      <c r="I995" s="59"/>
      <c r="J995" s="59"/>
      <c r="K995" s="59"/>
      <c r="L995" s="5">
        <f t="shared" si="45"/>
        <v>0</v>
      </c>
    </row>
    <row r="996" spans="2:12" x14ac:dyDescent="0.3">
      <c r="B996" s="28" t="str">
        <f t="shared" ca="1" si="46"/>
        <v/>
      </c>
      <c r="C996" s="29" t="str">
        <f t="shared" ca="1" si="47"/>
        <v/>
      </c>
      <c r="D996" s="57"/>
      <c r="E996" s="57"/>
      <c r="F996" s="57"/>
      <c r="G996" s="58"/>
      <c r="H996" s="58"/>
      <c r="I996" s="59"/>
      <c r="J996" s="59"/>
      <c r="K996" s="59"/>
      <c r="L996" s="5">
        <f t="shared" si="45"/>
        <v>0</v>
      </c>
    </row>
    <row r="997" spans="2:12" x14ac:dyDescent="0.3">
      <c r="B997" s="28" t="str">
        <f t="shared" ca="1" si="46"/>
        <v/>
      </c>
      <c r="C997" s="29" t="str">
        <f t="shared" ca="1" si="47"/>
        <v/>
      </c>
      <c r="D997" s="57"/>
      <c r="E997" s="57"/>
      <c r="F997" s="57"/>
      <c r="G997" s="58"/>
      <c r="H997" s="58"/>
      <c r="I997" s="59"/>
      <c r="J997" s="59"/>
      <c r="K997" s="59"/>
      <c r="L997" s="5">
        <f t="shared" si="45"/>
        <v>0</v>
      </c>
    </row>
    <row r="998" spans="2:12" x14ac:dyDescent="0.3">
      <c r="B998" s="28" t="str">
        <f t="shared" ca="1" si="46"/>
        <v/>
      </c>
      <c r="C998" s="29" t="str">
        <f t="shared" ca="1" si="47"/>
        <v/>
      </c>
      <c r="D998" s="57"/>
      <c r="E998" s="57"/>
      <c r="F998" s="57"/>
      <c r="G998" s="58"/>
      <c r="H998" s="58"/>
      <c r="I998" s="59"/>
      <c r="J998" s="59"/>
      <c r="K998" s="59"/>
      <c r="L998" s="5">
        <f t="shared" si="45"/>
        <v>0</v>
      </c>
    </row>
    <row r="999" spans="2:12" x14ac:dyDescent="0.3">
      <c r="B999" s="28" t="str">
        <f t="shared" ca="1" si="46"/>
        <v/>
      </c>
      <c r="C999" s="29" t="str">
        <f t="shared" ca="1" si="47"/>
        <v/>
      </c>
      <c r="D999" s="57"/>
      <c r="E999" s="57"/>
      <c r="F999" s="57"/>
      <c r="G999" s="58"/>
      <c r="H999" s="58"/>
      <c r="I999" s="59"/>
      <c r="J999" s="59"/>
      <c r="K999" s="59"/>
      <c r="L999" s="5">
        <f t="shared" si="45"/>
        <v>0</v>
      </c>
    </row>
  </sheetData>
  <autoFilter ref="B8:L999" xr:uid="{00000000-0009-0000-0000-00000C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99">
    <cfRule type="expression" dxfId="15" priority="1">
      <formula>AND($D9&lt;&gt;"",NOT(ISNUMBER($D9)))</formula>
    </cfRule>
    <cfRule type="expression" dxfId="14" priority="2">
      <formula>OR($D9&lt;=0,DAY(DATE(YEAR($C9),MONTH($C9)+1,1)-1) &lt;$D9)</formula>
    </cfRule>
    <cfRule type="expression" dxfId="12" priority="4">
      <formula>AND($D9&lt;&gt;"",WEEKDAY($B9,2)=6)</formula>
    </cfRule>
    <cfRule type="expression" dxfId="11" priority="5">
      <formula>AND($D9&lt;&gt;"",WEEKDAY($B9,2)=7)</formula>
    </cfRule>
    <cfRule type="expression" dxfId="10" priority="6">
      <formula>AND($D9&lt;&gt;"",WEEKDAY($B9,2)&lt;6)</formula>
    </cfRule>
  </conditionalFormatting>
  <dataValidations count="2">
    <dataValidation type="list" allowBlank="1" showInputMessage="1" showErrorMessage="1" sqref="F49 G9:G999" xr:uid="{1B81CCA2-A39C-4324-9CA5-6F47BCA09CE5}">
      <formula1>Arbeitspakete</formula1>
    </dataValidation>
    <dataValidation type="list" allowBlank="1" showInputMessage="1" showErrorMessage="1" sqref="F9:F48 F50:F999" xr:uid="{7A7D7D04-A07E-416E-95DC-B103C9322C91}">
      <formula1>Projektnamen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330C17A2-52EA-44D5-B836-8DB604114526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B9:B999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T999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baseColWidth="10" defaultColWidth="10.6640625" defaultRowHeight="14.4" x14ac:dyDescent="0.3"/>
  <cols>
    <col min="1" max="1" width="2.5546875" customWidth="1"/>
    <col min="2" max="2" width="4.44140625" customWidth="1"/>
    <col min="3" max="3" width="11.44140625" customWidth="1"/>
    <col min="4" max="4" width="7.33203125" customWidth="1"/>
    <col min="5" max="5" width="13.33203125" customWidth="1"/>
    <col min="6" max="7" width="18.33203125" customWidth="1"/>
    <col min="8" max="8" width="96.44140625" customWidth="1"/>
    <col min="9" max="11" width="6.6640625" customWidth="1"/>
    <col min="12" max="12" width="10.6640625" customWidth="1"/>
    <col min="13" max="13" width="2.5546875" customWidth="1"/>
  </cols>
  <sheetData>
    <row r="2" spans="2:12" x14ac:dyDescent="0.3">
      <c r="B2" s="118" t="s">
        <v>66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t="s">
        <v>69</v>
      </c>
      <c r="D3" t="str">
        <f>Stammdaten!$B$4</f>
        <v>Aya Helli</v>
      </c>
      <c r="G3" s="10"/>
      <c r="H3" s="10"/>
      <c r="I3" s="119" t="s">
        <v>56</v>
      </c>
      <c r="J3" s="119"/>
      <c r="K3" s="119"/>
      <c r="L3" s="9">
        <f ca="1">INDIRECT("Übersicht!"&amp;ADDRESS(39,3*(_xlfn.SHEET()-2),1))</f>
        <v>0</v>
      </c>
    </row>
    <row r="4" spans="2:12" x14ac:dyDescent="0.3">
      <c r="B4" t="s">
        <v>68</v>
      </c>
      <c r="D4" t="str">
        <f>Stammdaten!$B$7</f>
        <v>Research Institute AG &amp; Co KG</v>
      </c>
      <c r="G4" s="10"/>
      <c r="H4" s="10"/>
      <c r="I4" s="119" t="s">
        <v>57</v>
      </c>
      <c r="J4" s="119"/>
      <c r="K4" s="119"/>
      <c r="L4" s="9">
        <f>SUM(L9:L999)*24</f>
        <v>0</v>
      </c>
    </row>
    <row r="5" spans="2:12" x14ac:dyDescent="0.3">
      <c r="B5" t="s">
        <v>67</v>
      </c>
      <c r="D5" t="str">
        <f ca="1">TEXT("1. "&amp;_xlfn.SHEET()-2,"MMMM")</f>
        <v>Dezember</v>
      </c>
      <c r="G5" s="121"/>
      <c r="H5" s="121"/>
      <c r="I5" s="119" t="s">
        <v>70</v>
      </c>
      <c r="J5" s="119"/>
      <c r="K5" s="119"/>
      <c r="L5" s="9">
        <f ca="1">L4-L3</f>
        <v>0</v>
      </c>
    </row>
    <row r="6" spans="2:12" x14ac:dyDescent="0.3">
      <c r="B6" s="120" t="s">
        <v>64</v>
      </c>
      <c r="C6" s="120"/>
      <c r="D6" s="11">
        <f>Jahr</f>
        <v>2025</v>
      </c>
      <c r="E6" s="11"/>
      <c r="I6" s="119" t="s">
        <v>58</v>
      </c>
      <c r="J6" s="119"/>
      <c r="K6" s="119"/>
      <c r="L6" s="9">
        <f ca="1">INDIRECT("Übersicht!"&amp;ADDRESS(56,3*(_xlfn.SHEET()-2),1))</f>
        <v>-142.99999999999997</v>
      </c>
    </row>
    <row r="7" spans="2:12" x14ac:dyDescent="0.3">
      <c r="L7" s="9"/>
    </row>
    <row r="8" spans="2:12" x14ac:dyDescent="0.3">
      <c r="B8" s="3"/>
      <c r="C8" s="1" t="s">
        <v>0</v>
      </c>
      <c r="D8" s="1" t="s">
        <v>25</v>
      </c>
      <c r="E8" s="1" t="s">
        <v>101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5</v>
      </c>
      <c r="K8" s="3" t="s">
        <v>6</v>
      </c>
      <c r="L8" s="4" t="s">
        <v>7</v>
      </c>
    </row>
    <row r="9" spans="2:12" x14ac:dyDescent="0.3">
      <c r="B9" s="28" t="str">
        <f ca="1">IF(D9&lt;&gt;"",DATE(Jahr,_xlfn.SHEET()-2,D9),"")</f>
        <v/>
      </c>
      <c r="C9" s="29" t="str">
        <f ca="1">B9</f>
        <v/>
      </c>
      <c r="D9" s="57"/>
      <c r="E9" s="57"/>
      <c r="F9" s="57"/>
      <c r="G9" s="58"/>
      <c r="H9" s="58"/>
      <c r="I9" s="59"/>
      <c r="J9" s="59"/>
      <c r="K9" s="59"/>
      <c r="L9" s="5">
        <f t="shared" ref="L9:L72" si="0">J9-I9-K9</f>
        <v>0</v>
      </c>
    </row>
    <row r="10" spans="2:12" x14ac:dyDescent="0.3">
      <c r="B10" s="28" t="str">
        <f t="shared" ref="B10:B72" ca="1" si="1">IF(D10&lt;&gt;"",DATE(Jahr,_xlfn.SHEET()-2,D10),"")</f>
        <v/>
      </c>
      <c r="C10" s="29" t="str">
        <f t="shared" ref="C10:C72" ca="1" si="2">B10</f>
        <v/>
      </c>
      <c r="D10" s="57"/>
      <c r="E10" s="57"/>
      <c r="F10" s="57"/>
      <c r="G10" s="58"/>
      <c r="H10" s="58"/>
      <c r="I10" s="59"/>
      <c r="J10" s="59"/>
      <c r="K10" s="59"/>
      <c r="L10" s="5">
        <f t="shared" si="0"/>
        <v>0</v>
      </c>
    </row>
    <row r="11" spans="2:12" x14ac:dyDescent="0.3">
      <c r="B11" s="28" t="str">
        <f ca="1">IF(D11&lt;&gt;"",DATE(Jahr,_xlfn.SHEET()-2,D11),"")</f>
        <v/>
      </c>
      <c r="C11" s="29" t="str">
        <f ca="1">B11</f>
        <v/>
      </c>
      <c r="D11" s="57"/>
      <c r="E11" s="57"/>
      <c r="F11" s="57"/>
      <c r="G11" s="58"/>
      <c r="H11" s="58"/>
      <c r="I11" s="59"/>
      <c r="J11" s="59"/>
      <c r="K11" s="59"/>
      <c r="L11" s="5">
        <f t="shared" si="0"/>
        <v>0</v>
      </c>
    </row>
    <row r="12" spans="2:12" x14ac:dyDescent="0.3">
      <c r="B12" s="28" t="str">
        <f t="shared" ca="1" si="1"/>
        <v/>
      </c>
      <c r="C12" s="29" t="str">
        <f t="shared" ca="1" si="2"/>
        <v/>
      </c>
      <c r="D12" s="57"/>
      <c r="E12" s="57"/>
      <c r="F12" s="57"/>
      <c r="G12" s="58"/>
      <c r="H12" s="58"/>
      <c r="I12" s="59"/>
      <c r="J12" s="59"/>
      <c r="K12" s="59"/>
      <c r="L12" s="5">
        <f t="shared" si="0"/>
        <v>0</v>
      </c>
    </row>
    <row r="13" spans="2:12" x14ac:dyDescent="0.3">
      <c r="B13" s="28" t="str">
        <f t="shared" ca="1" si="1"/>
        <v/>
      </c>
      <c r="C13" s="29" t="str">
        <f t="shared" ca="1" si="2"/>
        <v/>
      </c>
      <c r="D13" s="57"/>
      <c r="E13" s="57"/>
      <c r="F13" s="57"/>
      <c r="G13" s="58"/>
      <c r="H13" s="58"/>
      <c r="I13" s="59"/>
      <c r="J13" s="59"/>
      <c r="K13" s="59"/>
      <c r="L13" s="5">
        <f t="shared" si="0"/>
        <v>0</v>
      </c>
    </row>
    <row r="14" spans="2:12" x14ac:dyDescent="0.3">
      <c r="B14" s="28" t="str">
        <f t="shared" ca="1" si="1"/>
        <v/>
      </c>
      <c r="C14" s="29" t="str">
        <f t="shared" ca="1" si="2"/>
        <v/>
      </c>
      <c r="D14" s="57"/>
      <c r="E14" s="57"/>
      <c r="F14" s="57"/>
      <c r="G14" s="58"/>
      <c r="H14" s="58"/>
      <c r="I14" s="59"/>
      <c r="J14" s="59"/>
      <c r="K14" s="59"/>
      <c r="L14" s="5">
        <f t="shared" si="0"/>
        <v>0</v>
      </c>
    </row>
    <row r="15" spans="2:12" x14ac:dyDescent="0.3">
      <c r="B15" s="28" t="str">
        <f t="shared" ca="1" si="1"/>
        <v/>
      </c>
      <c r="C15" s="29" t="str">
        <f t="shared" ca="1" si="2"/>
        <v/>
      </c>
      <c r="D15" s="57"/>
      <c r="E15" s="57"/>
      <c r="F15" s="57"/>
      <c r="G15" s="58"/>
      <c r="H15" s="58"/>
      <c r="I15" s="59"/>
      <c r="J15" s="59"/>
      <c r="K15" s="59"/>
      <c r="L15" s="5">
        <f t="shared" si="0"/>
        <v>0</v>
      </c>
    </row>
    <row r="16" spans="2:12" x14ac:dyDescent="0.3">
      <c r="B16" s="28" t="str">
        <f t="shared" ca="1" si="1"/>
        <v/>
      </c>
      <c r="C16" s="29" t="str">
        <f t="shared" ca="1" si="2"/>
        <v/>
      </c>
      <c r="D16" s="57"/>
      <c r="E16" s="57"/>
      <c r="F16" s="57"/>
      <c r="G16" s="58"/>
      <c r="H16" s="58"/>
      <c r="I16" s="59"/>
      <c r="J16" s="59"/>
      <c r="K16" s="59"/>
      <c r="L16" s="5">
        <f t="shared" si="0"/>
        <v>0</v>
      </c>
    </row>
    <row r="17" spans="2:20" x14ac:dyDescent="0.3">
      <c r="B17" s="28" t="str">
        <f t="shared" ca="1" si="1"/>
        <v/>
      </c>
      <c r="C17" s="29" t="str">
        <f t="shared" ca="1" si="2"/>
        <v/>
      </c>
      <c r="D17" s="57"/>
      <c r="E17" s="57"/>
      <c r="F17" s="57"/>
      <c r="G17" s="58"/>
      <c r="H17" s="58"/>
      <c r="I17" s="59"/>
      <c r="J17" s="59"/>
      <c r="K17" s="59"/>
      <c r="L17" s="5">
        <f t="shared" si="0"/>
        <v>0</v>
      </c>
    </row>
    <row r="18" spans="2:20" x14ac:dyDescent="0.3">
      <c r="B18" s="28" t="str">
        <f t="shared" ca="1" si="1"/>
        <v/>
      </c>
      <c r="C18" s="29" t="str">
        <f t="shared" ca="1" si="2"/>
        <v/>
      </c>
      <c r="D18" s="57"/>
      <c r="E18" s="57"/>
      <c r="F18" s="57"/>
      <c r="G18" s="58"/>
      <c r="H18" s="58"/>
      <c r="I18" s="59"/>
      <c r="J18" s="59"/>
      <c r="K18" s="59"/>
      <c r="L18" s="5">
        <f t="shared" si="0"/>
        <v>0</v>
      </c>
    </row>
    <row r="19" spans="2:20" x14ac:dyDescent="0.3">
      <c r="B19" s="28" t="str">
        <f t="shared" ca="1" si="1"/>
        <v/>
      </c>
      <c r="C19" s="29" t="str">
        <f t="shared" ca="1" si="2"/>
        <v/>
      </c>
      <c r="D19" s="57"/>
      <c r="E19" s="57"/>
      <c r="F19" s="57"/>
      <c r="G19" s="58"/>
      <c r="H19" s="58"/>
      <c r="I19" s="59"/>
      <c r="J19" s="59"/>
      <c r="K19" s="59"/>
      <c r="L19" s="5">
        <f t="shared" si="0"/>
        <v>0</v>
      </c>
    </row>
    <row r="20" spans="2:20" x14ac:dyDescent="0.3">
      <c r="B20" s="28" t="str">
        <f t="shared" ca="1" si="1"/>
        <v/>
      </c>
      <c r="C20" s="29" t="str">
        <f t="shared" ca="1" si="2"/>
        <v/>
      </c>
      <c r="D20" s="57"/>
      <c r="E20" s="57"/>
      <c r="F20" s="57"/>
      <c r="G20" s="58"/>
      <c r="H20" s="58"/>
      <c r="I20" s="59"/>
      <c r="J20" s="59"/>
      <c r="K20" s="59"/>
      <c r="L20" s="5">
        <f t="shared" si="0"/>
        <v>0</v>
      </c>
    </row>
    <row r="21" spans="2:20" x14ac:dyDescent="0.3">
      <c r="B21" s="28" t="str">
        <f t="shared" ca="1" si="1"/>
        <v/>
      </c>
      <c r="C21" s="29" t="str">
        <f t="shared" ca="1" si="2"/>
        <v/>
      </c>
      <c r="D21" s="57"/>
      <c r="E21" s="57"/>
      <c r="F21" s="57"/>
      <c r="G21" s="58"/>
      <c r="H21" s="58"/>
      <c r="I21" s="59"/>
      <c r="J21" s="59"/>
      <c r="K21" s="59"/>
      <c r="L21" s="5">
        <f t="shared" si="0"/>
        <v>0</v>
      </c>
    </row>
    <row r="22" spans="2:20" x14ac:dyDescent="0.3">
      <c r="B22" s="28" t="str">
        <f t="shared" ca="1" si="1"/>
        <v/>
      </c>
      <c r="C22" s="29" t="str">
        <f t="shared" ca="1" si="2"/>
        <v/>
      </c>
      <c r="D22" s="57"/>
      <c r="E22" s="57"/>
      <c r="F22" s="57"/>
      <c r="G22" s="58"/>
      <c r="H22" s="58"/>
      <c r="I22" s="59"/>
      <c r="J22" s="59"/>
      <c r="K22" s="59"/>
      <c r="L22" s="5">
        <f t="shared" si="0"/>
        <v>0</v>
      </c>
    </row>
    <row r="23" spans="2:20" x14ac:dyDescent="0.3">
      <c r="B23" s="28" t="str">
        <f t="shared" ca="1" si="1"/>
        <v/>
      </c>
      <c r="C23" s="29" t="str">
        <f t="shared" ca="1" si="2"/>
        <v/>
      </c>
      <c r="D23" s="57"/>
      <c r="E23" s="57"/>
      <c r="F23" s="57"/>
      <c r="G23" s="58"/>
      <c r="H23" s="58"/>
      <c r="I23" s="59"/>
      <c r="J23" s="59"/>
      <c r="K23" s="59"/>
      <c r="L23" s="5">
        <f t="shared" si="0"/>
        <v>0</v>
      </c>
    </row>
    <row r="24" spans="2:20" x14ac:dyDescent="0.3">
      <c r="B24" s="28" t="str">
        <f t="shared" ca="1" si="1"/>
        <v/>
      </c>
      <c r="C24" s="29" t="str">
        <f t="shared" ca="1" si="2"/>
        <v/>
      </c>
      <c r="D24" s="57"/>
      <c r="E24" s="57"/>
      <c r="F24" s="57"/>
      <c r="G24" s="58"/>
      <c r="H24" s="58"/>
      <c r="I24" s="59"/>
      <c r="J24" s="59"/>
      <c r="K24" s="59"/>
      <c r="L24" s="5">
        <f t="shared" si="0"/>
        <v>0</v>
      </c>
    </row>
    <row r="25" spans="2:20" x14ac:dyDescent="0.3">
      <c r="B25" s="28" t="str">
        <f t="shared" ca="1" si="1"/>
        <v/>
      </c>
      <c r="C25" s="29" t="str">
        <f t="shared" ca="1" si="2"/>
        <v/>
      </c>
      <c r="D25" s="57"/>
      <c r="E25" s="57"/>
      <c r="F25" s="57"/>
      <c r="G25" s="58"/>
      <c r="H25" s="58"/>
      <c r="I25" s="59"/>
      <c r="J25" s="59"/>
      <c r="K25" s="59"/>
      <c r="L25" s="5">
        <f t="shared" si="0"/>
        <v>0</v>
      </c>
    </row>
    <row r="26" spans="2:20" x14ac:dyDescent="0.3">
      <c r="B26" s="28" t="str">
        <f t="shared" ca="1" si="1"/>
        <v/>
      </c>
      <c r="C26" s="29" t="str">
        <f t="shared" ca="1" si="2"/>
        <v/>
      </c>
      <c r="D26" s="57"/>
      <c r="E26" s="57"/>
      <c r="F26" s="57"/>
      <c r="G26" s="58"/>
      <c r="H26" s="58"/>
      <c r="I26" s="59"/>
      <c r="J26" s="59"/>
      <c r="K26" s="59"/>
      <c r="L26" s="5">
        <f t="shared" si="0"/>
        <v>0</v>
      </c>
    </row>
    <row r="27" spans="2:20" x14ac:dyDescent="0.3">
      <c r="B27" s="28" t="str">
        <f t="shared" ca="1" si="1"/>
        <v/>
      </c>
      <c r="C27" s="29" t="str">
        <f t="shared" ca="1" si="2"/>
        <v/>
      </c>
      <c r="D27" s="57"/>
      <c r="E27" s="57"/>
      <c r="F27" s="57"/>
      <c r="G27" s="58"/>
      <c r="H27" s="58"/>
      <c r="I27" s="59"/>
      <c r="J27" s="59"/>
      <c r="K27" s="59"/>
      <c r="L27" s="5">
        <f t="shared" si="0"/>
        <v>0</v>
      </c>
    </row>
    <row r="28" spans="2:20" x14ac:dyDescent="0.3">
      <c r="B28" s="28" t="str">
        <f t="shared" ca="1" si="1"/>
        <v/>
      </c>
      <c r="C28" s="29" t="str">
        <f t="shared" ca="1" si="2"/>
        <v/>
      </c>
      <c r="D28" s="57"/>
      <c r="E28" s="57"/>
      <c r="F28" s="57"/>
      <c r="G28" s="58"/>
      <c r="H28" s="58"/>
      <c r="I28" s="59"/>
      <c r="J28" s="59"/>
      <c r="K28" s="59"/>
      <c r="L28" s="5">
        <f t="shared" si="0"/>
        <v>0</v>
      </c>
      <c r="T28" s="88"/>
    </row>
    <row r="29" spans="2:20" x14ac:dyDescent="0.3">
      <c r="B29" s="28" t="str">
        <f t="shared" ca="1" si="1"/>
        <v/>
      </c>
      <c r="C29" s="29" t="str">
        <f t="shared" ca="1" si="2"/>
        <v/>
      </c>
      <c r="D29" s="57"/>
      <c r="E29" s="57"/>
      <c r="F29" s="57"/>
      <c r="G29" s="58"/>
      <c r="H29" s="58"/>
      <c r="I29" s="59"/>
      <c r="J29" s="59"/>
      <c r="K29" s="59"/>
      <c r="L29" s="5">
        <f t="shared" si="0"/>
        <v>0</v>
      </c>
      <c r="T29" s="89"/>
    </row>
    <row r="30" spans="2:20" x14ac:dyDescent="0.3">
      <c r="B30" s="28" t="str">
        <f t="shared" ca="1" si="1"/>
        <v/>
      </c>
      <c r="C30" s="29" t="str">
        <f t="shared" ca="1" si="2"/>
        <v/>
      </c>
      <c r="D30" s="57"/>
      <c r="E30" s="57"/>
      <c r="F30" s="57"/>
      <c r="G30" s="58"/>
      <c r="H30" s="58"/>
      <c r="I30" s="59"/>
      <c r="J30" s="59"/>
      <c r="K30" s="59"/>
      <c r="L30" s="5">
        <f t="shared" si="0"/>
        <v>0</v>
      </c>
      <c r="T30" s="89"/>
    </row>
    <row r="31" spans="2:20" x14ac:dyDescent="0.3">
      <c r="B31" s="28" t="str">
        <f t="shared" ca="1" si="1"/>
        <v/>
      </c>
      <c r="C31" s="29" t="str">
        <f t="shared" ca="1" si="2"/>
        <v/>
      </c>
      <c r="D31" s="57"/>
      <c r="E31" s="57"/>
      <c r="F31" s="57"/>
      <c r="G31" s="58"/>
      <c r="H31" s="58"/>
      <c r="I31" s="59"/>
      <c r="J31" s="59"/>
      <c r="K31" s="59"/>
      <c r="L31" s="5">
        <f t="shared" si="0"/>
        <v>0</v>
      </c>
      <c r="T31" s="89"/>
    </row>
    <row r="32" spans="2:20" x14ac:dyDescent="0.3">
      <c r="B32" s="28" t="str">
        <f t="shared" ca="1" si="1"/>
        <v/>
      </c>
      <c r="C32" s="29" t="str">
        <f t="shared" ca="1" si="2"/>
        <v/>
      </c>
      <c r="D32" s="57"/>
      <c r="E32" s="57"/>
      <c r="F32" s="57"/>
      <c r="G32" s="58"/>
      <c r="H32" s="58"/>
      <c r="I32" s="59"/>
      <c r="J32" s="59"/>
      <c r="K32" s="59"/>
      <c r="L32" s="5">
        <f t="shared" si="0"/>
        <v>0</v>
      </c>
      <c r="T32" s="89"/>
    </row>
    <row r="33" spans="2:20" x14ac:dyDescent="0.3">
      <c r="B33" s="28" t="str">
        <f t="shared" ca="1" si="1"/>
        <v/>
      </c>
      <c r="C33" s="29" t="str">
        <f t="shared" ca="1" si="2"/>
        <v/>
      </c>
      <c r="D33" s="57"/>
      <c r="E33" s="57"/>
      <c r="F33" s="57"/>
      <c r="G33" s="58"/>
      <c r="H33" s="58"/>
      <c r="I33" s="59"/>
      <c r="J33" s="59"/>
      <c r="K33" s="59"/>
      <c r="L33" s="5">
        <f t="shared" si="0"/>
        <v>0</v>
      </c>
      <c r="T33" s="89"/>
    </row>
    <row r="34" spans="2:20" x14ac:dyDescent="0.3">
      <c r="B34" s="28" t="str">
        <f t="shared" ca="1" si="1"/>
        <v/>
      </c>
      <c r="C34" s="29" t="str">
        <f t="shared" ca="1" si="2"/>
        <v/>
      </c>
      <c r="D34" s="57"/>
      <c r="E34" s="57"/>
      <c r="F34" s="57"/>
      <c r="G34" s="58"/>
      <c r="H34" s="58"/>
      <c r="I34" s="59"/>
      <c r="J34" s="59"/>
      <c r="K34" s="59"/>
      <c r="L34" s="5">
        <f t="shared" si="0"/>
        <v>0</v>
      </c>
      <c r="T34" s="90"/>
    </row>
    <row r="35" spans="2:20" x14ac:dyDescent="0.3">
      <c r="B35" s="28" t="str">
        <f t="shared" ca="1" si="1"/>
        <v/>
      </c>
      <c r="C35" s="29" t="str">
        <f t="shared" ca="1" si="2"/>
        <v/>
      </c>
      <c r="D35" s="57"/>
      <c r="E35" s="57"/>
      <c r="F35" s="57"/>
      <c r="G35" s="58"/>
      <c r="H35" s="58"/>
      <c r="I35" s="59"/>
      <c r="J35" s="59"/>
      <c r="K35" s="59"/>
      <c r="L35" s="5">
        <f t="shared" si="0"/>
        <v>0</v>
      </c>
    </row>
    <row r="36" spans="2:20" x14ac:dyDescent="0.3">
      <c r="B36" s="28" t="str">
        <f t="shared" ca="1" si="1"/>
        <v/>
      </c>
      <c r="C36" s="29" t="str">
        <f t="shared" ca="1" si="2"/>
        <v/>
      </c>
      <c r="D36" s="57"/>
      <c r="E36" s="57"/>
      <c r="F36" s="57"/>
      <c r="G36" s="58"/>
      <c r="H36" s="58"/>
      <c r="I36" s="59"/>
      <c r="J36" s="59"/>
      <c r="K36" s="59"/>
      <c r="L36" s="5">
        <f t="shared" si="0"/>
        <v>0</v>
      </c>
      <c r="T36" s="91"/>
    </row>
    <row r="37" spans="2:20" x14ac:dyDescent="0.3">
      <c r="B37" s="28" t="str">
        <f t="shared" ca="1" si="1"/>
        <v/>
      </c>
      <c r="C37" s="29" t="str">
        <f t="shared" ca="1" si="2"/>
        <v/>
      </c>
      <c r="D37" s="57"/>
      <c r="E37" s="57"/>
      <c r="F37" s="57"/>
      <c r="G37" s="58"/>
      <c r="H37" s="58"/>
      <c r="I37" s="59"/>
      <c r="J37" s="59"/>
      <c r="K37" s="59"/>
      <c r="L37" s="5">
        <f t="shared" si="0"/>
        <v>0</v>
      </c>
    </row>
    <row r="38" spans="2:20" x14ac:dyDescent="0.3">
      <c r="B38" s="28" t="str">
        <f t="shared" ca="1" si="1"/>
        <v/>
      </c>
      <c r="C38" s="29" t="str">
        <f t="shared" ca="1" si="2"/>
        <v/>
      </c>
      <c r="D38" s="57"/>
      <c r="E38" s="57"/>
      <c r="F38" s="57"/>
      <c r="G38" s="58"/>
      <c r="H38" s="58"/>
      <c r="I38" s="59"/>
      <c r="J38" s="59"/>
      <c r="K38" s="59"/>
      <c r="L38" s="5">
        <f t="shared" si="0"/>
        <v>0</v>
      </c>
    </row>
    <row r="39" spans="2:20" x14ac:dyDescent="0.3">
      <c r="B39" s="28" t="str">
        <f t="shared" ca="1" si="1"/>
        <v/>
      </c>
      <c r="C39" s="29" t="str">
        <f t="shared" ca="1" si="2"/>
        <v/>
      </c>
      <c r="D39" s="57"/>
      <c r="E39" s="57"/>
      <c r="F39" s="57"/>
      <c r="G39" s="58"/>
      <c r="H39" s="58"/>
      <c r="I39" s="59"/>
      <c r="J39" s="59"/>
      <c r="K39" s="59"/>
      <c r="L39" s="5">
        <f t="shared" si="0"/>
        <v>0</v>
      </c>
    </row>
    <row r="40" spans="2:20" x14ac:dyDescent="0.3">
      <c r="B40" s="28" t="str">
        <f t="shared" ca="1" si="1"/>
        <v/>
      </c>
      <c r="C40" s="29" t="str">
        <f t="shared" ca="1" si="2"/>
        <v/>
      </c>
      <c r="D40" s="57"/>
      <c r="E40" s="57"/>
      <c r="F40" s="57"/>
      <c r="G40" s="58"/>
      <c r="H40" s="58"/>
      <c r="I40" s="59"/>
      <c r="J40" s="59"/>
      <c r="K40" s="59"/>
      <c r="L40" s="5">
        <f t="shared" si="0"/>
        <v>0</v>
      </c>
    </row>
    <row r="41" spans="2:20" x14ac:dyDescent="0.3">
      <c r="B41" s="28" t="str">
        <f t="shared" ca="1" si="1"/>
        <v/>
      </c>
      <c r="C41" s="29" t="str">
        <f t="shared" ca="1" si="2"/>
        <v/>
      </c>
      <c r="D41" s="57"/>
      <c r="E41" s="57"/>
      <c r="F41" s="57"/>
      <c r="G41" s="58"/>
      <c r="H41" s="58"/>
      <c r="I41" s="59"/>
      <c r="J41" s="59"/>
      <c r="K41" s="59"/>
      <c r="L41" s="5">
        <f t="shared" si="0"/>
        <v>0</v>
      </c>
    </row>
    <row r="42" spans="2:20" x14ac:dyDescent="0.3">
      <c r="B42" s="28" t="str">
        <f t="shared" ca="1" si="1"/>
        <v/>
      </c>
      <c r="C42" s="29" t="str">
        <f t="shared" ca="1" si="2"/>
        <v/>
      </c>
      <c r="D42" s="57"/>
      <c r="E42" s="57"/>
      <c r="F42" s="57"/>
      <c r="G42" s="58"/>
      <c r="H42" s="58"/>
      <c r="I42" s="59"/>
      <c r="J42" s="59"/>
      <c r="K42" s="59"/>
      <c r="L42" s="5">
        <f t="shared" si="0"/>
        <v>0</v>
      </c>
    </row>
    <row r="43" spans="2:20" x14ac:dyDescent="0.3">
      <c r="B43" s="28" t="str">
        <f t="shared" ca="1" si="1"/>
        <v/>
      </c>
      <c r="C43" s="29" t="str">
        <f t="shared" ca="1" si="2"/>
        <v/>
      </c>
      <c r="D43" s="57"/>
      <c r="E43" s="57"/>
      <c r="F43" s="57"/>
      <c r="G43" s="58"/>
      <c r="H43" s="58"/>
      <c r="I43" s="59"/>
      <c r="J43" s="59"/>
      <c r="K43" s="59"/>
      <c r="L43" s="5">
        <f t="shared" si="0"/>
        <v>0</v>
      </c>
    </row>
    <row r="44" spans="2:20" x14ac:dyDescent="0.3">
      <c r="B44" s="28" t="str">
        <f t="shared" ca="1" si="1"/>
        <v/>
      </c>
      <c r="C44" s="29" t="str">
        <f t="shared" ca="1" si="2"/>
        <v/>
      </c>
      <c r="D44" s="57"/>
      <c r="E44" s="57"/>
      <c r="F44" s="57"/>
      <c r="G44" s="58"/>
      <c r="H44" s="58"/>
      <c r="I44" s="59"/>
      <c r="J44" s="59"/>
      <c r="K44" s="59"/>
      <c r="L44" s="5">
        <f t="shared" si="0"/>
        <v>0</v>
      </c>
    </row>
    <row r="45" spans="2:20" x14ac:dyDescent="0.3">
      <c r="B45" s="28" t="str">
        <f t="shared" ca="1" si="1"/>
        <v/>
      </c>
      <c r="C45" s="29" t="str">
        <f t="shared" ca="1" si="2"/>
        <v/>
      </c>
      <c r="D45" s="57"/>
      <c r="E45" s="57"/>
      <c r="F45" s="57"/>
      <c r="G45" s="58"/>
      <c r="H45" s="58"/>
      <c r="I45" s="59"/>
      <c r="J45" s="59"/>
      <c r="K45" s="59"/>
      <c r="L45" s="5">
        <f t="shared" si="0"/>
        <v>0</v>
      </c>
    </row>
    <row r="46" spans="2:20" x14ac:dyDescent="0.3">
      <c r="B46" s="28" t="str">
        <f t="shared" ca="1" si="1"/>
        <v/>
      </c>
      <c r="C46" s="29" t="str">
        <f t="shared" ca="1" si="2"/>
        <v/>
      </c>
      <c r="D46" s="57"/>
      <c r="E46" s="57"/>
      <c r="F46" s="57"/>
      <c r="G46" s="58"/>
      <c r="H46" s="58"/>
      <c r="I46" s="59"/>
      <c r="J46" s="59"/>
      <c r="K46" s="59"/>
      <c r="L46" s="5">
        <f t="shared" si="0"/>
        <v>0</v>
      </c>
    </row>
    <row r="47" spans="2:20" x14ac:dyDescent="0.3">
      <c r="B47" s="28" t="str">
        <f t="shared" ca="1" si="1"/>
        <v/>
      </c>
      <c r="C47" s="29" t="str">
        <f t="shared" ca="1" si="2"/>
        <v/>
      </c>
      <c r="D47" s="57"/>
      <c r="E47" s="57"/>
      <c r="F47" s="57"/>
      <c r="G47" s="58"/>
      <c r="H47" s="58"/>
      <c r="I47" s="59"/>
      <c r="J47" s="59"/>
      <c r="K47" s="59"/>
      <c r="L47" s="5">
        <f t="shared" si="0"/>
        <v>0</v>
      </c>
    </row>
    <row r="48" spans="2:20" x14ac:dyDescent="0.3">
      <c r="B48" s="28" t="str">
        <f t="shared" ca="1" si="1"/>
        <v/>
      </c>
      <c r="C48" s="29" t="str">
        <f t="shared" ca="1" si="2"/>
        <v/>
      </c>
      <c r="D48" s="57"/>
      <c r="E48" s="57"/>
      <c r="F48" s="57"/>
      <c r="G48" s="58"/>
      <c r="H48" s="58"/>
      <c r="I48" s="59"/>
      <c r="J48" s="59"/>
      <c r="K48" s="59"/>
      <c r="L48" s="5">
        <f t="shared" si="0"/>
        <v>0</v>
      </c>
    </row>
    <row r="49" spans="2:12" x14ac:dyDescent="0.3">
      <c r="B49" s="28" t="str">
        <f t="shared" ca="1" si="1"/>
        <v/>
      </c>
      <c r="C49" s="29" t="str">
        <f t="shared" ca="1" si="2"/>
        <v/>
      </c>
      <c r="D49" s="57"/>
      <c r="E49" s="57"/>
      <c r="F49" s="57"/>
      <c r="G49" s="58"/>
      <c r="H49" s="58"/>
      <c r="I49" s="59"/>
      <c r="J49" s="59"/>
      <c r="K49" s="59"/>
      <c r="L49" s="5">
        <f t="shared" si="0"/>
        <v>0</v>
      </c>
    </row>
    <row r="50" spans="2:12" x14ac:dyDescent="0.3">
      <c r="B50" s="28" t="str">
        <f t="shared" ca="1" si="1"/>
        <v/>
      </c>
      <c r="C50" s="29" t="str">
        <f t="shared" ca="1" si="2"/>
        <v/>
      </c>
      <c r="D50" s="57"/>
      <c r="E50" s="57"/>
      <c r="F50" s="57"/>
      <c r="G50" s="58"/>
      <c r="H50" s="58"/>
      <c r="I50" s="59"/>
      <c r="J50" s="59"/>
      <c r="K50" s="59"/>
      <c r="L50" s="5">
        <f t="shared" si="0"/>
        <v>0</v>
      </c>
    </row>
    <row r="51" spans="2:12" x14ac:dyDescent="0.3">
      <c r="B51" s="28" t="str">
        <f t="shared" ca="1" si="1"/>
        <v/>
      </c>
      <c r="C51" s="29" t="str">
        <f t="shared" ca="1" si="2"/>
        <v/>
      </c>
      <c r="D51" s="57"/>
      <c r="E51" s="57"/>
      <c r="F51" s="57"/>
      <c r="G51" s="58"/>
      <c r="H51" s="58"/>
      <c r="I51" s="59"/>
      <c r="J51" s="59"/>
      <c r="K51" s="59"/>
      <c r="L51" s="5">
        <f t="shared" si="0"/>
        <v>0</v>
      </c>
    </row>
    <row r="52" spans="2:12" x14ac:dyDescent="0.3">
      <c r="B52" s="28" t="str">
        <f t="shared" ca="1" si="1"/>
        <v/>
      </c>
      <c r="C52" s="29" t="str">
        <f t="shared" ca="1" si="2"/>
        <v/>
      </c>
      <c r="D52" s="57"/>
      <c r="E52" s="57"/>
      <c r="F52" s="57"/>
      <c r="G52" s="58"/>
      <c r="H52" s="58"/>
      <c r="I52" s="59"/>
      <c r="J52" s="59"/>
      <c r="K52" s="59"/>
      <c r="L52" s="5">
        <f t="shared" si="0"/>
        <v>0</v>
      </c>
    </row>
    <row r="53" spans="2:12" x14ac:dyDescent="0.3">
      <c r="B53" s="28" t="str">
        <f t="shared" ca="1" si="1"/>
        <v/>
      </c>
      <c r="C53" s="29" t="str">
        <f t="shared" ca="1" si="2"/>
        <v/>
      </c>
      <c r="D53" s="57"/>
      <c r="E53" s="57"/>
      <c r="F53" s="57"/>
      <c r="G53" s="58"/>
      <c r="H53" s="58"/>
      <c r="I53" s="59"/>
      <c r="J53" s="59"/>
      <c r="K53" s="59"/>
      <c r="L53" s="5">
        <f t="shared" si="0"/>
        <v>0</v>
      </c>
    </row>
    <row r="54" spans="2:12" x14ac:dyDescent="0.3">
      <c r="B54" s="28" t="str">
        <f t="shared" ca="1" si="1"/>
        <v/>
      </c>
      <c r="C54" s="29" t="str">
        <f t="shared" ca="1" si="2"/>
        <v/>
      </c>
      <c r="D54" s="57"/>
      <c r="E54" s="57"/>
      <c r="F54" s="57"/>
      <c r="G54" s="58"/>
      <c r="H54" s="58"/>
      <c r="I54" s="59"/>
      <c r="J54" s="59"/>
      <c r="K54" s="59"/>
      <c r="L54" s="5">
        <f t="shared" si="0"/>
        <v>0</v>
      </c>
    </row>
    <row r="55" spans="2:12" x14ac:dyDescent="0.3">
      <c r="B55" s="28" t="str">
        <f t="shared" ca="1" si="1"/>
        <v/>
      </c>
      <c r="C55" s="29" t="str">
        <f t="shared" ca="1" si="2"/>
        <v/>
      </c>
      <c r="D55" s="57"/>
      <c r="E55" s="57"/>
      <c r="F55" s="57"/>
      <c r="G55" s="58"/>
      <c r="H55" s="58"/>
      <c r="I55" s="59"/>
      <c r="J55" s="59"/>
      <c r="K55" s="59"/>
      <c r="L55" s="5">
        <f t="shared" si="0"/>
        <v>0</v>
      </c>
    </row>
    <row r="56" spans="2:12" x14ac:dyDescent="0.3">
      <c r="B56" s="28" t="str">
        <f t="shared" ca="1" si="1"/>
        <v/>
      </c>
      <c r="C56" s="29" t="str">
        <f t="shared" ca="1" si="2"/>
        <v/>
      </c>
      <c r="D56" s="57"/>
      <c r="E56" s="57"/>
      <c r="F56" s="57"/>
      <c r="G56" s="58"/>
      <c r="H56" s="58"/>
      <c r="I56" s="59"/>
      <c r="J56" s="59"/>
      <c r="K56" s="59"/>
      <c r="L56" s="5">
        <f t="shared" si="0"/>
        <v>0</v>
      </c>
    </row>
    <row r="57" spans="2:12" x14ac:dyDescent="0.3">
      <c r="B57" s="28" t="str">
        <f t="shared" ca="1" si="1"/>
        <v/>
      </c>
      <c r="C57" s="29" t="str">
        <f t="shared" ca="1" si="2"/>
        <v/>
      </c>
      <c r="D57" s="57"/>
      <c r="E57" s="57"/>
      <c r="F57" s="57"/>
      <c r="G57" s="58"/>
      <c r="H57" s="58"/>
      <c r="I57" s="59"/>
      <c r="J57" s="59"/>
      <c r="K57" s="59"/>
      <c r="L57" s="5">
        <f t="shared" si="0"/>
        <v>0</v>
      </c>
    </row>
    <row r="58" spans="2:12" x14ac:dyDescent="0.3">
      <c r="B58" s="28" t="str">
        <f t="shared" ca="1" si="1"/>
        <v/>
      </c>
      <c r="C58" s="29" t="str">
        <f t="shared" ca="1" si="2"/>
        <v/>
      </c>
      <c r="D58" s="57"/>
      <c r="E58" s="57"/>
      <c r="F58" s="57"/>
      <c r="G58" s="58"/>
      <c r="H58" s="58"/>
      <c r="I58" s="59"/>
      <c r="J58" s="59"/>
      <c r="K58" s="59"/>
      <c r="L58" s="5">
        <f t="shared" si="0"/>
        <v>0</v>
      </c>
    </row>
    <row r="59" spans="2:12" x14ac:dyDescent="0.3">
      <c r="B59" s="28" t="str">
        <f t="shared" ca="1" si="1"/>
        <v/>
      </c>
      <c r="C59" s="29" t="str">
        <f t="shared" ca="1" si="2"/>
        <v/>
      </c>
      <c r="D59" s="57"/>
      <c r="E59" s="57"/>
      <c r="F59" s="57"/>
      <c r="G59" s="58"/>
      <c r="H59" s="58"/>
      <c r="I59" s="59"/>
      <c r="J59" s="59"/>
      <c r="K59" s="59"/>
      <c r="L59" s="5">
        <f t="shared" si="0"/>
        <v>0</v>
      </c>
    </row>
    <row r="60" spans="2:12" x14ac:dyDescent="0.3">
      <c r="B60" s="28" t="str">
        <f t="shared" ca="1" si="1"/>
        <v/>
      </c>
      <c r="C60" s="29" t="str">
        <f t="shared" ca="1" si="2"/>
        <v/>
      </c>
      <c r="D60" s="57"/>
      <c r="E60" s="57"/>
      <c r="F60" s="57"/>
      <c r="G60" s="58"/>
      <c r="H60" s="58"/>
      <c r="I60" s="59"/>
      <c r="J60" s="59"/>
      <c r="K60" s="59"/>
      <c r="L60" s="5">
        <f t="shared" si="0"/>
        <v>0</v>
      </c>
    </row>
    <row r="61" spans="2:12" x14ac:dyDescent="0.3">
      <c r="B61" s="28" t="str">
        <f t="shared" ca="1" si="1"/>
        <v/>
      </c>
      <c r="C61" s="29" t="str">
        <f t="shared" ca="1" si="2"/>
        <v/>
      </c>
      <c r="D61" s="57"/>
      <c r="E61" s="57"/>
      <c r="F61" s="57"/>
      <c r="G61" s="58"/>
      <c r="H61" s="58"/>
      <c r="I61" s="59"/>
      <c r="J61" s="59"/>
      <c r="K61" s="59"/>
      <c r="L61" s="5">
        <f t="shared" si="0"/>
        <v>0</v>
      </c>
    </row>
    <row r="62" spans="2:12" x14ac:dyDescent="0.3">
      <c r="B62" s="28" t="str">
        <f t="shared" ca="1" si="1"/>
        <v/>
      </c>
      <c r="C62" s="29" t="str">
        <f t="shared" ca="1" si="2"/>
        <v/>
      </c>
      <c r="D62" s="57"/>
      <c r="E62" s="57"/>
      <c r="F62" s="57"/>
      <c r="G62" s="58"/>
      <c r="H62" s="58"/>
      <c r="I62" s="59"/>
      <c r="J62" s="59"/>
      <c r="K62" s="59"/>
      <c r="L62" s="5">
        <f t="shared" si="0"/>
        <v>0</v>
      </c>
    </row>
    <row r="63" spans="2:12" x14ac:dyDescent="0.3">
      <c r="B63" s="28" t="str">
        <f t="shared" ca="1" si="1"/>
        <v/>
      </c>
      <c r="C63" s="29" t="str">
        <f t="shared" ca="1" si="2"/>
        <v/>
      </c>
      <c r="D63" s="57"/>
      <c r="E63" s="57"/>
      <c r="F63" s="57"/>
      <c r="G63" s="58"/>
      <c r="H63" s="58"/>
      <c r="I63" s="59"/>
      <c r="J63" s="59"/>
      <c r="K63" s="59"/>
      <c r="L63" s="5">
        <f t="shared" si="0"/>
        <v>0</v>
      </c>
    </row>
    <row r="64" spans="2:12" x14ac:dyDescent="0.3">
      <c r="B64" s="28" t="str">
        <f t="shared" ca="1" si="1"/>
        <v/>
      </c>
      <c r="C64" s="29" t="str">
        <f t="shared" ca="1" si="2"/>
        <v/>
      </c>
      <c r="D64" s="57"/>
      <c r="E64" s="57"/>
      <c r="F64" s="57"/>
      <c r="G64" s="58"/>
      <c r="H64" s="58"/>
      <c r="I64" s="59"/>
      <c r="J64" s="59"/>
      <c r="K64" s="59"/>
      <c r="L64" s="5">
        <f t="shared" si="0"/>
        <v>0</v>
      </c>
    </row>
    <row r="65" spans="2:12" x14ac:dyDescent="0.3">
      <c r="B65" s="28" t="str">
        <f t="shared" ca="1" si="1"/>
        <v/>
      </c>
      <c r="C65" s="29" t="str">
        <f t="shared" ca="1" si="2"/>
        <v/>
      </c>
      <c r="D65" s="57"/>
      <c r="E65" s="57"/>
      <c r="F65" s="57"/>
      <c r="G65" s="58"/>
      <c r="H65" s="58"/>
      <c r="I65" s="59"/>
      <c r="J65" s="59"/>
      <c r="K65" s="59"/>
      <c r="L65" s="5">
        <f t="shared" si="0"/>
        <v>0</v>
      </c>
    </row>
    <row r="66" spans="2:12" x14ac:dyDescent="0.3">
      <c r="B66" s="28" t="str">
        <f t="shared" ca="1" si="1"/>
        <v/>
      </c>
      <c r="C66" s="29" t="str">
        <f t="shared" ca="1" si="2"/>
        <v/>
      </c>
      <c r="D66" s="57"/>
      <c r="E66" s="57"/>
      <c r="F66" s="57"/>
      <c r="G66" s="58"/>
      <c r="H66" s="58"/>
      <c r="I66" s="59"/>
      <c r="J66" s="59"/>
      <c r="K66" s="59"/>
      <c r="L66" s="5">
        <f t="shared" si="0"/>
        <v>0</v>
      </c>
    </row>
    <row r="67" spans="2:12" x14ac:dyDescent="0.3">
      <c r="B67" s="28" t="str">
        <f t="shared" ca="1" si="1"/>
        <v/>
      </c>
      <c r="C67" s="29" t="str">
        <f t="shared" ca="1" si="2"/>
        <v/>
      </c>
      <c r="D67" s="57"/>
      <c r="E67" s="57"/>
      <c r="F67" s="57"/>
      <c r="G67" s="58"/>
      <c r="H67" s="58"/>
      <c r="I67" s="59"/>
      <c r="J67" s="59"/>
      <c r="K67" s="59"/>
      <c r="L67" s="5">
        <f t="shared" si="0"/>
        <v>0</v>
      </c>
    </row>
    <row r="68" spans="2:12" x14ac:dyDescent="0.3">
      <c r="B68" s="28" t="str">
        <f t="shared" ca="1" si="1"/>
        <v/>
      </c>
      <c r="C68" s="29" t="str">
        <f t="shared" ca="1" si="2"/>
        <v/>
      </c>
      <c r="D68" s="57"/>
      <c r="E68" s="57"/>
      <c r="F68" s="57"/>
      <c r="G68" s="58"/>
      <c r="H68" s="58"/>
      <c r="I68" s="59"/>
      <c r="J68" s="59"/>
      <c r="K68" s="59"/>
      <c r="L68" s="5">
        <f t="shared" si="0"/>
        <v>0</v>
      </c>
    </row>
    <row r="69" spans="2:12" x14ac:dyDescent="0.3">
      <c r="B69" s="28" t="str">
        <f t="shared" ca="1" si="1"/>
        <v/>
      </c>
      <c r="C69" s="29" t="str">
        <f t="shared" ca="1" si="2"/>
        <v/>
      </c>
      <c r="D69" s="57"/>
      <c r="E69" s="57"/>
      <c r="F69" s="57"/>
      <c r="G69" s="58"/>
      <c r="H69" s="58"/>
      <c r="I69" s="59"/>
      <c r="J69" s="59"/>
      <c r="K69" s="59"/>
      <c r="L69" s="5">
        <f t="shared" si="0"/>
        <v>0</v>
      </c>
    </row>
    <row r="70" spans="2:12" x14ac:dyDescent="0.3">
      <c r="B70" s="28" t="str">
        <f t="shared" ca="1" si="1"/>
        <v/>
      </c>
      <c r="C70" s="29" t="str">
        <f t="shared" ca="1" si="2"/>
        <v/>
      </c>
      <c r="D70" s="57"/>
      <c r="E70" s="57"/>
      <c r="F70" s="57"/>
      <c r="G70" s="58"/>
      <c r="H70" s="58"/>
      <c r="I70" s="59"/>
      <c r="J70" s="59"/>
      <c r="K70" s="59"/>
      <c r="L70" s="5">
        <f t="shared" si="0"/>
        <v>0</v>
      </c>
    </row>
    <row r="71" spans="2:12" x14ac:dyDescent="0.3">
      <c r="B71" s="28" t="str">
        <f t="shared" ca="1" si="1"/>
        <v/>
      </c>
      <c r="C71" s="29" t="str">
        <f t="shared" ca="1" si="2"/>
        <v/>
      </c>
      <c r="D71" s="57"/>
      <c r="E71" s="57"/>
      <c r="F71" s="57"/>
      <c r="G71" s="58"/>
      <c r="H71" s="58"/>
      <c r="I71" s="59"/>
      <c r="J71" s="59"/>
      <c r="K71" s="59"/>
      <c r="L71" s="5">
        <f t="shared" si="0"/>
        <v>0</v>
      </c>
    </row>
    <row r="72" spans="2:12" x14ac:dyDescent="0.3">
      <c r="B72" s="28" t="str">
        <f t="shared" ca="1" si="1"/>
        <v/>
      </c>
      <c r="C72" s="29" t="str">
        <f t="shared" ca="1" si="2"/>
        <v/>
      </c>
      <c r="D72" s="57"/>
      <c r="E72" s="57"/>
      <c r="F72" s="57"/>
      <c r="G72" s="58"/>
      <c r="H72" s="58"/>
      <c r="I72" s="59"/>
      <c r="J72" s="59"/>
      <c r="K72" s="59"/>
      <c r="L72" s="5">
        <f t="shared" si="0"/>
        <v>0</v>
      </c>
    </row>
    <row r="73" spans="2:12" x14ac:dyDescent="0.3">
      <c r="B73" s="28" t="str">
        <f ca="1">IF(D73&lt;&gt;"",DATE(Jahr,_xlfn.SHEET()-2,D73),"")</f>
        <v/>
      </c>
      <c r="C73" s="29" t="str">
        <f ca="1">B73</f>
        <v/>
      </c>
      <c r="D73" s="57"/>
      <c r="E73" s="57"/>
      <c r="F73" s="57"/>
      <c r="G73" s="58"/>
      <c r="H73" s="58"/>
      <c r="I73" s="59"/>
      <c r="J73" s="59"/>
      <c r="K73" s="59"/>
      <c r="L73" s="5">
        <f t="shared" ref="L73:L137" si="3">J73-I73-K73</f>
        <v>0</v>
      </c>
    </row>
    <row r="74" spans="2:12" x14ac:dyDescent="0.3">
      <c r="B74" s="28" t="str">
        <f t="shared" ref="B74:B138" ca="1" si="4">IF(D74&lt;&gt;"",DATE(Jahr,_xlfn.SHEET()-2,D74),"")</f>
        <v/>
      </c>
      <c r="C74" s="29" t="str">
        <f t="shared" ref="C74:C138" ca="1" si="5">B74</f>
        <v/>
      </c>
      <c r="D74" s="57"/>
      <c r="E74" s="57"/>
      <c r="F74" s="57"/>
      <c r="G74" s="58"/>
      <c r="H74" s="58"/>
      <c r="I74" s="59"/>
      <c r="J74" s="59"/>
      <c r="K74" s="59"/>
      <c r="L74" s="5">
        <f t="shared" si="3"/>
        <v>0</v>
      </c>
    </row>
    <row r="75" spans="2:12" x14ac:dyDescent="0.3">
      <c r="B75" s="28" t="str">
        <f t="shared" ca="1" si="4"/>
        <v/>
      </c>
      <c r="C75" s="29" t="str">
        <f t="shared" ca="1" si="5"/>
        <v/>
      </c>
      <c r="D75" s="57"/>
      <c r="E75" s="57"/>
      <c r="F75" s="57"/>
      <c r="G75" s="58"/>
      <c r="H75" s="58"/>
      <c r="I75" s="59"/>
      <c r="J75" s="59"/>
      <c r="K75" s="59"/>
      <c r="L75" s="5">
        <f t="shared" si="3"/>
        <v>0</v>
      </c>
    </row>
    <row r="76" spans="2:12" x14ac:dyDescent="0.3">
      <c r="B76" s="28" t="str">
        <f t="shared" ca="1" si="4"/>
        <v/>
      </c>
      <c r="C76" s="29" t="str">
        <f t="shared" ca="1" si="5"/>
        <v/>
      </c>
      <c r="D76" s="57"/>
      <c r="E76" s="57"/>
      <c r="F76" s="57"/>
      <c r="G76" s="58"/>
      <c r="H76" s="58"/>
      <c r="I76" s="59"/>
      <c r="J76" s="59"/>
      <c r="K76" s="59"/>
      <c r="L76" s="5">
        <f t="shared" si="3"/>
        <v>0</v>
      </c>
    </row>
    <row r="77" spans="2:12" x14ac:dyDescent="0.3">
      <c r="B77" s="28" t="str">
        <f t="shared" ca="1" si="4"/>
        <v/>
      </c>
      <c r="C77" s="29" t="str">
        <f t="shared" ca="1" si="5"/>
        <v/>
      </c>
      <c r="D77" s="57"/>
      <c r="E77" s="57"/>
      <c r="F77" s="57"/>
      <c r="G77" s="58"/>
      <c r="H77" s="58"/>
      <c r="I77" s="59"/>
      <c r="J77" s="59"/>
      <c r="K77" s="59"/>
      <c r="L77" s="5">
        <f t="shared" si="3"/>
        <v>0</v>
      </c>
    </row>
    <row r="78" spans="2:12" x14ac:dyDescent="0.3">
      <c r="B78" s="28" t="str">
        <f t="shared" ca="1" si="4"/>
        <v/>
      </c>
      <c r="C78" s="29" t="str">
        <f t="shared" ca="1" si="5"/>
        <v/>
      </c>
      <c r="D78" s="57"/>
      <c r="E78" s="57"/>
      <c r="F78" s="57"/>
      <c r="G78" s="58"/>
      <c r="H78" s="58"/>
      <c r="I78" s="59"/>
      <c r="J78" s="59"/>
      <c r="K78" s="59"/>
      <c r="L78" s="5">
        <f t="shared" si="3"/>
        <v>0</v>
      </c>
    </row>
    <row r="79" spans="2:12" x14ac:dyDescent="0.3">
      <c r="B79" s="28" t="str">
        <f t="shared" ca="1" si="4"/>
        <v/>
      </c>
      <c r="C79" s="29" t="str">
        <f t="shared" ca="1" si="5"/>
        <v/>
      </c>
      <c r="D79" s="57"/>
      <c r="E79" s="57"/>
      <c r="F79" s="57"/>
      <c r="G79" s="58"/>
      <c r="H79" s="58"/>
      <c r="I79" s="59"/>
      <c r="J79" s="59"/>
      <c r="K79" s="59"/>
      <c r="L79" s="5">
        <f t="shared" si="3"/>
        <v>0</v>
      </c>
    </row>
    <row r="80" spans="2:12" x14ac:dyDescent="0.3">
      <c r="B80" s="28" t="str">
        <f t="shared" ca="1" si="4"/>
        <v/>
      </c>
      <c r="C80" s="29" t="str">
        <f t="shared" ca="1" si="5"/>
        <v/>
      </c>
      <c r="D80" s="57"/>
      <c r="E80" s="57"/>
      <c r="F80" s="57"/>
      <c r="G80" s="58"/>
      <c r="H80" s="58"/>
      <c r="I80" s="59"/>
      <c r="J80" s="59"/>
      <c r="K80" s="59"/>
      <c r="L80" s="5">
        <f t="shared" si="3"/>
        <v>0</v>
      </c>
    </row>
    <row r="81" spans="2:12" x14ac:dyDescent="0.3">
      <c r="B81" s="28" t="str">
        <f t="shared" ca="1" si="4"/>
        <v/>
      </c>
      <c r="C81" s="29" t="str">
        <f t="shared" ca="1" si="5"/>
        <v/>
      </c>
      <c r="D81" s="57"/>
      <c r="E81" s="57"/>
      <c r="F81" s="57"/>
      <c r="G81" s="58"/>
      <c r="H81" s="58"/>
      <c r="I81" s="59"/>
      <c r="J81" s="59"/>
      <c r="K81" s="59"/>
      <c r="L81" s="5">
        <f t="shared" si="3"/>
        <v>0</v>
      </c>
    </row>
    <row r="82" spans="2:12" x14ac:dyDescent="0.3">
      <c r="B82" s="28" t="str">
        <f t="shared" ca="1" si="4"/>
        <v/>
      </c>
      <c r="C82" s="29" t="str">
        <f t="shared" ca="1" si="5"/>
        <v/>
      </c>
      <c r="D82" s="57"/>
      <c r="E82" s="57"/>
      <c r="F82" s="57"/>
      <c r="G82" s="58"/>
      <c r="H82" s="58"/>
      <c r="I82" s="59"/>
      <c r="J82" s="59"/>
      <c r="K82" s="59"/>
      <c r="L82" s="5">
        <f t="shared" si="3"/>
        <v>0</v>
      </c>
    </row>
    <row r="83" spans="2:12" x14ac:dyDescent="0.3">
      <c r="B83" s="28" t="str">
        <f t="shared" ca="1" si="4"/>
        <v/>
      </c>
      <c r="C83" s="29" t="str">
        <f t="shared" ca="1" si="5"/>
        <v/>
      </c>
      <c r="D83" s="57"/>
      <c r="E83" s="57"/>
      <c r="F83" s="57"/>
      <c r="G83" s="58"/>
      <c r="H83" s="58"/>
      <c r="I83" s="59"/>
      <c r="J83" s="59"/>
      <c r="K83" s="59"/>
      <c r="L83" s="5">
        <f t="shared" si="3"/>
        <v>0</v>
      </c>
    </row>
    <row r="84" spans="2:12" x14ac:dyDescent="0.3">
      <c r="B84" s="28" t="str">
        <f t="shared" ca="1" si="4"/>
        <v/>
      </c>
      <c r="C84" s="29" t="str">
        <f t="shared" ca="1" si="5"/>
        <v/>
      </c>
      <c r="D84" s="57"/>
      <c r="E84" s="57"/>
      <c r="F84" s="57"/>
      <c r="G84" s="58"/>
      <c r="H84" s="58"/>
      <c r="I84" s="59"/>
      <c r="J84" s="59"/>
      <c r="K84" s="59"/>
      <c r="L84" s="5">
        <f t="shared" si="3"/>
        <v>0</v>
      </c>
    </row>
    <row r="85" spans="2:12" x14ac:dyDescent="0.3">
      <c r="B85" s="28" t="str">
        <f t="shared" ca="1" si="4"/>
        <v/>
      </c>
      <c r="C85" s="29" t="str">
        <f t="shared" ca="1" si="5"/>
        <v/>
      </c>
      <c r="D85" s="57"/>
      <c r="E85" s="57"/>
      <c r="F85" s="57"/>
      <c r="G85" s="58"/>
      <c r="H85" s="58"/>
      <c r="I85" s="59"/>
      <c r="J85" s="59"/>
      <c r="K85" s="59"/>
      <c r="L85" s="5">
        <f t="shared" si="3"/>
        <v>0</v>
      </c>
    </row>
    <row r="86" spans="2:12" x14ac:dyDescent="0.3">
      <c r="B86" s="28" t="str">
        <f ca="1">IF(D86&lt;&gt;"",DATE(Jahr,_xlfn.SHEET()-2,D86),"")</f>
        <v/>
      </c>
      <c r="C86" s="29" t="str">
        <f ca="1">B86</f>
        <v/>
      </c>
      <c r="D86" s="57"/>
      <c r="E86" s="57"/>
      <c r="F86" s="57"/>
      <c r="G86" s="58"/>
      <c r="H86" s="58"/>
      <c r="I86" s="59"/>
      <c r="J86" s="59"/>
      <c r="K86" s="59"/>
      <c r="L86" s="5">
        <f t="shared" si="3"/>
        <v>0</v>
      </c>
    </row>
    <row r="87" spans="2:12" x14ac:dyDescent="0.3">
      <c r="B87" s="28" t="str">
        <f t="shared" ca="1" si="4"/>
        <v/>
      </c>
      <c r="C87" s="29" t="str">
        <f t="shared" ca="1" si="5"/>
        <v/>
      </c>
      <c r="D87" s="57"/>
      <c r="E87" s="57"/>
      <c r="F87" s="57"/>
      <c r="G87" s="58"/>
      <c r="H87" s="58"/>
      <c r="I87" s="59"/>
      <c r="J87" s="59"/>
      <c r="K87" s="59"/>
      <c r="L87" s="5">
        <f t="shared" si="3"/>
        <v>0</v>
      </c>
    </row>
    <row r="88" spans="2:12" x14ac:dyDescent="0.3">
      <c r="B88" s="28" t="str">
        <f t="shared" ca="1" si="4"/>
        <v/>
      </c>
      <c r="C88" s="29" t="str">
        <f t="shared" ca="1" si="5"/>
        <v/>
      </c>
      <c r="D88" s="57"/>
      <c r="E88" s="57"/>
      <c r="F88" s="57"/>
      <c r="G88" s="58"/>
      <c r="H88" s="58"/>
      <c r="I88" s="59"/>
      <c r="J88" s="59"/>
      <c r="K88" s="59"/>
      <c r="L88" s="5">
        <f t="shared" si="3"/>
        <v>0</v>
      </c>
    </row>
    <row r="89" spans="2:12" x14ac:dyDescent="0.3">
      <c r="B89" s="28" t="str">
        <f t="shared" ca="1" si="4"/>
        <v/>
      </c>
      <c r="C89" s="29" t="str">
        <f t="shared" ca="1" si="5"/>
        <v/>
      </c>
      <c r="D89" s="57"/>
      <c r="E89" s="57"/>
      <c r="F89" s="57"/>
      <c r="G89" s="58"/>
      <c r="H89" s="58"/>
      <c r="I89" s="59"/>
      <c r="J89" s="59"/>
      <c r="K89" s="59"/>
      <c r="L89" s="5">
        <f t="shared" si="3"/>
        <v>0</v>
      </c>
    </row>
    <row r="90" spans="2:12" x14ac:dyDescent="0.3">
      <c r="B90" s="28" t="str">
        <f t="shared" ca="1" si="4"/>
        <v/>
      </c>
      <c r="C90" s="29" t="str">
        <f t="shared" ca="1" si="5"/>
        <v/>
      </c>
      <c r="D90" s="57"/>
      <c r="E90" s="57"/>
      <c r="F90" s="57"/>
      <c r="G90" s="58"/>
      <c r="H90" s="58"/>
      <c r="I90" s="59"/>
      <c r="J90" s="59"/>
      <c r="K90" s="59"/>
      <c r="L90" s="5">
        <f t="shared" si="3"/>
        <v>0</v>
      </c>
    </row>
    <row r="91" spans="2:12" x14ac:dyDescent="0.3">
      <c r="B91" s="28" t="str">
        <f t="shared" ca="1" si="4"/>
        <v/>
      </c>
      <c r="C91" s="29" t="str">
        <f t="shared" ca="1" si="5"/>
        <v/>
      </c>
      <c r="D91" s="57"/>
      <c r="E91" s="57"/>
      <c r="F91" s="57"/>
      <c r="G91" s="58"/>
      <c r="H91" s="58"/>
      <c r="I91" s="59"/>
      <c r="J91" s="59"/>
      <c r="K91" s="59"/>
      <c r="L91" s="5">
        <f t="shared" si="3"/>
        <v>0</v>
      </c>
    </row>
    <row r="92" spans="2:12" x14ac:dyDescent="0.3">
      <c r="B92" s="28" t="str">
        <f t="shared" ca="1" si="4"/>
        <v/>
      </c>
      <c r="C92" s="29" t="str">
        <f t="shared" ca="1" si="5"/>
        <v/>
      </c>
      <c r="D92" s="57"/>
      <c r="E92" s="57"/>
      <c r="F92" s="57"/>
      <c r="G92" s="58"/>
      <c r="H92" s="58"/>
      <c r="I92" s="59"/>
      <c r="J92" s="59"/>
      <c r="K92" s="59"/>
      <c r="L92" s="5">
        <f t="shared" si="3"/>
        <v>0</v>
      </c>
    </row>
    <row r="93" spans="2:12" x14ac:dyDescent="0.3">
      <c r="B93" s="28" t="str">
        <f t="shared" ca="1" si="4"/>
        <v/>
      </c>
      <c r="C93" s="29" t="str">
        <f t="shared" ca="1" si="5"/>
        <v/>
      </c>
      <c r="D93" s="57"/>
      <c r="E93" s="57"/>
      <c r="F93" s="57"/>
      <c r="G93" s="58"/>
      <c r="H93" s="58"/>
      <c r="I93" s="59"/>
      <c r="J93" s="59"/>
      <c r="K93" s="59"/>
      <c r="L93" s="5">
        <f t="shared" si="3"/>
        <v>0</v>
      </c>
    </row>
    <row r="94" spans="2:12" x14ac:dyDescent="0.3">
      <c r="B94" s="28" t="str">
        <f t="shared" ca="1" si="4"/>
        <v/>
      </c>
      <c r="C94" s="29" t="str">
        <f t="shared" ca="1" si="5"/>
        <v/>
      </c>
      <c r="D94" s="57"/>
      <c r="E94" s="57"/>
      <c r="F94" s="57"/>
      <c r="G94" s="58"/>
      <c r="H94" s="58"/>
      <c r="I94" s="59"/>
      <c r="J94" s="59"/>
      <c r="K94" s="59"/>
      <c r="L94" s="5">
        <f t="shared" si="3"/>
        <v>0</v>
      </c>
    </row>
    <row r="95" spans="2:12" x14ac:dyDescent="0.3">
      <c r="B95" s="28" t="str">
        <f t="shared" ca="1" si="4"/>
        <v/>
      </c>
      <c r="C95" s="29" t="str">
        <f t="shared" ca="1" si="5"/>
        <v/>
      </c>
      <c r="D95" s="57"/>
      <c r="E95" s="57"/>
      <c r="F95" s="57"/>
      <c r="G95" s="58"/>
      <c r="H95" s="58"/>
      <c r="I95" s="59"/>
      <c r="J95" s="59"/>
      <c r="K95" s="59"/>
      <c r="L95" s="5">
        <f t="shared" si="3"/>
        <v>0</v>
      </c>
    </row>
    <row r="96" spans="2:12" x14ac:dyDescent="0.3">
      <c r="B96" s="28" t="str">
        <f t="shared" ca="1" si="4"/>
        <v/>
      </c>
      <c r="C96" s="29" t="str">
        <f t="shared" ca="1" si="5"/>
        <v/>
      </c>
      <c r="D96" s="57"/>
      <c r="E96" s="57"/>
      <c r="F96" s="57"/>
      <c r="G96" s="58"/>
      <c r="H96" s="58"/>
      <c r="I96" s="59"/>
      <c r="J96" s="59"/>
      <c r="K96" s="59"/>
      <c r="L96" s="5">
        <f t="shared" si="3"/>
        <v>0</v>
      </c>
    </row>
    <row r="97" spans="2:12" x14ac:dyDescent="0.3">
      <c r="B97" s="28" t="str">
        <f t="shared" ca="1" si="4"/>
        <v/>
      </c>
      <c r="C97" s="29" t="str">
        <f t="shared" ca="1" si="5"/>
        <v/>
      </c>
      <c r="D97" s="57"/>
      <c r="E97" s="57"/>
      <c r="F97" s="57"/>
      <c r="G97" s="58"/>
      <c r="H97" s="58"/>
      <c r="I97" s="59"/>
      <c r="J97" s="59"/>
      <c r="K97" s="59"/>
      <c r="L97" s="5">
        <f t="shared" si="3"/>
        <v>0</v>
      </c>
    </row>
    <row r="98" spans="2:12" x14ac:dyDescent="0.3">
      <c r="B98" s="28" t="str">
        <f t="shared" ca="1" si="4"/>
        <v/>
      </c>
      <c r="C98" s="29" t="str">
        <f t="shared" ca="1" si="5"/>
        <v/>
      </c>
      <c r="D98" s="57"/>
      <c r="E98" s="57"/>
      <c r="F98" s="57"/>
      <c r="G98" s="58"/>
      <c r="H98" s="58"/>
      <c r="I98" s="59"/>
      <c r="J98" s="59"/>
      <c r="K98" s="59"/>
      <c r="L98" s="5">
        <f t="shared" si="3"/>
        <v>0</v>
      </c>
    </row>
    <row r="99" spans="2:12" x14ac:dyDescent="0.3">
      <c r="B99" s="28" t="str">
        <f t="shared" ca="1" si="4"/>
        <v/>
      </c>
      <c r="C99" s="29" t="str">
        <f t="shared" ca="1" si="5"/>
        <v/>
      </c>
      <c r="D99" s="57"/>
      <c r="E99" s="57"/>
      <c r="F99" s="57"/>
      <c r="G99" s="58"/>
      <c r="H99" s="58"/>
      <c r="I99" s="59"/>
      <c r="J99" s="59"/>
      <c r="K99" s="59"/>
      <c r="L99" s="5">
        <f t="shared" si="3"/>
        <v>0</v>
      </c>
    </row>
    <row r="100" spans="2:12" x14ac:dyDescent="0.3">
      <c r="B100" s="28" t="str">
        <f t="shared" ca="1" si="4"/>
        <v/>
      </c>
      <c r="C100" s="29" t="str">
        <f t="shared" ca="1" si="5"/>
        <v/>
      </c>
      <c r="D100" s="57"/>
      <c r="E100" s="57"/>
      <c r="F100" s="57"/>
      <c r="G100" s="58"/>
      <c r="H100" s="58"/>
      <c r="I100" s="59"/>
      <c r="J100" s="59"/>
      <c r="K100" s="59"/>
      <c r="L100" s="5">
        <f t="shared" si="3"/>
        <v>0</v>
      </c>
    </row>
    <row r="101" spans="2:12" x14ac:dyDescent="0.3">
      <c r="B101" s="28" t="str">
        <f t="shared" ca="1" si="4"/>
        <v/>
      </c>
      <c r="C101" s="29" t="str">
        <f t="shared" ca="1" si="5"/>
        <v/>
      </c>
      <c r="D101" s="57"/>
      <c r="E101" s="57"/>
      <c r="F101" s="57"/>
      <c r="G101" s="58"/>
      <c r="H101" s="58"/>
      <c r="I101" s="59"/>
      <c r="J101" s="59"/>
      <c r="K101" s="59"/>
      <c r="L101" s="5">
        <f t="shared" si="3"/>
        <v>0</v>
      </c>
    </row>
    <row r="102" spans="2:12" x14ac:dyDescent="0.3">
      <c r="B102" s="28" t="str">
        <f t="shared" ca="1" si="4"/>
        <v/>
      </c>
      <c r="C102" s="29" t="str">
        <f t="shared" ca="1" si="5"/>
        <v/>
      </c>
      <c r="D102" s="57"/>
      <c r="E102" s="57"/>
      <c r="F102" s="57"/>
      <c r="G102" s="58"/>
      <c r="H102" s="58"/>
      <c r="I102" s="59"/>
      <c r="J102" s="59"/>
      <c r="K102" s="59"/>
      <c r="L102" s="5">
        <f t="shared" si="3"/>
        <v>0</v>
      </c>
    </row>
    <row r="103" spans="2:12" x14ac:dyDescent="0.3">
      <c r="B103" s="28" t="str">
        <f t="shared" ca="1" si="4"/>
        <v/>
      </c>
      <c r="C103" s="29" t="str">
        <f t="shared" ca="1" si="5"/>
        <v/>
      </c>
      <c r="D103" s="57"/>
      <c r="E103" s="57"/>
      <c r="F103" s="57"/>
      <c r="G103" s="58"/>
      <c r="H103" s="58"/>
      <c r="I103" s="59"/>
      <c r="J103" s="59"/>
      <c r="K103" s="59"/>
      <c r="L103" s="5">
        <f t="shared" si="3"/>
        <v>0</v>
      </c>
    </row>
    <row r="104" spans="2:12" x14ac:dyDescent="0.3">
      <c r="B104" s="28" t="str">
        <f t="shared" ca="1" si="4"/>
        <v/>
      </c>
      <c r="C104" s="29" t="str">
        <f t="shared" ca="1" si="5"/>
        <v/>
      </c>
      <c r="D104" s="57"/>
      <c r="E104" s="57"/>
      <c r="F104" s="57"/>
      <c r="G104" s="58"/>
      <c r="H104" s="58"/>
      <c r="I104" s="59"/>
      <c r="J104" s="59"/>
      <c r="K104" s="59"/>
      <c r="L104" s="5">
        <f t="shared" si="3"/>
        <v>0</v>
      </c>
    </row>
    <row r="105" spans="2:12" x14ac:dyDescent="0.3">
      <c r="B105" s="28" t="str">
        <f t="shared" ca="1" si="4"/>
        <v/>
      </c>
      <c r="C105" s="29" t="str">
        <f t="shared" ca="1" si="5"/>
        <v/>
      </c>
      <c r="D105" s="57"/>
      <c r="E105" s="57"/>
      <c r="F105" s="57"/>
      <c r="G105" s="58"/>
      <c r="H105" s="58"/>
      <c r="I105" s="59"/>
      <c r="J105" s="59"/>
      <c r="K105" s="59"/>
      <c r="L105" s="5">
        <f t="shared" si="3"/>
        <v>0</v>
      </c>
    </row>
    <row r="106" spans="2:12" x14ac:dyDescent="0.3">
      <c r="B106" s="28" t="str">
        <f t="shared" ca="1" si="4"/>
        <v/>
      </c>
      <c r="C106" s="29" t="str">
        <f t="shared" ca="1" si="5"/>
        <v/>
      </c>
      <c r="D106" s="57"/>
      <c r="E106" s="57"/>
      <c r="F106" s="57"/>
      <c r="G106" s="58"/>
      <c r="H106" s="58"/>
      <c r="I106" s="59"/>
      <c r="J106" s="59"/>
      <c r="K106" s="59"/>
      <c r="L106" s="5">
        <f t="shared" si="3"/>
        <v>0</v>
      </c>
    </row>
    <row r="107" spans="2:12" x14ac:dyDescent="0.3">
      <c r="B107" s="28" t="str">
        <f t="shared" ca="1" si="4"/>
        <v/>
      </c>
      <c r="C107" s="29" t="str">
        <f t="shared" ca="1" si="5"/>
        <v/>
      </c>
      <c r="D107" s="57"/>
      <c r="E107" s="57"/>
      <c r="F107" s="57"/>
      <c r="G107" s="58"/>
      <c r="H107" s="58"/>
      <c r="I107" s="59"/>
      <c r="J107" s="59"/>
      <c r="K107" s="59"/>
      <c r="L107" s="5">
        <f t="shared" si="3"/>
        <v>0</v>
      </c>
    </row>
    <row r="108" spans="2:12" x14ac:dyDescent="0.3">
      <c r="B108" s="28" t="str">
        <f t="shared" ca="1" si="4"/>
        <v/>
      </c>
      <c r="C108" s="29" t="str">
        <f t="shared" ca="1" si="5"/>
        <v/>
      </c>
      <c r="D108" s="57"/>
      <c r="E108" s="57"/>
      <c r="F108" s="57"/>
      <c r="G108" s="58"/>
      <c r="H108" s="58"/>
      <c r="I108" s="59"/>
      <c r="J108" s="59"/>
      <c r="K108" s="59"/>
      <c r="L108" s="5">
        <f t="shared" si="3"/>
        <v>0</v>
      </c>
    </row>
    <row r="109" spans="2:12" x14ac:dyDescent="0.3">
      <c r="B109" s="28" t="str">
        <f t="shared" ca="1" si="4"/>
        <v/>
      </c>
      <c r="C109" s="29" t="str">
        <f t="shared" ca="1" si="5"/>
        <v/>
      </c>
      <c r="D109" s="57"/>
      <c r="E109" s="57"/>
      <c r="F109" s="57"/>
      <c r="G109" s="58"/>
      <c r="H109" s="58"/>
      <c r="I109" s="59"/>
      <c r="J109" s="59"/>
      <c r="K109" s="59"/>
      <c r="L109" s="5">
        <f t="shared" si="3"/>
        <v>0</v>
      </c>
    </row>
    <row r="110" spans="2:12" x14ac:dyDescent="0.3">
      <c r="B110" s="28" t="str">
        <f t="shared" ca="1" si="4"/>
        <v/>
      </c>
      <c r="C110" s="29" t="str">
        <f t="shared" ca="1" si="5"/>
        <v/>
      </c>
      <c r="D110" s="57"/>
      <c r="E110" s="57"/>
      <c r="F110" s="57"/>
      <c r="G110" s="58"/>
      <c r="H110" s="58"/>
      <c r="I110" s="59"/>
      <c r="J110" s="59"/>
      <c r="K110" s="59"/>
      <c r="L110" s="5">
        <f t="shared" si="3"/>
        <v>0</v>
      </c>
    </row>
    <row r="111" spans="2:12" x14ac:dyDescent="0.3">
      <c r="B111" s="28" t="str">
        <f t="shared" ca="1" si="4"/>
        <v/>
      </c>
      <c r="C111" s="29" t="str">
        <f t="shared" ca="1" si="5"/>
        <v/>
      </c>
      <c r="D111" s="57"/>
      <c r="E111" s="57"/>
      <c r="F111" s="57"/>
      <c r="G111" s="58"/>
      <c r="H111" s="58"/>
      <c r="I111" s="59"/>
      <c r="J111" s="59"/>
      <c r="K111" s="59"/>
      <c r="L111" s="5">
        <f t="shared" si="3"/>
        <v>0</v>
      </c>
    </row>
    <row r="112" spans="2:12" x14ac:dyDescent="0.3">
      <c r="B112" s="28" t="str">
        <f t="shared" ca="1" si="4"/>
        <v/>
      </c>
      <c r="C112" s="29" t="str">
        <f t="shared" ca="1" si="5"/>
        <v/>
      </c>
      <c r="D112" s="57"/>
      <c r="E112" s="57"/>
      <c r="F112" s="57"/>
      <c r="G112" s="58"/>
      <c r="H112" s="58"/>
      <c r="I112" s="59"/>
      <c r="J112" s="59"/>
      <c r="K112" s="59"/>
      <c r="L112" s="5">
        <f t="shared" si="3"/>
        <v>0</v>
      </c>
    </row>
    <row r="113" spans="2:12" x14ac:dyDescent="0.3">
      <c r="B113" s="28" t="str">
        <f t="shared" ca="1" si="4"/>
        <v/>
      </c>
      <c r="C113" s="29" t="str">
        <f t="shared" ca="1" si="5"/>
        <v/>
      </c>
      <c r="D113" s="57"/>
      <c r="E113" s="57"/>
      <c r="F113" s="57"/>
      <c r="G113" s="58"/>
      <c r="H113" s="58"/>
      <c r="I113" s="59"/>
      <c r="J113" s="59"/>
      <c r="K113" s="59"/>
      <c r="L113" s="5">
        <f t="shared" si="3"/>
        <v>0</v>
      </c>
    </row>
    <row r="114" spans="2:12" x14ac:dyDescent="0.3">
      <c r="B114" s="28" t="str">
        <f t="shared" ca="1" si="4"/>
        <v/>
      </c>
      <c r="C114" s="29" t="str">
        <f t="shared" ca="1" si="5"/>
        <v/>
      </c>
      <c r="D114" s="57"/>
      <c r="E114" s="57"/>
      <c r="F114" s="57"/>
      <c r="G114" s="58"/>
      <c r="H114" s="58"/>
      <c r="I114" s="59"/>
      <c r="J114" s="59"/>
      <c r="K114" s="59"/>
      <c r="L114" s="5">
        <f t="shared" si="3"/>
        <v>0</v>
      </c>
    </row>
    <row r="115" spans="2:12" x14ac:dyDescent="0.3">
      <c r="B115" s="28" t="str">
        <f t="shared" ca="1" si="4"/>
        <v/>
      </c>
      <c r="C115" s="29" t="str">
        <f t="shared" ca="1" si="5"/>
        <v/>
      </c>
      <c r="D115" s="57"/>
      <c r="E115" s="57"/>
      <c r="F115" s="57"/>
      <c r="G115" s="58"/>
      <c r="H115" s="58"/>
      <c r="I115" s="59"/>
      <c r="J115" s="59"/>
      <c r="K115" s="59"/>
      <c r="L115" s="5">
        <f t="shared" si="3"/>
        <v>0</v>
      </c>
    </row>
    <row r="116" spans="2:12" x14ac:dyDescent="0.3">
      <c r="B116" s="28" t="str">
        <f t="shared" ca="1" si="4"/>
        <v/>
      </c>
      <c r="C116" s="29" t="str">
        <f t="shared" ca="1" si="5"/>
        <v/>
      </c>
      <c r="D116" s="57"/>
      <c r="E116" s="57"/>
      <c r="F116" s="57"/>
      <c r="G116" s="58"/>
      <c r="H116" s="58"/>
      <c r="I116" s="59"/>
      <c r="J116" s="59"/>
      <c r="K116" s="59"/>
      <c r="L116" s="5">
        <f t="shared" si="3"/>
        <v>0</v>
      </c>
    </row>
    <row r="117" spans="2:12" x14ac:dyDescent="0.3">
      <c r="B117" s="28" t="str">
        <f t="shared" ca="1" si="4"/>
        <v/>
      </c>
      <c r="C117" s="29" t="str">
        <f t="shared" ca="1" si="5"/>
        <v/>
      </c>
      <c r="D117" s="57"/>
      <c r="E117" s="57"/>
      <c r="F117" s="57"/>
      <c r="G117" s="58"/>
      <c r="H117" s="58"/>
      <c r="I117" s="59"/>
      <c r="J117" s="59"/>
      <c r="K117" s="59"/>
      <c r="L117" s="5">
        <f t="shared" si="3"/>
        <v>0</v>
      </c>
    </row>
    <row r="118" spans="2:12" x14ac:dyDescent="0.3">
      <c r="B118" s="28" t="str">
        <f t="shared" ca="1" si="4"/>
        <v/>
      </c>
      <c r="C118" s="29" t="str">
        <f t="shared" ca="1" si="5"/>
        <v/>
      </c>
      <c r="D118" s="57"/>
      <c r="E118" s="57"/>
      <c r="F118" s="57"/>
      <c r="G118" s="58"/>
      <c r="H118" s="58"/>
      <c r="I118" s="59"/>
      <c r="J118" s="59"/>
      <c r="K118" s="59"/>
      <c r="L118" s="5">
        <f t="shared" si="3"/>
        <v>0</v>
      </c>
    </row>
    <row r="119" spans="2:12" x14ac:dyDescent="0.3">
      <c r="B119" s="28" t="str">
        <f t="shared" ca="1" si="4"/>
        <v/>
      </c>
      <c r="C119" s="29" t="str">
        <f t="shared" ca="1" si="5"/>
        <v/>
      </c>
      <c r="D119" s="57"/>
      <c r="E119" s="57"/>
      <c r="F119" s="57"/>
      <c r="G119" s="58"/>
      <c r="H119" s="58"/>
      <c r="I119" s="59"/>
      <c r="J119" s="59"/>
      <c r="K119" s="59"/>
      <c r="L119" s="5">
        <f t="shared" si="3"/>
        <v>0</v>
      </c>
    </row>
    <row r="120" spans="2:12" x14ac:dyDescent="0.3">
      <c r="B120" s="28" t="str">
        <f t="shared" ca="1" si="4"/>
        <v/>
      </c>
      <c r="C120" s="29" t="str">
        <f t="shared" ca="1" si="5"/>
        <v/>
      </c>
      <c r="D120" s="57"/>
      <c r="E120" s="57"/>
      <c r="F120" s="57"/>
      <c r="G120" s="58"/>
      <c r="H120" s="58"/>
      <c r="I120" s="59"/>
      <c r="J120" s="59"/>
      <c r="K120" s="59"/>
      <c r="L120" s="5">
        <f t="shared" si="3"/>
        <v>0</v>
      </c>
    </row>
    <row r="121" spans="2:12" x14ac:dyDescent="0.3">
      <c r="B121" s="28" t="str">
        <f t="shared" ca="1" si="4"/>
        <v/>
      </c>
      <c r="C121" s="29" t="str">
        <f t="shared" ca="1" si="5"/>
        <v/>
      </c>
      <c r="D121" s="57"/>
      <c r="E121" s="57"/>
      <c r="F121" s="57"/>
      <c r="G121" s="58"/>
      <c r="H121" s="58"/>
      <c r="I121" s="59"/>
      <c r="J121" s="59"/>
      <c r="K121" s="59"/>
      <c r="L121" s="5">
        <f t="shared" si="3"/>
        <v>0</v>
      </c>
    </row>
    <row r="122" spans="2:12" x14ac:dyDescent="0.3">
      <c r="B122" s="28" t="str">
        <f t="shared" ca="1" si="4"/>
        <v/>
      </c>
      <c r="C122" s="29" t="str">
        <f t="shared" ca="1" si="5"/>
        <v/>
      </c>
      <c r="D122" s="57"/>
      <c r="E122" s="57"/>
      <c r="F122" s="57"/>
      <c r="G122" s="58"/>
      <c r="H122" s="58"/>
      <c r="I122" s="59"/>
      <c r="J122" s="59"/>
      <c r="K122" s="59"/>
      <c r="L122" s="5">
        <f t="shared" si="3"/>
        <v>0</v>
      </c>
    </row>
    <row r="123" spans="2:12" x14ac:dyDescent="0.3">
      <c r="B123" s="28" t="str">
        <f t="shared" ca="1" si="4"/>
        <v/>
      </c>
      <c r="C123" s="29" t="str">
        <f t="shared" ca="1" si="5"/>
        <v/>
      </c>
      <c r="D123" s="57"/>
      <c r="E123" s="57"/>
      <c r="F123" s="57"/>
      <c r="G123" s="58"/>
      <c r="H123" s="58"/>
      <c r="I123" s="59"/>
      <c r="J123" s="59"/>
      <c r="K123" s="59"/>
      <c r="L123" s="5">
        <f t="shared" si="3"/>
        <v>0</v>
      </c>
    </row>
    <row r="124" spans="2:12" x14ac:dyDescent="0.3">
      <c r="B124" s="28" t="str">
        <f t="shared" ca="1" si="4"/>
        <v/>
      </c>
      <c r="C124" s="29" t="str">
        <f t="shared" ca="1" si="5"/>
        <v/>
      </c>
      <c r="D124" s="57"/>
      <c r="E124" s="57"/>
      <c r="F124" s="57"/>
      <c r="G124" s="58"/>
      <c r="H124" s="58"/>
      <c r="I124" s="59"/>
      <c r="J124" s="59"/>
      <c r="K124" s="59"/>
      <c r="L124" s="5">
        <f t="shared" si="3"/>
        <v>0</v>
      </c>
    </row>
    <row r="125" spans="2:12" x14ac:dyDescent="0.3">
      <c r="B125" s="28" t="str">
        <f t="shared" ca="1" si="4"/>
        <v/>
      </c>
      <c r="C125" s="29" t="str">
        <f t="shared" ca="1" si="5"/>
        <v/>
      </c>
      <c r="D125" s="57"/>
      <c r="E125" s="57"/>
      <c r="F125" s="57"/>
      <c r="G125" s="58"/>
      <c r="H125" s="58"/>
      <c r="I125" s="59"/>
      <c r="J125" s="59"/>
      <c r="K125" s="59"/>
      <c r="L125" s="5">
        <f t="shared" si="3"/>
        <v>0</v>
      </c>
    </row>
    <row r="126" spans="2:12" x14ac:dyDescent="0.3">
      <c r="B126" s="28" t="str">
        <f t="shared" ca="1" si="4"/>
        <v/>
      </c>
      <c r="C126" s="29" t="str">
        <f t="shared" ca="1" si="5"/>
        <v/>
      </c>
      <c r="D126" s="57"/>
      <c r="E126" s="57"/>
      <c r="F126" s="57"/>
      <c r="G126" s="58"/>
      <c r="H126" s="58"/>
      <c r="I126" s="59"/>
      <c r="J126" s="59"/>
      <c r="K126" s="59"/>
      <c r="L126" s="5">
        <f t="shared" si="3"/>
        <v>0</v>
      </c>
    </row>
    <row r="127" spans="2:12" x14ac:dyDescent="0.3">
      <c r="B127" s="28" t="str">
        <f t="shared" ca="1" si="4"/>
        <v/>
      </c>
      <c r="C127" s="29" t="str">
        <f t="shared" ca="1" si="5"/>
        <v/>
      </c>
      <c r="D127" s="57"/>
      <c r="E127" s="57"/>
      <c r="F127" s="57"/>
      <c r="G127" s="58"/>
      <c r="H127" s="58"/>
      <c r="I127" s="59"/>
      <c r="J127" s="59"/>
      <c r="K127" s="59"/>
      <c r="L127" s="5">
        <f t="shared" si="3"/>
        <v>0</v>
      </c>
    </row>
    <row r="128" spans="2:12" x14ac:dyDescent="0.3">
      <c r="B128" s="28" t="str">
        <f t="shared" ca="1" si="4"/>
        <v/>
      </c>
      <c r="C128" s="29" t="str">
        <f t="shared" ca="1" si="5"/>
        <v/>
      </c>
      <c r="D128" s="57"/>
      <c r="E128" s="57"/>
      <c r="F128" s="57"/>
      <c r="G128" s="58"/>
      <c r="H128" s="58"/>
      <c r="I128" s="59"/>
      <c r="J128" s="59"/>
      <c r="K128" s="59"/>
      <c r="L128" s="5">
        <f t="shared" si="3"/>
        <v>0</v>
      </c>
    </row>
    <row r="129" spans="2:12" x14ac:dyDescent="0.3">
      <c r="B129" s="28" t="str">
        <f t="shared" ca="1" si="4"/>
        <v/>
      </c>
      <c r="C129" s="29" t="str">
        <f t="shared" ca="1" si="5"/>
        <v/>
      </c>
      <c r="D129" s="57"/>
      <c r="E129" s="57"/>
      <c r="F129" s="57"/>
      <c r="G129" s="58"/>
      <c r="H129" s="58"/>
      <c r="I129" s="59"/>
      <c r="J129" s="59"/>
      <c r="K129" s="59"/>
      <c r="L129" s="5">
        <f t="shared" si="3"/>
        <v>0</v>
      </c>
    </row>
    <row r="130" spans="2:12" x14ac:dyDescent="0.3">
      <c r="B130" s="28" t="str">
        <f t="shared" ca="1" si="4"/>
        <v/>
      </c>
      <c r="C130" s="29" t="str">
        <f t="shared" ca="1" si="5"/>
        <v/>
      </c>
      <c r="D130" s="57"/>
      <c r="E130" s="57"/>
      <c r="F130" s="57"/>
      <c r="G130" s="58"/>
      <c r="H130" s="58"/>
      <c r="I130" s="59"/>
      <c r="J130" s="59"/>
      <c r="K130" s="59"/>
      <c r="L130" s="5">
        <f t="shared" si="3"/>
        <v>0</v>
      </c>
    </row>
    <row r="131" spans="2:12" x14ac:dyDescent="0.3">
      <c r="B131" s="28" t="str">
        <f t="shared" ca="1" si="4"/>
        <v/>
      </c>
      <c r="C131" s="29" t="str">
        <f t="shared" ca="1" si="5"/>
        <v/>
      </c>
      <c r="D131" s="57"/>
      <c r="E131" s="57"/>
      <c r="F131" s="57"/>
      <c r="G131" s="58"/>
      <c r="H131" s="58"/>
      <c r="I131" s="59"/>
      <c r="J131" s="59"/>
      <c r="K131" s="59"/>
      <c r="L131" s="5">
        <f t="shared" si="3"/>
        <v>0</v>
      </c>
    </row>
    <row r="132" spans="2:12" x14ac:dyDescent="0.3">
      <c r="B132" s="28" t="str">
        <f t="shared" ca="1" si="4"/>
        <v/>
      </c>
      <c r="C132" s="29" t="str">
        <f t="shared" ca="1" si="5"/>
        <v/>
      </c>
      <c r="D132" s="57"/>
      <c r="E132" s="57"/>
      <c r="F132" s="57"/>
      <c r="G132" s="58"/>
      <c r="H132" s="58"/>
      <c r="I132" s="59"/>
      <c r="J132" s="59"/>
      <c r="K132" s="59"/>
      <c r="L132" s="5">
        <f t="shared" si="3"/>
        <v>0</v>
      </c>
    </row>
    <row r="133" spans="2:12" x14ac:dyDescent="0.3">
      <c r="B133" s="28" t="str">
        <f t="shared" ca="1" si="4"/>
        <v/>
      </c>
      <c r="C133" s="29" t="str">
        <f t="shared" ca="1" si="5"/>
        <v/>
      </c>
      <c r="D133" s="57"/>
      <c r="E133" s="57"/>
      <c r="F133" s="57"/>
      <c r="G133" s="58"/>
      <c r="H133" s="58"/>
      <c r="I133" s="59"/>
      <c r="J133" s="59"/>
      <c r="K133" s="59"/>
      <c r="L133" s="5">
        <f t="shared" si="3"/>
        <v>0</v>
      </c>
    </row>
    <row r="134" spans="2:12" x14ac:dyDescent="0.3">
      <c r="B134" s="28" t="str">
        <f t="shared" ca="1" si="4"/>
        <v/>
      </c>
      <c r="C134" s="29" t="str">
        <f t="shared" ca="1" si="5"/>
        <v/>
      </c>
      <c r="D134" s="57"/>
      <c r="E134" s="57"/>
      <c r="F134" s="57"/>
      <c r="G134" s="58"/>
      <c r="H134" s="58"/>
      <c r="I134" s="59"/>
      <c r="J134" s="59"/>
      <c r="K134" s="59"/>
      <c r="L134" s="5">
        <f t="shared" si="3"/>
        <v>0</v>
      </c>
    </row>
    <row r="135" spans="2:12" x14ac:dyDescent="0.3">
      <c r="B135" s="28" t="str">
        <f t="shared" ca="1" si="4"/>
        <v/>
      </c>
      <c r="C135" s="29" t="str">
        <f t="shared" ca="1" si="5"/>
        <v/>
      </c>
      <c r="D135" s="57"/>
      <c r="E135" s="57"/>
      <c r="F135" s="57"/>
      <c r="G135" s="58"/>
      <c r="H135" s="58"/>
      <c r="I135" s="59"/>
      <c r="J135" s="59"/>
      <c r="K135" s="59"/>
      <c r="L135" s="5">
        <f t="shared" si="3"/>
        <v>0</v>
      </c>
    </row>
    <row r="136" spans="2:12" x14ac:dyDescent="0.3">
      <c r="B136" s="28" t="str">
        <f t="shared" ca="1" si="4"/>
        <v/>
      </c>
      <c r="C136" s="29" t="str">
        <f t="shared" ca="1" si="5"/>
        <v/>
      </c>
      <c r="D136" s="57"/>
      <c r="E136" s="57"/>
      <c r="F136" s="57"/>
      <c r="G136" s="58"/>
      <c r="H136" s="58"/>
      <c r="I136" s="59"/>
      <c r="J136" s="59"/>
      <c r="K136" s="59"/>
      <c r="L136" s="5">
        <f t="shared" si="3"/>
        <v>0</v>
      </c>
    </row>
    <row r="137" spans="2:12" x14ac:dyDescent="0.3">
      <c r="B137" s="28" t="str">
        <f t="shared" ca="1" si="4"/>
        <v/>
      </c>
      <c r="C137" s="29" t="str">
        <f t="shared" ca="1" si="5"/>
        <v/>
      </c>
      <c r="D137" s="57"/>
      <c r="E137" s="57"/>
      <c r="F137" s="57"/>
      <c r="G137" s="58"/>
      <c r="H137" s="58"/>
      <c r="I137" s="59"/>
      <c r="J137" s="59"/>
      <c r="K137" s="59"/>
      <c r="L137" s="5">
        <f t="shared" si="3"/>
        <v>0</v>
      </c>
    </row>
    <row r="138" spans="2:12" x14ac:dyDescent="0.3">
      <c r="B138" s="28" t="str">
        <f t="shared" ca="1" si="4"/>
        <v/>
      </c>
      <c r="C138" s="29" t="str">
        <f t="shared" ca="1" si="5"/>
        <v/>
      </c>
      <c r="D138" s="57"/>
      <c r="E138" s="57"/>
      <c r="F138" s="57"/>
      <c r="G138" s="58"/>
      <c r="H138" s="58"/>
      <c r="I138" s="59"/>
      <c r="J138" s="59"/>
      <c r="K138" s="59"/>
      <c r="L138" s="5">
        <f t="shared" ref="L138:L201" si="6">J138-I138-K138</f>
        <v>0</v>
      </c>
    </row>
    <row r="139" spans="2:12" x14ac:dyDescent="0.3">
      <c r="B139" s="28" t="str">
        <f t="shared" ref="B139:B202" ca="1" si="7">IF(D139&lt;&gt;"",DATE(Jahr,_xlfn.SHEET()-2,D139),"")</f>
        <v/>
      </c>
      <c r="C139" s="29" t="str">
        <f t="shared" ref="C139:C202" ca="1" si="8">B139</f>
        <v/>
      </c>
      <c r="D139" s="57"/>
      <c r="E139" s="57"/>
      <c r="F139" s="57"/>
      <c r="G139" s="58"/>
      <c r="H139" s="58"/>
      <c r="I139" s="59"/>
      <c r="J139" s="59"/>
      <c r="K139" s="59"/>
      <c r="L139" s="5">
        <f t="shared" si="6"/>
        <v>0</v>
      </c>
    </row>
    <row r="140" spans="2:12" x14ac:dyDescent="0.3">
      <c r="B140" s="28" t="str">
        <f t="shared" ca="1" si="7"/>
        <v/>
      </c>
      <c r="C140" s="29" t="str">
        <f t="shared" ca="1" si="8"/>
        <v/>
      </c>
      <c r="D140" s="57"/>
      <c r="E140" s="57"/>
      <c r="F140" s="57"/>
      <c r="G140" s="58"/>
      <c r="H140" s="58"/>
      <c r="I140" s="59"/>
      <c r="J140" s="59"/>
      <c r="K140" s="59"/>
      <c r="L140" s="5">
        <f t="shared" si="6"/>
        <v>0</v>
      </c>
    </row>
    <row r="141" spans="2:12" x14ac:dyDescent="0.3">
      <c r="B141" s="28" t="str">
        <f t="shared" ca="1" si="7"/>
        <v/>
      </c>
      <c r="C141" s="29" t="str">
        <f t="shared" ca="1" si="8"/>
        <v/>
      </c>
      <c r="D141" s="57"/>
      <c r="E141" s="57"/>
      <c r="F141" s="57"/>
      <c r="G141" s="58"/>
      <c r="H141" s="58"/>
      <c r="I141" s="59"/>
      <c r="J141" s="59"/>
      <c r="K141" s="59"/>
      <c r="L141" s="5">
        <f t="shared" si="6"/>
        <v>0</v>
      </c>
    </row>
    <row r="142" spans="2:12" x14ac:dyDescent="0.3">
      <c r="B142" s="28" t="str">
        <f t="shared" ca="1" si="7"/>
        <v/>
      </c>
      <c r="C142" s="29" t="str">
        <f t="shared" ca="1" si="8"/>
        <v/>
      </c>
      <c r="D142" s="57"/>
      <c r="E142" s="57"/>
      <c r="F142" s="57"/>
      <c r="G142" s="58"/>
      <c r="H142" s="58"/>
      <c r="I142" s="59"/>
      <c r="J142" s="59"/>
      <c r="K142" s="59"/>
      <c r="L142" s="5">
        <f t="shared" si="6"/>
        <v>0</v>
      </c>
    </row>
    <row r="143" spans="2:12" x14ac:dyDescent="0.3">
      <c r="B143" s="28" t="str">
        <f t="shared" ca="1" si="7"/>
        <v/>
      </c>
      <c r="C143" s="29" t="str">
        <f t="shared" ca="1" si="8"/>
        <v/>
      </c>
      <c r="D143" s="57"/>
      <c r="E143" s="57"/>
      <c r="F143" s="57"/>
      <c r="G143" s="58"/>
      <c r="H143" s="58"/>
      <c r="I143" s="59"/>
      <c r="J143" s="59"/>
      <c r="K143" s="59"/>
      <c r="L143" s="5">
        <f t="shared" si="6"/>
        <v>0</v>
      </c>
    </row>
    <row r="144" spans="2:12" x14ac:dyDescent="0.3">
      <c r="B144" s="28" t="str">
        <f t="shared" ca="1" si="7"/>
        <v/>
      </c>
      <c r="C144" s="29" t="str">
        <f t="shared" ca="1" si="8"/>
        <v/>
      </c>
      <c r="D144" s="57"/>
      <c r="E144" s="57"/>
      <c r="F144" s="57"/>
      <c r="G144" s="58"/>
      <c r="H144" s="58"/>
      <c r="I144" s="59"/>
      <c r="J144" s="59"/>
      <c r="K144" s="59"/>
      <c r="L144" s="5">
        <f t="shared" si="6"/>
        <v>0</v>
      </c>
    </row>
    <row r="145" spans="2:12" x14ac:dyDescent="0.3">
      <c r="B145" s="28" t="str">
        <f t="shared" ca="1" si="7"/>
        <v/>
      </c>
      <c r="C145" s="29" t="str">
        <f t="shared" ca="1" si="8"/>
        <v/>
      </c>
      <c r="D145" s="57"/>
      <c r="E145" s="57"/>
      <c r="F145" s="57"/>
      <c r="G145" s="58"/>
      <c r="H145" s="58"/>
      <c r="I145" s="59"/>
      <c r="J145" s="59"/>
      <c r="K145" s="59"/>
      <c r="L145" s="5">
        <f t="shared" si="6"/>
        <v>0</v>
      </c>
    </row>
    <row r="146" spans="2:12" x14ac:dyDescent="0.3">
      <c r="B146" s="28" t="str">
        <f t="shared" ca="1" si="7"/>
        <v/>
      </c>
      <c r="C146" s="29" t="str">
        <f t="shared" ca="1" si="8"/>
        <v/>
      </c>
      <c r="D146" s="57"/>
      <c r="E146" s="57"/>
      <c r="F146" s="57"/>
      <c r="G146" s="58"/>
      <c r="H146" s="58"/>
      <c r="I146" s="59"/>
      <c r="J146" s="59"/>
      <c r="K146" s="59"/>
      <c r="L146" s="5">
        <f t="shared" si="6"/>
        <v>0</v>
      </c>
    </row>
    <row r="147" spans="2:12" x14ac:dyDescent="0.3">
      <c r="B147" s="28" t="str">
        <f t="shared" ca="1" si="7"/>
        <v/>
      </c>
      <c r="C147" s="29" t="str">
        <f t="shared" ca="1" si="8"/>
        <v/>
      </c>
      <c r="D147" s="57"/>
      <c r="E147" s="57"/>
      <c r="F147" s="57"/>
      <c r="G147" s="58"/>
      <c r="H147" s="58"/>
      <c r="I147" s="59"/>
      <c r="J147" s="59"/>
      <c r="K147" s="59"/>
      <c r="L147" s="5">
        <f t="shared" si="6"/>
        <v>0</v>
      </c>
    </row>
    <row r="148" spans="2:12" x14ac:dyDescent="0.3">
      <c r="B148" s="28" t="str">
        <f t="shared" ca="1" si="7"/>
        <v/>
      </c>
      <c r="C148" s="29" t="str">
        <f t="shared" ca="1" si="8"/>
        <v/>
      </c>
      <c r="D148" s="57"/>
      <c r="E148" s="57"/>
      <c r="F148" s="57"/>
      <c r="G148" s="58"/>
      <c r="H148" s="58"/>
      <c r="I148" s="59"/>
      <c r="J148" s="59"/>
      <c r="K148" s="59"/>
      <c r="L148" s="5">
        <f t="shared" si="6"/>
        <v>0</v>
      </c>
    </row>
    <row r="149" spans="2:12" x14ac:dyDescent="0.3">
      <c r="B149" s="28" t="str">
        <f t="shared" ca="1" si="7"/>
        <v/>
      </c>
      <c r="C149" s="29" t="str">
        <f t="shared" ca="1" si="8"/>
        <v/>
      </c>
      <c r="D149" s="57"/>
      <c r="E149" s="57"/>
      <c r="F149" s="57"/>
      <c r="G149" s="58"/>
      <c r="H149" s="58"/>
      <c r="I149" s="59"/>
      <c r="J149" s="59"/>
      <c r="K149" s="59"/>
      <c r="L149" s="5">
        <f t="shared" si="6"/>
        <v>0</v>
      </c>
    </row>
    <row r="150" spans="2:12" x14ac:dyDescent="0.3">
      <c r="B150" s="28" t="str">
        <f t="shared" ca="1" si="7"/>
        <v/>
      </c>
      <c r="C150" s="29" t="str">
        <f t="shared" ca="1" si="8"/>
        <v/>
      </c>
      <c r="D150" s="57"/>
      <c r="E150" s="57"/>
      <c r="F150" s="57"/>
      <c r="G150" s="58"/>
      <c r="H150" s="58"/>
      <c r="I150" s="59"/>
      <c r="J150" s="59"/>
      <c r="K150" s="59"/>
      <c r="L150" s="5">
        <f t="shared" si="6"/>
        <v>0</v>
      </c>
    </row>
    <row r="151" spans="2:12" x14ac:dyDescent="0.3">
      <c r="B151" s="28" t="str">
        <f t="shared" ca="1" si="7"/>
        <v/>
      </c>
      <c r="C151" s="29" t="str">
        <f t="shared" ca="1" si="8"/>
        <v/>
      </c>
      <c r="D151" s="57"/>
      <c r="E151" s="57"/>
      <c r="F151" s="57"/>
      <c r="G151" s="58"/>
      <c r="H151" s="58"/>
      <c r="I151" s="59"/>
      <c r="J151" s="59"/>
      <c r="K151" s="59"/>
      <c r="L151" s="5">
        <f t="shared" si="6"/>
        <v>0</v>
      </c>
    </row>
    <row r="152" spans="2:12" x14ac:dyDescent="0.3">
      <c r="B152" s="28" t="str">
        <f t="shared" ca="1" si="7"/>
        <v/>
      </c>
      <c r="C152" s="29" t="str">
        <f t="shared" ca="1" si="8"/>
        <v/>
      </c>
      <c r="D152" s="57"/>
      <c r="E152" s="57"/>
      <c r="F152" s="57"/>
      <c r="G152" s="58"/>
      <c r="H152" s="58"/>
      <c r="I152" s="59"/>
      <c r="J152" s="59"/>
      <c r="K152" s="59"/>
      <c r="L152" s="5">
        <f t="shared" si="6"/>
        <v>0</v>
      </c>
    </row>
    <row r="153" spans="2:12" x14ac:dyDescent="0.3">
      <c r="B153" s="28" t="str">
        <f t="shared" ca="1" si="7"/>
        <v/>
      </c>
      <c r="C153" s="29" t="str">
        <f t="shared" ca="1" si="8"/>
        <v/>
      </c>
      <c r="D153" s="57"/>
      <c r="E153" s="57"/>
      <c r="F153" s="57"/>
      <c r="G153" s="58"/>
      <c r="H153" s="58"/>
      <c r="I153" s="59"/>
      <c r="J153" s="59"/>
      <c r="K153" s="59"/>
      <c r="L153" s="5">
        <f t="shared" si="6"/>
        <v>0</v>
      </c>
    </row>
    <row r="154" spans="2:12" x14ac:dyDescent="0.3">
      <c r="B154" s="28" t="str">
        <f t="shared" ca="1" si="7"/>
        <v/>
      </c>
      <c r="C154" s="29" t="str">
        <f t="shared" ca="1" si="8"/>
        <v/>
      </c>
      <c r="D154" s="57"/>
      <c r="E154" s="57"/>
      <c r="F154" s="57"/>
      <c r="G154" s="58"/>
      <c r="H154" s="58"/>
      <c r="I154" s="59"/>
      <c r="J154" s="59"/>
      <c r="K154" s="59"/>
      <c r="L154" s="5">
        <f t="shared" si="6"/>
        <v>0</v>
      </c>
    </row>
    <row r="155" spans="2:12" x14ac:dyDescent="0.3">
      <c r="B155" s="28" t="str">
        <f t="shared" ca="1" si="7"/>
        <v/>
      </c>
      <c r="C155" s="29" t="str">
        <f t="shared" ca="1" si="8"/>
        <v/>
      </c>
      <c r="D155" s="57"/>
      <c r="E155" s="57"/>
      <c r="F155" s="57"/>
      <c r="G155" s="58"/>
      <c r="H155" s="58"/>
      <c r="I155" s="59"/>
      <c r="J155" s="59"/>
      <c r="K155" s="59"/>
      <c r="L155" s="5">
        <f t="shared" si="6"/>
        <v>0</v>
      </c>
    </row>
    <row r="156" spans="2:12" x14ac:dyDescent="0.3">
      <c r="B156" s="28" t="str">
        <f t="shared" ca="1" si="7"/>
        <v/>
      </c>
      <c r="C156" s="29" t="str">
        <f t="shared" ca="1" si="8"/>
        <v/>
      </c>
      <c r="D156" s="57"/>
      <c r="E156" s="57"/>
      <c r="F156" s="57"/>
      <c r="G156" s="58"/>
      <c r="H156" s="58"/>
      <c r="I156" s="59"/>
      <c r="J156" s="59"/>
      <c r="K156" s="59"/>
      <c r="L156" s="5">
        <f t="shared" si="6"/>
        <v>0</v>
      </c>
    </row>
    <row r="157" spans="2:12" x14ac:dyDescent="0.3">
      <c r="B157" s="28" t="str">
        <f t="shared" ca="1" si="7"/>
        <v/>
      </c>
      <c r="C157" s="29" t="str">
        <f t="shared" ca="1" si="8"/>
        <v/>
      </c>
      <c r="D157" s="57"/>
      <c r="E157" s="57"/>
      <c r="F157" s="57"/>
      <c r="G157" s="58"/>
      <c r="H157" s="58"/>
      <c r="I157" s="59"/>
      <c r="J157" s="59"/>
      <c r="K157" s="59"/>
      <c r="L157" s="5">
        <f t="shared" si="6"/>
        <v>0</v>
      </c>
    </row>
    <row r="158" spans="2:12" x14ac:dyDescent="0.3">
      <c r="B158" s="28" t="str">
        <f t="shared" ca="1" si="7"/>
        <v/>
      </c>
      <c r="C158" s="29" t="str">
        <f t="shared" ca="1" si="8"/>
        <v/>
      </c>
      <c r="D158" s="57"/>
      <c r="E158" s="57"/>
      <c r="F158" s="57"/>
      <c r="G158" s="58"/>
      <c r="H158" s="58"/>
      <c r="I158" s="59"/>
      <c r="J158" s="59"/>
      <c r="K158" s="59"/>
      <c r="L158" s="5">
        <f t="shared" si="6"/>
        <v>0</v>
      </c>
    </row>
    <row r="159" spans="2:12" x14ac:dyDescent="0.3">
      <c r="B159" s="28" t="str">
        <f t="shared" ca="1" si="7"/>
        <v/>
      </c>
      <c r="C159" s="29" t="str">
        <f t="shared" ca="1" si="8"/>
        <v/>
      </c>
      <c r="D159" s="57"/>
      <c r="E159" s="57"/>
      <c r="F159" s="57"/>
      <c r="G159" s="58"/>
      <c r="H159" s="58"/>
      <c r="I159" s="59"/>
      <c r="J159" s="59"/>
      <c r="K159" s="59"/>
      <c r="L159" s="5">
        <f t="shared" si="6"/>
        <v>0</v>
      </c>
    </row>
    <row r="160" spans="2:12" x14ac:dyDescent="0.3">
      <c r="B160" s="28" t="str">
        <f t="shared" ca="1" si="7"/>
        <v/>
      </c>
      <c r="C160" s="29" t="str">
        <f t="shared" ca="1" si="8"/>
        <v/>
      </c>
      <c r="D160" s="57"/>
      <c r="E160" s="57"/>
      <c r="F160" s="57"/>
      <c r="G160" s="58"/>
      <c r="H160" s="58"/>
      <c r="I160" s="59"/>
      <c r="J160" s="59"/>
      <c r="K160" s="59"/>
      <c r="L160" s="5">
        <f t="shared" si="6"/>
        <v>0</v>
      </c>
    </row>
    <row r="161" spans="2:12" x14ac:dyDescent="0.3">
      <c r="B161" s="28" t="str">
        <f t="shared" ca="1" si="7"/>
        <v/>
      </c>
      <c r="C161" s="29" t="str">
        <f t="shared" ca="1" si="8"/>
        <v/>
      </c>
      <c r="D161" s="57"/>
      <c r="E161" s="57"/>
      <c r="F161" s="57"/>
      <c r="G161" s="58"/>
      <c r="H161" s="58"/>
      <c r="I161" s="59"/>
      <c r="J161" s="59"/>
      <c r="K161" s="59"/>
      <c r="L161" s="5">
        <f t="shared" si="6"/>
        <v>0</v>
      </c>
    </row>
    <row r="162" spans="2:12" x14ac:dyDescent="0.3">
      <c r="B162" s="28" t="str">
        <f t="shared" ca="1" si="7"/>
        <v/>
      </c>
      <c r="C162" s="29" t="str">
        <f t="shared" ca="1" si="8"/>
        <v/>
      </c>
      <c r="D162" s="57"/>
      <c r="E162" s="57"/>
      <c r="F162" s="57"/>
      <c r="G162" s="58"/>
      <c r="H162" s="58"/>
      <c r="I162" s="59"/>
      <c r="J162" s="59"/>
      <c r="K162" s="59"/>
      <c r="L162" s="5">
        <f t="shared" si="6"/>
        <v>0</v>
      </c>
    </row>
    <row r="163" spans="2:12" x14ac:dyDescent="0.3">
      <c r="B163" s="28" t="str">
        <f t="shared" ca="1" si="7"/>
        <v/>
      </c>
      <c r="C163" s="29" t="str">
        <f t="shared" ca="1" si="8"/>
        <v/>
      </c>
      <c r="D163" s="57"/>
      <c r="E163" s="57"/>
      <c r="F163" s="57"/>
      <c r="G163" s="58"/>
      <c r="H163" s="58"/>
      <c r="I163" s="59"/>
      <c r="J163" s="59"/>
      <c r="K163" s="59"/>
      <c r="L163" s="5">
        <f t="shared" si="6"/>
        <v>0</v>
      </c>
    </row>
    <row r="164" spans="2:12" x14ac:dyDescent="0.3">
      <c r="B164" s="28" t="str">
        <f t="shared" ca="1" si="7"/>
        <v/>
      </c>
      <c r="C164" s="29" t="str">
        <f t="shared" ca="1" si="8"/>
        <v/>
      </c>
      <c r="D164" s="57"/>
      <c r="E164" s="57"/>
      <c r="F164" s="57"/>
      <c r="G164" s="58"/>
      <c r="H164" s="58"/>
      <c r="I164" s="59"/>
      <c r="J164" s="59"/>
      <c r="K164" s="59"/>
      <c r="L164" s="5">
        <f t="shared" si="6"/>
        <v>0</v>
      </c>
    </row>
    <row r="165" spans="2:12" x14ac:dyDescent="0.3">
      <c r="B165" s="28" t="str">
        <f t="shared" ca="1" si="7"/>
        <v/>
      </c>
      <c r="C165" s="29" t="str">
        <f t="shared" ca="1" si="8"/>
        <v/>
      </c>
      <c r="D165" s="57"/>
      <c r="E165" s="57"/>
      <c r="F165" s="57"/>
      <c r="G165" s="58"/>
      <c r="H165" s="58"/>
      <c r="I165" s="59"/>
      <c r="J165" s="59"/>
      <c r="K165" s="59"/>
      <c r="L165" s="5">
        <f t="shared" si="6"/>
        <v>0</v>
      </c>
    </row>
    <row r="166" spans="2:12" x14ac:dyDescent="0.3">
      <c r="B166" s="28" t="str">
        <f t="shared" ca="1" si="7"/>
        <v/>
      </c>
      <c r="C166" s="29" t="str">
        <f t="shared" ca="1" si="8"/>
        <v/>
      </c>
      <c r="D166" s="57"/>
      <c r="E166" s="57"/>
      <c r="F166" s="57"/>
      <c r="G166" s="58"/>
      <c r="H166" s="58"/>
      <c r="I166" s="59"/>
      <c r="J166" s="59"/>
      <c r="K166" s="59"/>
      <c r="L166" s="5">
        <f t="shared" si="6"/>
        <v>0</v>
      </c>
    </row>
    <row r="167" spans="2:12" x14ac:dyDescent="0.3">
      <c r="B167" s="28" t="str">
        <f t="shared" ca="1" si="7"/>
        <v/>
      </c>
      <c r="C167" s="29" t="str">
        <f t="shared" ca="1" si="8"/>
        <v/>
      </c>
      <c r="D167" s="57"/>
      <c r="E167" s="57"/>
      <c r="F167" s="57"/>
      <c r="G167" s="58"/>
      <c r="H167" s="58"/>
      <c r="I167" s="59"/>
      <c r="J167" s="59"/>
      <c r="K167" s="59"/>
      <c r="L167" s="5">
        <f t="shared" si="6"/>
        <v>0</v>
      </c>
    </row>
    <row r="168" spans="2:12" x14ac:dyDescent="0.3">
      <c r="B168" s="28" t="str">
        <f t="shared" ca="1" si="7"/>
        <v/>
      </c>
      <c r="C168" s="29" t="str">
        <f t="shared" ca="1" si="8"/>
        <v/>
      </c>
      <c r="D168" s="57"/>
      <c r="E168" s="57"/>
      <c r="F168" s="57"/>
      <c r="G168" s="58"/>
      <c r="H168" s="58"/>
      <c r="I168" s="59"/>
      <c r="J168" s="59"/>
      <c r="K168" s="59"/>
      <c r="L168" s="5">
        <f t="shared" si="6"/>
        <v>0</v>
      </c>
    </row>
    <row r="169" spans="2:12" x14ac:dyDescent="0.3">
      <c r="B169" s="28" t="str">
        <f t="shared" ca="1" si="7"/>
        <v/>
      </c>
      <c r="C169" s="29" t="str">
        <f t="shared" ca="1" si="8"/>
        <v/>
      </c>
      <c r="D169" s="57"/>
      <c r="E169" s="57"/>
      <c r="F169" s="57"/>
      <c r="G169" s="58"/>
      <c r="H169" s="58"/>
      <c r="I169" s="59"/>
      <c r="J169" s="59"/>
      <c r="K169" s="59"/>
      <c r="L169" s="5">
        <f t="shared" si="6"/>
        <v>0</v>
      </c>
    </row>
    <row r="170" spans="2:12" x14ac:dyDescent="0.3">
      <c r="B170" s="28" t="str">
        <f t="shared" ca="1" si="7"/>
        <v/>
      </c>
      <c r="C170" s="29" t="str">
        <f t="shared" ca="1" si="8"/>
        <v/>
      </c>
      <c r="D170" s="57"/>
      <c r="E170" s="57"/>
      <c r="F170" s="57"/>
      <c r="G170" s="58"/>
      <c r="H170" s="58"/>
      <c r="I170" s="59"/>
      <c r="J170" s="59"/>
      <c r="K170" s="59"/>
      <c r="L170" s="5">
        <f t="shared" si="6"/>
        <v>0</v>
      </c>
    </row>
    <row r="171" spans="2:12" x14ac:dyDescent="0.3">
      <c r="B171" s="28" t="str">
        <f t="shared" ca="1" si="7"/>
        <v/>
      </c>
      <c r="C171" s="29" t="str">
        <f t="shared" ca="1" si="8"/>
        <v/>
      </c>
      <c r="D171" s="57"/>
      <c r="E171" s="57"/>
      <c r="F171" s="57"/>
      <c r="G171" s="58"/>
      <c r="H171" s="58"/>
      <c r="I171" s="59"/>
      <c r="J171" s="59"/>
      <c r="K171" s="59"/>
      <c r="L171" s="5">
        <f t="shared" si="6"/>
        <v>0</v>
      </c>
    </row>
    <row r="172" spans="2:12" x14ac:dyDescent="0.3">
      <c r="B172" s="28" t="str">
        <f t="shared" ca="1" si="7"/>
        <v/>
      </c>
      <c r="C172" s="29" t="str">
        <f t="shared" ca="1" si="8"/>
        <v/>
      </c>
      <c r="D172" s="57"/>
      <c r="E172" s="57"/>
      <c r="F172" s="57"/>
      <c r="G172" s="58"/>
      <c r="H172" s="58"/>
      <c r="I172" s="59"/>
      <c r="J172" s="59"/>
      <c r="K172" s="59"/>
      <c r="L172" s="5">
        <f t="shared" si="6"/>
        <v>0</v>
      </c>
    </row>
    <row r="173" spans="2:12" x14ac:dyDescent="0.3">
      <c r="B173" s="28" t="str">
        <f t="shared" ca="1" si="7"/>
        <v/>
      </c>
      <c r="C173" s="29" t="str">
        <f t="shared" ca="1" si="8"/>
        <v/>
      </c>
      <c r="D173" s="57"/>
      <c r="E173" s="57"/>
      <c r="F173" s="57"/>
      <c r="G173" s="58"/>
      <c r="H173" s="58"/>
      <c r="I173" s="59"/>
      <c r="J173" s="59"/>
      <c r="K173" s="59"/>
      <c r="L173" s="5">
        <f t="shared" si="6"/>
        <v>0</v>
      </c>
    </row>
    <row r="174" spans="2:12" x14ac:dyDescent="0.3">
      <c r="B174" s="28" t="str">
        <f t="shared" ca="1" si="7"/>
        <v/>
      </c>
      <c r="C174" s="29" t="str">
        <f t="shared" ca="1" si="8"/>
        <v/>
      </c>
      <c r="D174" s="57"/>
      <c r="E174" s="57"/>
      <c r="F174" s="57"/>
      <c r="G174" s="58"/>
      <c r="H174" s="58"/>
      <c r="I174" s="59"/>
      <c r="J174" s="59"/>
      <c r="K174" s="59"/>
      <c r="L174" s="5">
        <f t="shared" si="6"/>
        <v>0</v>
      </c>
    </row>
    <row r="175" spans="2:12" x14ac:dyDescent="0.3">
      <c r="B175" s="28" t="str">
        <f t="shared" ca="1" si="7"/>
        <v/>
      </c>
      <c r="C175" s="29" t="str">
        <f t="shared" ca="1" si="8"/>
        <v/>
      </c>
      <c r="D175" s="57"/>
      <c r="E175" s="57"/>
      <c r="F175" s="57"/>
      <c r="G175" s="58"/>
      <c r="H175" s="58"/>
      <c r="I175" s="59"/>
      <c r="J175" s="59"/>
      <c r="K175" s="59"/>
      <c r="L175" s="5">
        <f t="shared" si="6"/>
        <v>0</v>
      </c>
    </row>
    <row r="176" spans="2:12" x14ac:dyDescent="0.3">
      <c r="B176" s="28" t="str">
        <f t="shared" ca="1" si="7"/>
        <v/>
      </c>
      <c r="C176" s="29" t="str">
        <f t="shared" ca="1" si="8"/>
        <v/>
      </c>
      <c r="D176" s="57"/>
      <c r="E176" s="57"/>
      <c r="F176" s="57"/>
      <c r="G176" s="58"/>
      <c r="H176" s="58"/>
      <c r="I176" s="59"/>
      <c r="J176" s="59"/>
      <c r="K176" s="59"/>
      <c r="L176" s="5">
        <f t="shared" si="6"/>
        <v>0</v>
      </c>
    </row>
    <row r="177" spans="2:12" x14ac:dyDescent="0.3">
      <c r="B177" s="28" t="str">
        <f t="shared" ca="1" si="7"/>
        <v/>
      </c>
      <c r="C177" s="29" t="str">
        <f t="shared" ca="1" si="8"/>
        <v/>
      </c>
      <c r="D177" s="57"/>
      <c r="E177" s="57"/>
      <c r="F177" s="57"/>
      <c r="G177" s="58"/>
      <c r="H177" s="58"/>
      <c r="I177" s="59"/>
      <c r="J177" s="59"/>
      <c r="K177" s="59"/>
      <c r="L177" s="5">
        <f t="shared" si="6"/>
        <v>0</v>
      </c>
    </row>
    <row r="178" spans="2:12" x14ac:dyDescent="0.3">
      <c r="B178" s="28" t="str">
        <f t="shared" ca="1" si="7"/>
        <v/>
      </c>
      <c r="C178" s="29" t="str">
        <f t="shared" ca="1" si="8"/>
        <v/>
      </c>
      <c r="D178" s="57"/>
      <c r="E178" s="57"/>
      <c r="F178" s="57"/>
      <c r="G178" s="58"/>
      <c r="H178" s="58"/>
      <c r="I178" s="59"/>
      <c r="J178" s="59"/>
      <c r="K178" s="59"/>
      <c r="L178" s="5">
        <f t="shared" si="6"/>
        <v>0</v>
      </c>
    </row>
    <row r="179" spans="2:12" x14ac:dyDescent="0.3">
      <c r="B179" s="28" t="str">
        <f t="shared" ca="1" si="7"/>
        <v/>
      </c>
      <c r="C179" s="29" t="str">
        <f t="shared" ca="1" si="8"/>
        <v/>
      </c>
      <c r="D179" s="57"/>
      <c r="E179" s="57"/>
      <c r="F179" s="57"/>
      <c r="G179" s="58"/>
      <c r="H179" s="58"/>
      <c r="I179" s="59"/>
      <c r="J179" s="59"/>
      <c r="K179" s="59"/>
      <c r="L179" s="5">
        <f t="shared" si="6"/>
        <v>0</v>
      </c>
    </row>
    <row r="180" spans="2:12" x14ac:dyDescent="0.3">
      <c r="B180" s="28" t="str">
        <f t="shared" ca="1" si="7"/>
        <v/>
      </c>
      <c r="C180" s="29" t="str">
        <f t="shared" ca="1" si="8"/>
        <v/>
      </c>
      <c r="D180" s="57"/>
      <c r="E180" s="57"/>
      <c r="F180" s="57"/>
      <c r="G180" s="58"/>
      <c r="H180" s="58"/>
      <c r="I180" s="59"/>
      <c r="J180" s="59"/>
      <c r="K180" s="59"/>
      <c r="L180" s="5">
        <f t="shared" si="6"/>
        <v>0</v>
      </c>
    </row>
    <row r="181" spans="2:12" x14ac:dyDescent="0.3">
      <c r="B181" s="28" t="str">
        <f t="shared" ca="1" si="7"/>
        <v/>
      </c>
      <c r="C181" s="29" t="str">
        <f t="shared" ca="1" si="8"/>
        <v/>
      </c>
      <c r="D181" s="57"/>
      <c r="E181" s="57"/>
      <c r="F181" s="57"/>
      <c r="G181" s="58"/>
      <c r="H181" s="58"/>
      <c r="I181" s="59"/>
      <c r="J181" s="59"/>
      <c r="K181" s="59"/>
      <c r="L181" s="5">
        <f t="shared" si="6"/>
        <v>0</v>
      </c>
    </row>
    <row r="182" spans="2:12" x14ac:dyDescent="0.3">
      <c r="B182" s="28" t="str">
        <f t="shared" ca="1" si="7"/>
        <v/>
      </c>
      <c r="C182" s="29" t="str">
        <f t="shared" ca="1" si="8"/>
        <v/>
      </c>
      <c r="D182" s="57"/>
      <c r="E182" s="57"/>
      <c r="F182" s="57"/>
      <c r="G182" s="58"/>
      <c r="H182" s="58"/>
      <c r="I182" s="59"/>
      <c r="J182" s="59"/>
      <c r="K182" s="59"/>
      <c r="L182" s="5">
        <f t="shared" si="6"/>
        <v>0</v>
      </c>
    </row>
    <row r="183" spans="2:12" x14ac:dyDescent="0.3">
      <c r="B183" s="28" t="str">
        <f t="shared" ca="1" si="7"/>
        <v/>
      </c>
      <c r="C183" s="29" t="str">
        <f t="shared" ca="1" si="8"/>
        <v/>
      </c>
      <c r="D183" s="57"/>
      <c r="E183" s="57"/>
      <c r="F183" s="57"/>
      <c r="G183" s="58"/>
      <c r="H183" s="58"/>
      <c r="I183" s="59"/>
      <c r="J183" s="59"/>
      <c r="K183" s="59"/>
      <c r="L183" s="5">
        <f t="shared" si="6"/>
        <v>0</v>
      </c>
    </row>
    <row r="184" spans="2:12" x14ac:dyDescent="0.3">
      <c r="B184" s="28" t="str">
        <f t="shared" ca="1" si="7"/>
        <v/>
      </c>
      <c r="C184" s="29" t="str">
        <f t="shared" ca="1" si="8"/>
        <v/>
      </c>
      <c r="D184" s="57"/>
      <c r="E184" s="57"/>
      <c r="F184" s="57"/>
      <c r="G184" s="58"/>
      <c r="H184" s="58"/>
      <c r="I184" s="59"/>
      <c r="J184" s="59"/>
      <c r="K184" s="59"/>
      <c r="L184" s="5">
        <f t="shared" si="6"/>
        <v>0</v>
      </c>
    </row>
    <row r="185" spans="2:12" x14ac:dyDescent="0.3">
      <c r="B185" s="28" t="str">
        <f t="shared" ca="1" si="7"/>
        <v/>
      </c>
      <c r="C185" s="29" t="str">
        <f t="shared" ca="1" si="8"/>
        <v/>
      </c>
      <c r="D185" s="57"/>
      <c r="E185" s="57"/>
      <c r="F185" s="57"/>
      <c r="G185" s="58"/>
      <c r="H185" s="58"/>
      <c r="I185" s="59"/>
      <c r="J185" s="59"/>
      <c r="K185" s="59"/>
      <c r="L185" s="5">
        <f t="shared" si="6"/>
        <v>0</v>
      </c>
    </row>
    <row r="186" spans="2:12" x14ac:dyDescent="0.3">
      <c r="B186" s="28" t="str">
        <f t="shared" ca="1" si="7"/>
        <v/>
      </c>
      <c r="C186" s="29" t="str">
        <f t="shared" ca="1" si="8"/>
        <v/>
      </c>
      <c r="D186" s="57"/>
      <c r="E186" s="57"/>
      <c r="F186" s="57"/>
      <c r="G186" s="58"/>
      <c r="H186" s="58"/>
      <c r="I186" s="59"/>
      <c r="J186" s="59"/>
      <c r="K186" s="59"/>
      <c r="L186" s="5">
        <f t="shared" si="6"/>
        <v>0</v>
      </c>
    </row>
    <row r="187" spans="2:12" x14ac:dyDescent="0.3">
      <c r="B187" s="28" t="str">
        <f t="shared" ca="1" si="7"/>
        <v/>
      </c>
      <c r="C187" s="29" t="str">
        <f t="shared" ca="1" si="8"/>
        <v/>
      </c>
      <c r="D187" s="57"/>
      <c r="E187" s="57"/>
      <c r="F187" s="57"/>
      <c r="G187" s="58"/>
      <c r="H187" s="58"/>
      <c r="I187" s="59"/>
      <c r="J187" s="59"/>
      <c r="K187" s="59"/>
      <c r="L187" s="5">
        <f t="shared" si="6"/>
        <v>0</v>
      </c>
    </row>
    <row r="188" spans="2:12" x14ac:dyDescent="0.3">
      <c r="B188" s="28" t="str">
        <f t="shared" ca="1" si="7"/>
        <v/>
      </c>
      <c r="C188" s="29" t="str">
        <f t="shared" ca="1" si="8"/>
        <v/>
      </c>
      <c r="D188" s="57"/>
      <c r="E188" s="57"/>
      <c r="F188" s="57"/>
      <c r="G188" s="58"/>
      <c r="H188" s="58"/>
      <c r="I188" s="59"/>
      <c r="J188" s="59"/>
      <c r="K188" s="59"/>
      <c r="L188" s="5">
        <f t="shared" si="6"/>
        <v>0</v>
      </c>
    </row>
    <row r="189" spans="2:12" x14ac:dyDescent="0.3">
      <c r="B189" s="28" t="str">
        <f t="shared" ca="1" si="7"/>
        <v/>
      </c>
      <c r="C189" s="29" t="str">
        <f t="shared" ca="1" si="8"/>
        <v/>
      </c>
      <c r="D189" s="57"/>
      <c r="E189" s="57"/>
      <c r="F189" s="57"/>
      <c r="G189" s="58"/>
      <c r="H189" s="58"/>
      <c r="I189" s="59"/>
      <c r="J189" s="59"/>
      <c r="K189" s="59"/>
      <c r="L189" s="5">
        <f t="shared" si="6"/>
        <v>0</v>
      </c>
    </row>
    <row r="190" spans="2:12" x14ac:dyDescent="0.3">
      <c r="B190" s="28" t="str">
        <f t="shared" ca="1" si="7"/>
        <v/>
      </c>
      <c r="C190" s="29" t="str">
        <f t="shared" ca="1" si="8"/>
        <v/>
      </c>
      <c r="D190" s="57"/>
      <c r="E190" s="57"/>
      <c r="F190" s="57"/>
      <c r="G190" s="58"/>
      <c r="H190" s="58"/>
      <c r="I190" s="59"/>
      <c r="J190" s="59"/>
      <c r="K190" s="59"/>
      <c r="L190" s="5">
        <f t="shared" si="6"/>
        <v>0</v>
      </c>
    </row>
    <row r="191" spans="2:12" x14ac:dyDescent="0.3">
      <c r="B191" s="28" t="str">
        <f t="shared" ca="1" si="7"/>
        <v/>
      </c>
      <c r="C191" s="29" t="str">
        <f t="shared" ca="1" si="8"/>
        <v/>
      </c>
      <c r="D191" s="57"/>
      <c r="E191" s="57"/>
      <c r="F191" s="57"/>
      <c r="G191" s="58"/>
      <c r="H191" s="58"/>
      <c r="I191" s="59"/>
      <c r="J191" s="59"/>
      <c r="K191" s="59"/>
      <c r="L191" s="5">
        <f t="shared" si="6"/>
        <v>0</v>
      </c>
    </row>
    <row r="192" spans="2:12" x14ac:dyDescent="0.3">
      <c r="B192" s="28" t="str">
        <f t="shared" ca="1" si="7"/>
        <v/>
      </c>
      <c r="C192" s="29" t="str">
        <f t="shared" ca="1" si="8"/>
        <v/>
      </c>
      <c r="D192" s="57"/>
      <c r="E192" s="57"/>
      <c r="F192" s="57"/>
      <c r="G192" s="58"/>
      <c r="H192" s="58"/>
      <c r="I192" s="59"/>
      <c r="J192" s="59"/>
      <c r="K192" s="59"/>
      <c r="L192" s="5">
        <f t="shared" si="6"/>
        <v>0</v>
      </c>
    </row>
    <row r="193" spans="2:12" x14ac:dyDescent="0.3">
      <c r="B193" s="28" t="str">
        <f t="shared" ca="1" si="7"/>
        <v/>
      </c>
      <c r="C193" s="29" t="str">
        <f t="shared" ca="1" si="8"/>
        <v/>
      </c>
      <c r="D193" s="57"/>
      <c r="E193" s="57"/>
      <c r="F193" s="57"/>
      <c r="G193" s="58"/>
      <c r="H193" s="58"/>
      <c r="I193" s="59"/>
      <c r="J193" s="59"/>
      <c r="K193" s="59"/>
      <c r="L193" s="5">
        <f t="shared" si="6"/>
        <v>0</v>
      </c>
    </row>
    <row r="194" spans="2:12" x14ac:dyDescent="0.3">
      <c r="B194" s="28" t="str">
        <f t="shared" ca="1" si="7"/>
        <v/>
      </c>
      <c r="C194" s="29" t="str">
        <f t="shared" ca="1" si="8"/>
        <v/>
      </c>
      <c r="D194" s="57"/>
      <c r="E194" s="57"/>
      <c r="F194" s="57"/>
      <c r="G194" s="58"/>
      <c r="H194" s="58"/>
      <c r="I194" s="59"/>
      <c r="J194" s="59"/>
      <c r="K194" s="59"/>
      <c r="L194" s="5">
        <f t="shared" si="6"/>
        <v>0</v>
      </c>
    </row>
    <row r="195" spans="2:12" x14ac:dyDescent="0.3">
      <c r="B195" s="28" t="str">
        <f t="shared" ca="1" si="7"/>
        <v/>
      </c>
      <c r="C195" s="29" t="str">
        <f t="shared" ca="1" si="8"/>
        <v/>
      </c>
      <c r="D195" s="57"/>
      <c r="E195" s="57"/>
      <c r="F195" s="57"/>
      <c r="G195" s="58"/>
      <c r="H195" s="58"/>
      <c r="I195" s="59"/>
      <c r="J195" s="59"/>
      <c r="K195" s="59"/>
      <c r="L195" s="5">
        <f t="shared" si="6"/>
        <v>0</v>
      </c>
    </row>
    <row r="196" spans="2:12" x14ac:dyDescent="0.3">
      <c r="B196" s="28" t="str">
        <f t="shared" ca="1" si="7"/>
        <v/>
      </c>
      <c r="C196" s="29" t="str">
        <f t="shared" ca="1" si="8"/>
        <v/>
      </c>
      <c r="D196" s="57"/>
      <c r="E196" s="57"/>
      <c r="F196" s="57"/>
      <c r="G196" s="58"/>
      <c r="H196" s="58"/>
      <c r="I196" s="59"/>
      <c r="J196" s="59"/>
      <c r="K196" s="59"/>
      <c r="L196" s="5">
        <f t="shared" si="6"/>
        <v>0</v>
      </c>
    </row>
    <row r="197" spans="2:12" x14ac:dyDescent="0.3">
      <c r="B197" s="28" t="str">
        <f t="shared" ca="1" si="7"/>
        <v/>
      </c>
      <c r="C197" s="29" t="str">
        <f t="shared" ca="1" si="8"/>
        <v/>
      </c>
      <c r="D197" s="57"/>
      <c r="E197" s="57"/>
      <c r="F197" s="57"/>
      <c r="G197" s="58"/>
      <c r="H197" s="58"/>
      <c r="I197" s="59"/>
      <c r="J197" s="59"/>
      <c r="K197" s="59"/>
      <c r="L197" s="5">
        <f t="shared" si="6"/>
        <v>0</v>
      </c>
    </row>
    <row r="198" spans="2:12" x14ac:dyDescent="0.3">
      <c r="B198" s="28" t="str">
        <f t="shared" ca="1" si="7"/>
        <v/>
      </c>
      <c r="C198" s="29" t="str">
        <f t="shared" ca="1" si="8"/>
        <v/>
      </c>
      <c r="D198" s="57"/>
      <c r="E198" s="57"/>
      <c r="F198" s="57"/>
      <c r="G198" s="58"/>
      <c r="H198" s="58"/>
      <c r="I198" s="59"/>
      <c r="J198" s="59"/>
      <c r="K198" s="59"/>
      <c r="L198" s="5">
        <f t="shared" si="6"/>
        <v>0</v>
      </c>
    </row>
    <row r="199" spans="2:12" x14ac:dyDescent="0.3">
      <c r="B199" s="28" t="str">
        <f t="shared" ca="1" si="7"/>
        <v/>
      </c>
      <c r="C199" s="29" t="str">
        <f t="shared" ca="1" si="8"/>
        <v/>
      </c>
      <c r="D199" s="57"/>
      <c r="E199" s="57"/>
      <c r="F199" s="57"/>
      <c r="G199" s="58"/>
      <c r="H199" s="58"/>
      <c r="I199" s="59"/>
      <c r="J199" s="59"/>
      <c r="K199" s="59"/>
      <c r="L199" s="5">
        <f t="shared" si="6"/>
        <v>0</v>
      </c>
    </row>
    <row r="200" spans="2:12" x14ac:dyDescent="0.3">
      <c r="B200" s="28" t="str">
        <f t="shared" ca="1" si="7"/>
        <v/>
      </c>
      <c r="C200" s="29" t="str">
        <f t="shared" ca="1" si="8"/>
        <v/>
      </c>
      <c r="D200" s="57"/>
      <c r="E200" s="57"/>
      <c r="F200" s="57"/>
      <c r="G200" s="58"/>
      <c r="H200" s="58"/>
      <c r="I200" s="59"/>
      <c r="J200" s="59"/>
      <c r="K200" s="59"/>
      <c r="L200" s="5">
        <f t="shared" si="6"/>
        <v>0</v>
      </c>
    </row>
    <row r="201" spans="2:12" x14ac:dyDescent="0.3">
      <c r="B201" s="28" t="str">
        <f t="shared" ca="1" si="7"/>
        <v/>
      </c>
      <c r="C201" s="29" t="str">
        <f t="shared" ca="1" si="8"/>
        <v/>
      </c>
      <c r="D201" s="57"/>
      <c r="E201" s="57"/>
      <c r="F201" s="57"/>
      <c r="G201" s="58"/>
      <c r="H201" s="58"/>
      <c r="I201" s="59"/>
      <c r="J201" s="59"/>
      <c r="K201" s="59"/>
      <c r="L201" s="5">
        <f t="shared" si="6"/>
        <v>0</v>
      </c>
    </row>
    <row r="202" spans="2:12" x14ac:dyDescent="0.3">
      <c r="B202" s="28" t="str">
        <f t="shared" ca="1" si="7"/>
        <v/>
      </c>
      <c r="C202" s="29" t="str">
        <f t="shared" ca="1" si="8"/>
        <v/>
      </c>
      <c r="D202" s="57"/>
      <c r="E202" s="57"/>
      <c r="F202" s="57"/>
      <c r="G202" s="58"/>
      <c r="H202" s="58"/>
      <c r="I202" s="59"/>
      <c r="J202" s="59"/>
      <c r="K202" s="59"/>
      <c r="L202" s="5">
        <f t="shared" ref="L202:L265" si="9">J202-I202-K202</f>
        <v>0</v>
      </c>
    </row>
    <row r="203" spans="2:12" x14ac:dyDescent="0.3">
      <c r="B203" s="28" t="str">
        <f t="shared" ref="B203:B266" ca="1" si="10">IF(D203&lt;&gt;"",DATE(Jahr,_xlfn.SHEET()-2,D203),"")</f>
        <v/>
      </c>
      <c r="C203" s="29" t="str">
        <f t="shared" ref="C203:C266" ca="1" si="11">B203</f>
        <v/>
      </c>
      <c r="D203" s="57"/>
      <c r="E203" s="57"/>
      <c r="F203" s="57"/>
      <c r="G203" s="58"/>
      <c r="H203" s="58"/>
      <c r="I203" s="59"/>
      <c r="J203" s="59"/>
      <c r="K203" s="59"/>
      <c r="L203" s="5">
        <f t="shared" si="9"/>
        <v>0</v>
      </c>
    </row>
    <row r="204" spans="2:12" x14ac:dyDescent="0.3">
      <c r="B204" s="28" t="str">
        <f t="shared" ca="1" si="10"/>
        <v/>
      </c>
      <c r="C204" s="29" t="str">
        <f t="shared" ca="1" si="11"/>
        <v/>
      </c>
      <c r="D204" s="57"/>
      <c r="E204" s="57"/>
      <c r="F204" s="57"/>
      <c r="G204" s="58"/>
      <c r="H204" s="58"/>
      <c r="I204" s="59"/>
      <c r="J204" s="59"/>
      <c r="K204" s="59"/>
      <c r="L204" s="5">
        <f t="shared" si="9"/>
        <v>0</v>
      </c>
    </row>
    <row r="205" spans="2:12" x14ac:dyDescent="0.3">
      <c r="B205" s="28" t="str">
        <f t="shared" ca="1" si="10"/>
        <v/>
      </c>
      <c r="C205" s="29" t="str">
        <f t="shared" ca="1" si="11"/>
        <v/>
      </c>
      <c r="D205" s="57"/>
      <c r="E205" s="57"/>
      <c r="F205" s="57"/>
      <c r="G205" s="58"/>
      <c r="H205" s="58"/>
      <c r="I205" s="59"/>
      <c r="J205" s="59"/>
      <c r="K205" s="59"/>
      <c r="L205" s="5">
        <f t="shared" si="9"/>
        <v>0</v>
      </c>
    </row>
    <row r="206" spans="2:12" x14ac:dyDescent="0.3">
      <c r="B206" s="28" t="str">
        <f t="shared" ca="1" si="10"/>
        <v/>
      </c>
      <c r="C206" s="29" t="str">
        <f t="shared" ca="1" si="11"/>
        <v/>
      </c>
      <c r="D206" s="57"/>
      <c r="E206" s="57"/>
      <c r="F206" s="57"/>
      <c r="G206" s="58"/>
      <c r="H206" s="58"/>
      <c r="I206" s="59"/>
      <c r="J206" s="59"/>
      <c r="K206" s="59"/>
      <c r="L206" s="5">
        <f t="shared" si="9"/>
        <v>0</v>
      </c>
    </row>
    <row r="207" spans="2:12" x14ac:dyDescent="0.3">
      <c r="B207" s="28" t="str">
        <f t="shared" ca="1" si="10"/>
        <v/>
      </c>
      <c r="C207" s="29" t="str">
        <f t="shared" ca="1" si="11"/>
        <v/>
      </c>
      <c r="D207" s="57"/>
      <c r="E207" s="57"/>
      <c r="F207" s="57"/>
      <c r="G207" s="58"/>
      <c r="H207" s="58"/>
      <c r="I207" s="59"/>
      <c r="J207" s="59"/>
      <c r="K207" s="59"/>
      <c r="L207" s="5">
        <f t="shared" si="9"/>
        <v>0</v>
      </c>
    </row>
    <row r="208" spans="2:12" x14ac:dyDescent="0.3">
      <c r="B208" s="28" t="str">
        <f t="shared" ca="1" si="10"/>
        <v/>
      </c>
      <c r="C208" s="29" t="str">
        <f t="shared" ca="1" si="11"/>
        <v/>
      </c>
      <c r="D208" s="57"/>
      <c r="E208" s="57"/>
      <c r="F208" s="57"/>
      <c r="G208" s="58"/>
      <c r="H208" s="58"/>
      <c r="I208" s="59"/>
      <c r="J208" s="59"/>
      <c r="K208" s="59"/>
      <c r="L208" s="5">
        <f t="shared" si="9"/>
        <v>0</v>
      </c>
    </row>
    <row r="209" spans="2:12" x14ac:dyDescent="0.3">
      <c r="B209" s="28" t="str">
        <f t="shared" ca="1" si="10"/>
        <v/>
      </c>
      <c r="C209" s="29" t="str">
        <f t="shared" ca="1" si="11"/>
        <v/>
      </c>
      <c r="D209" s="57"/>
      <c r="E209" s="57"/>
      <c r="F209" s="57"/>
      <c r="G209" s="58"/>
      <c r="H209" s="58"/>
      <c r="I209" s="59"/>
      <c r="J209" s="59"/>
      <c r="K209" s="59"/>
      <c r="L209" s="5">
        <f t="shared" si="9"/>
        <v>0</v>
      </c>
    </row>
    <row r="210" spans="2:12" x14ac:dyDescent="0.3">
      <c r="B210" s="28" t="str">
        <f t="shared" ca="1" si="10"/>
        <v/>
      </c>
      <c r="C210" s="29" t="str">
        <f t="shared" ca="1" si="11"/>
        <v/>
      </c>
      <c r="D210" s="57"/>
      <c r="E210" s="57"/>
      <c r="F210" s="57"/>
      <c r="G210" s="58"/>
      <c r="H210" s="58"/>
      <c r="I210" s="59"/>
      <c r="J210" s="59"/>
      <c r="K210" s="59"/>
      <c r="L210" s="5">
        <f t="shared" si="9"/>
        <v>0</v>
      </c>
    </row>
    <row r="211" spans="2:12" x14ac:dyDescent="0.3">
      <c r="B211" s="28" t="str">
        <f t="shared" ca="1" si="10"/>
        <v/>
      </c>
      <c r="C211" s="29" t="str">
        <f t="shared" ca="1" si="11"/>
        <v/>
      </c>
      <c r="D211" s="57"/>
      <c r="E211" s="57"/>
      <c r="F211" s="57"/>
      <c r="G211" s="58"/>
      <c r="H211" s="58"/>
      <c r="I211" s="59"/>
      <c r="J211" s="59"/>
      <c r="K211" s="59"/>
      <c r="L211" s="5">
        <f t="shared" si="9"/>
        <v>0</v>
      </c>
    </row>
    <row r="212" spans="2:12" x14ac:dyDescent="0.3">
      <c r="B212" s="28" t="str">
        <f t="shared" ca="1" si="10"/>
        <v/>
      </c>
      <c r="C212" s="29" t="str">
        <f t="shared" ca="1" si="11"/>
        <v/>
      </c>
      <c r="D212" s="57"/>
      <c r="E212" s="57"/>
      <c r="F212" s="57"/>
      <c r="G212" s="58"/>
      <c r="H212" s="58"/>
      <c r="I212" s="59"/>
      <c r="J212" s="59"/>
      <c r="K212" s="59"/>
      <c r="L212" s="5">
        <f t="shared" si="9"/>
        <v>0</v>
      </c>
    </row>
    <row r="213" spans="2:12" x14ac:dyDescent="0.3">
      <c r="B213" s="28" t="str">
        <f t="shared" ca="1" si="10"/>
        <v/>
      </c>
      <c r="C213" s="29" t="str">
        <f t="shared" ca="1" si="11"/>
        <v/>
      </c>
      <c r="D213" s="57"/>
      <c r="E213" s="57"/>
      <c r="F213" s="57"/>
      <c r="G213" s="58"/>
      <c r="H213" s="58"/>
      <c r="I213" s="59"/>
      <c r="J213" s="59"/>
      <c r="K213" s="59"/>
      <c r="L213" s="5">
        <f t="shared" si="9"/>
        <v>0</v>
      </c>
    </row>
    <row r="214" spans="2:12" x14ac:dyDescent="0.3">
      <c r="B214" s="28" t="str">
        <f t="shared" ca="1" si="10"/>
        <v/>
      </c>
      <c r="C214" s="29" t="str">
        <f t="shared" ca="1" si="11"/>
        <v/>
      </c>
      <c r="D214" s="57"/>
      <c r="E214" s="57"/>
      <c r="F214" s="57"/>
      <c r="G214" s="58"/>
      <c r="H214" s="58"/>
      <c r="I214" s="59"/>
      <c r="J214" s="59"/>
      <c r="K214" s="59"/>
      <c r="L214" s="5">
        <f t="shared" si="9"/>
        <v>0</v>
      </c>
    </row>
    <row r="215" spans="2:12" x14ac:dyDescent="0.3">
      <c r="B215" s="28" t="str">
        <f t="shared" ca="1" si="10"/>
        <v/>
      </c>
      <c r="C215" s="29" t="str">
        <f t="shared" ca="1" si="11"/>
        <v/>
      </c>
      <c r="D215" s="57"/>
      <c r="E215" s="57"/>
      <c r="F215" s="57"/>
      <c r="G215" s="58"/>
      <c r="H215" s="58"/>
      <c r="I215" s="59"/>
      <c r="J215" s="59"/>
      <c r="K215" s="59"/>
      <c r="L215" s="5">
        <f t="shared" si="9"/>
        <v>0</v>
      </c>
    </row>
    <row r="216" spans="2:12" x14ac:dyDescent="0.3">
      <c r="B216" s="28" t="str">
        <f t="shared" ca="1" si="10"/>
        <v/>
      </c>
      <c r="C216" s="29" t="str">
        <f t="shared" ca="1" si="11"/>
        <v/>
      </c>
      <c r="D216" s="57"/>
      <c r="E216" s="57"/>
      <c r="F216" s="57"/>
      <c r="G216" s="58"/>
      <c r="H216" s="58"/>
      <c r="I216" s="59"/>
      <c r="J216" s="59"/>
      <c r="K216" s="59"/>
      <c r="L216" s="5">
        <f t="shared" si="9"/>
        <v>0</v>
      </c>
    </row>
    <row r="217" spans="2:12" x14ac:dyDescent="0.3">
      <c r="B217" s="28" t="str">
        <f t="shared" ca="1" si="10"/>
        <v/>
      </c>
      <c r="C217" s="29" t="str">
        <f t="shared" ca="1" si="11"/>
        <v/>
      </c>
      <c r="D217" s="57"/>
      <c r="E217" s="57"/>
      <c r="F217" s="57"/>
      <c r="G217" s="58"/>
      <c r="H217" s="58"/>
      <c r="I217" s="59"/>
      <c r="J217" s="59"/>
      <c r="K217" s="59"/>
      <c r="L217" s="5">
        <f t="shared" si="9"/>
        <v>0</v>
      </c>
    </row>
    <row r="218" spans="2:12" x14ac:dyDescent="0.3">
      <c r="B218" s="28" t="str">
        <f t="shared" ca="1" si="10"/>
        <v/>
      </c>
      <c r="C218" s="29" t="str">
        <f t="shared" ca="1" si="11"/>
        <v/>
      </c>
      <c r="D218" s="57"/>
      <c r="E218" s="57"/>
      <c r="F218" s="57"/>
      <c r="G218" s="58"/>
      <c r="H218" s="58"/>
      <c r="I218" s="59"/>
      <c r="J218" s="59"/>
      <c r="K218" s="59"/>
      <c r="L218" s="5">
        <f t="shared" si="9"/>
        <v>0</v>
      </c>
    </row>
    <row r="219" spans="2:12" x14ac:dyDescent="0.3">
      <c r="B219" s="28" t="str">
        <f t="shared" ca="1" si="10"/>
        <v/>
      </c>
      <c r="C219" s="29" t="str">
        <f t="shared" ca="1" si="11"/>
        <v/>
      </c>
      <c r="D219" s="57"/>
      <c r="E219" s="57"/>
      <c r="F219" s="57"/>
      <c r="G219" s="58"/>
      <c r="H219" s="58"/>
      <c r="I219" s="59"/>
      <c r="J219" s="59"/>
      <c r="K219" s="59"/>
      <c r="L219" s="5">
        <f t="shared" si="9"/>
        <v>0</v>
      </c>
    </row>
    <row r="220" spans="2:12" x14ac:dyDescent="0.3">
      <c r="B220" s="28" t="str">
        <f t="shared" ca="1" si="10"/>
        <v/>
      </c>
      <c r="C220" s="29" t="str">
        <f t="shared" ca="1" si="11"/>
        <v/>
      </c>
      <c r="D220" s="57"/>
      <c r="E220" s="57"/>
      <c r="F220" s="57"/>
      <c r="G220" s="58"/>
      <c r="H220" s="58"/>
      <c r="I220" s="59"/>
      <c r="J220" s="59"/>
      <c r="K220" s="59"/>
      <c r="L220" s="5">
        <f t="shared" si="9"/>
        <v>0</v>
      </c>
    </row>
    <row r="221" spans="2:12" x14ac:dyDescent="0.3">
      <c r="B221" s="28" t="str">
        <f t="shared" ca="1" si="10"/>
        <v/>
      </c>
      <c r="C221" s="29" t="str">
        <f t="shared" ca="1" si="11"/>
        <v/>
      </c>
      <c r="D221" s="57"/>
      <c r="E221" s="57"/>
      <c r="F221" s="57"/>
      <c r="G221" s="58"/>
      <c r="H221" s="58"/>
      <c r="I221" s="59"/>
      <c r="J221" s="59"/>
      <c r="K221" s="59"/>
      <c r="L221" s="5">
        <f t="shared" si="9"/>
        <v>0</v>
      </c>
    </row>
    <row r="222" spans="2:12" x14ac:dyDescent="0.3">
      <c r="B222" s="28" t="str">
        <f t="shared" ca="1" si="10"/>
        <v/>
      </c>
      <c r="C222" s="29" t="str">
        <f t="shared" ca="1" si="11"/>
        <v/>
      </c>
      <c r="D222" s="57"/>
      <c r="E222" s="57"/>
      <c r="F222" s="57"/>
      <c r="G222" s="58"/>
      <c r="H222" s="58"/>
      <c r="I222" s="59"/>
      <c r="J222" s="59"/>
      <c r="K222" s="59"/>
      <c r="L222" s="5">
        <f t="shared" si="9"/>
        <v>0</v>
      </c>
    </row>
    <row r="223" spans="2:12" x14ac:dyDescent="0.3">
      <c r="B223" s="28" t="str">
        <f t="shared" ca="1" si="10"/>
        <v/>
      </c>
      <c r="C223" s="29" t="str">
        <f t="shared" ca="1" si="11"/>
        <v/>
      </c>
      <c r="D223" s="57"/>
      <c r="E223" s="57"/>
      <c r="F223" s="57"/>
      <c r="G223" s="58"/>
      <c r="H223" s="58"/>
      <c r="I223" s="59"/>
      <c r="J223" s="59"/>
      <c r="K223" s="59"/>
      <c r="L223" s="5">
        <f t="shared" si="9"/>
        <v>0</v>
      </c>
    </row>
    <row r="224" spans="2:12" x14ac:dyDescent="0.3">
      <c r="B224" s="28" t="str">
        <f t="shared" ca="1" si="10"/>
        <v/>
      </c>
      <c r="C224" s="29" t="str">
        <f t="shared" ca="1" si="11"/>
        <v/>
      </c>
      <c r="D224" s="57"/>
      <c r="E224" s="57"/>
      <c r="F224" s="57"/>
      <c r="G224" s="58"/>
      <c r="H224" s="58"/>
      <c r="I224" s="59"/>
      <c r="J224" s="59"/>
      <c r="K224" s="59"/>
      <c r="L224" s="5">
        <f t="shared" si="9"/>
        <v>0</v>
      </c>
    </row>
    <row r="225" spans="2:12" x14ac:dyDescent="0.3">
      <c r="B225" s="28" t="str">
        <f t="shared" ca="1" si="10"/>
        <v/>
      </c>
      <c r="C225" s="29" t="str">
        <f t="shared" ca="1" si="11"/>
        <v/>
      </c>
      <c r="D225" s="57"/>
      <c r="E225" s="57"/>
      <c r="F225" s="57"/>
      <c r="G225" s="58"/>
      <c r="H225" s="58"/>
      <c r="I225" s="59"/>
      <c r="J225" s="59"/>
      <c r="K225" s="59"/>
      <c r="L225" s="5">
        <f t="shared" si="9"/>
        <v>0</v>
      </c>
    </row>
    <row r="226" spans="2:12" x14ac:dyDescent="0.3">
      <c r="B226" s="28" t="str">
        <f t="shared" ca="1" si="10"/>
        <v/>
      </c>
      <c r="C226" s="29" t="str">
        <f t="shared" ca="1" si="11"/>
        <v/>
      </c>
      <c r="D226" s="57"/>
      <c r="E226" s="57"/>
      <c r="F226" s="57"/>
      <c r="G226" s="58"/>
      <c r="H226" s="58"/>
      <c r="I226" s="59"/>
      <c r="J226" s="59"/>
      <c r="K226" s="59"/>
      <c r="L226" s="5">
        <f t="shared" si="9"/>
        <v>0</v>
      </c>
    </row>
    <row r="227" spans="2:12" x14ac:dyDescent="0.3">
      <c r="B227" s="28" t="str">
        <f t="shared" ca="1" si="10"/>
        <v/>
      </c>
      <c r="C227" s="29" t="str">
        <f t="shared" ca="1" si="11"/>
        <v/>
      </c>
      <c r="D227" s="57"/>
      <c r="E227" s="57"/>
      <c r="F227" s="57"/>
      <c r="G227" s="58"/>
      <c r="H227" s="58"/>
      <c r="I227" s="59"/>
      <c r="J227" s="59"/>
      <c r="K227" s="59"/>
      <c r="L227" s="5">
        <f t="shared" si="9"/>
        <v>0</v>
      </c>
    </row>
    <row r="228" spans="2:12" x14ac:dyDescent="0.3">
      <c r="B228" s="28" t="str">
        <f t="shared" ca="1" si="10"/>
        <v/>
      </c>
      <c r="C228" s="29" t="str">
        <f t="shared" ca="1" si="11"/>
        <v/>
      </c>
      <c r="D228" s="57"/>
      <c r="E228" s="57"/>
      <c r="F228" s="57"/>
      <c r="G228" s="58"/>
      <c r="H228" s="58"/>
      <c r="I228" s="59"/>
      <c r="J228" s="59"/>
      <c r="K228" s="59"/>
      <c r="L228" s="5">
        <f t="shared" si="9"/>
        <v>0</v>
      </c>
    </row>
    <row r="229" spans="2:12" x14ac:dyDescent="0.3">
      <c r="B229" s="28" t="str">
        <f t="shared" ca="1" si="10"/>
        <v/>
      </c>
      <c r="C229" s="29" t="str">
        <f t="shared" ca="1" si="11"/>
        <v/>
      </c>
      <c r="D229" s="57"/>
      <c r="E229" s="57"/>
      <c r="F229" s="57"/>
      <c r="G229" s="58"/>
      <c r="H229" s="58"/>
      <c r="I229" s="59"/>
      <c r="J229" s="59"/>
      <c r="K229" s="59"/>
      <c r="L229" s="5">
        <f t="shared" si="9"/>
        <v>0</v>
      </c>
    </row>
    <row r="230" spans="2:12" x14ac:dyDescent="0.3">
      <c r="B230" s="28" t="str">
        <f t="shared" ca="1" si="10"/>
        <v/>
      </c>
      <c r="C230" s="29" t="str">
        <f t="shared" ca="1" si="11"/>
        <v/>
      </c>
      <c r="D230" s="57"/>
      <c r="E230" s="57"/>
      <c r="F230" s="57"/>
      <c r="G230" s="58"/>
      <c r="H230" s="58"/>
      <c r="I230" s="59"/>
      <c r="J230" s="59"/>
      <c r="K230" s="59"/>
      <c r="L230" s="5">
        <f t="shared" si="9"/>
        <v>0</v>
      </c>
    </row>
    <row r="231" spans="2:12" x14ac:dyDescent="0.3">
      <c r="B231" s="28" t="str">
        <f t="shared" ca="1" si="10"/>
        <v/>
      </c>
      <c r="C231" s="29" t="str">
        <f t="shared" ca="1" si="11"/>
        <v/>
      </c>
      <c r="D231" s="57"/>
      <c r="E231" s="57"/>
      <c r="F231" s="57"/>
      <c r="G231" s="58"/>
      <c r="H231" s="58"/>
      <c r="I231" s="59"/>
      <c r="J231" s="59"/>
      <c r="K231" s="59"/>
      <c r="L231" s="5">
        <f t="shared" si="9"/>
        <v>0</v>
      </c>
    </row>
    <row r="232" spans="2:12" x14ac:dyDescent="0.3">
      <c r="B232" s="28" t="str">
        <f t="shared" ca="1" si="10"/>
        <v/>
      </c>
      <c r="C232" s="29" t="str">
        <f t="shared" ca="1" si="11"/>
        <v/>
      </c>
      <c r="D232" s="57"/>
      <c r="E232" s="57"/>
      <c r="F232" s="57"/>
      <c r="G232" s="58"/>
      <c r="H232" s="58"/>
      <c r="I232" s="59"/>
      <c r="J232" s="59"/>
      <c r="K232" s="59"/>
      <c r="L232" s="5">
        <f t="shared" si="9"/>
        <v>0</v>
      </c>
    </row>
    <row r="233" spans="2:12" x14ac:dyDescent="0.3">
      <c r="B233" s="28" t="str">
        <f t="shared" ca="1" si="10"/>
        <v/>
      </c>
      <c r="C233" s="29" t="str">
        <f t="shared" ca="1" si="11"/>
        <v/>
      </c>
      <c r="D233" s="57"/>
      <c r="E233" s="57"/>
      <c r="F233" s="57"/>
      <c r="G233" s="58"/>
      <c r="H233" s="58"/>
      <c r="I233" s="59"/>
      <c r="J233" s="59"/>
      <c r="K233" s="59"/>
      <c r="L233" s="5">
        <f t="shared" si="9"/>
        <v>0</v>
      </c>
    </row>
    <row r="234" spans="2:12" x14ac:dyDescent="0.3">
      <c r="B234" s="28" t="str">
        <f t="shared" ca="1" si="10"/>
        <v/>
      </c>
      <c r="C234" s="29" t="str">
        <f t="shared" ca="1" si="11"/>
        <v/>
      </c>
      <c r="D234" s="57"/>
      <c r="E234" s="57"/>
      <c r="F234" s="57"/>
      <c r="G234" s="58"/>
      <c r="H234" s="58"/>
      <c r="I234" s="59"/>
      <c r="J234" s="59"/>
      <c r="K234" s="59"/>
      <c r="L234" s="5">
        <f t="shared" si="9"/>
        <v>0</v>
      </c>
    </row>
    <row r="235" spans="2:12" x14ac:dyDescent="0.3">
      <c r="B235" s="28" t="str">
        <f t="shared" ca="1" si="10"/>
        <v/>
      </c>
      <c r="C235" s="29" t="str">
        <f t="shared" ca="1" si="11"/>
        <v/>
      </c>
      <c r="D235" s="57"/>
      <c r="E235" s="57"/>
      <c r="F235" s="57"/>
      <c r="G235" s="58"/>
      <c r="H235" s="58"/>
      <c r="I235" s="59"/>
      <c r="J235" s="59"/>
      <c r="K235" s="59"/>
      <c r="L235" s="5">
        <f t="shared" si="9"/>
        <v>0</v>
      </c>
    </row>
    <row r="236" spans="2:12" x14ac:dyDescent="0.3">
      <c r="B236" s="28" t="str">
        <f t="shared" ca="1" si="10"/>
        <v/>
      </c>
      <c r="C236" s="29" t="str">
        <f t="shared" ca="1" si="11"/>
        <v/>
      </c>
      <c r="D236" s="57"/>
      <c r="E236" s="57"/>
      <c r="F236" s="57"/>
      <c r="G236" s="58"/>
      <c r="H236" s="58"/>
      <c r="I236" s="59"/>
      <c r="J236" s="59"/>
      <c r="K236" s="59"/>
      <c r="L236" s="5">
        <f t="shared" si="9"/>
        <v>0</v>
      </c>
    </row>
    <row r="237" spans="2:12" x14ac:dyDescent="0.3">
      <c r="B237" s="28" t="str">
        <f t="shared" ca="1" si="10"/>
        <v/>
      </c>
      <c r="C237" s="29" t="str">
        <f t="shared" ca="1" si="11"/>
        <v/>
      </c>
      <c r="D237" s="57"/>
      <c r="E237" s="57"/>
      <c r="F237" s="57"/>
      <c r="G237" s="58"/>
      <c r="H237" s="58"/>
      <c r="I237" s="59"/>
      <c r="J237" s="59"/>
      <c r="K237" s="59"/>
      <c r="L237" s="5">
        <f t="shared" si="9"/>
        <v>0</v>
      </c>
    </row>
    <row r="238" spans="2:12" x14ac:dyDescent="0.3">
      <c r="B238" s="28" t="str">
        <f t="shared" ca="1" si="10"/>
        <v/>
      </c>
      <c r="C238" s="29" t="str">
        <f t="shared" ca="1" si="11"/>
        <v/>
      </c>
      <c r="D238" s="57"/>
      <c r="E238" s="57"/>
      <c r="F238" s="57"/>
      <c r="G238" s="58"/>
      <c r="H238" s="58"/>
      <c r="I238" s="59"/>
      <c r="J238" s="59"/>
      <c r="K238" s="59"/>
      <c r="L238" s="5">
        <f t="shared" si="9"/>
        <v>0</v>
      </c>
    </row>
    <row r="239" spans="2:12" x14ac:dyDescent="0.3">
      <c r="B239" s="28" t="str">
        <f t="shared" ca="1" si="10"/>
        <v/>
      </c>
      <c r="C239" s="29" t="str">
        <f t="shared" ca="1" si="11"/>
        <v/>
      </c>
      <c r="D239" s="57"/>
      <c r="E239" s="57"/>
      <c r="F239" s="57"/>
      <c r="G239" s="58"/>
      <c r="H239" s="58"/>
      <c r="I239" s="59"/>
      <c r="J239" s="59"/>
      <c r="K239" s="59"/>
      <c r="L239" s="5">
        <f t="shared" si="9"/>
        <v>0</v>
      </c>
    </row>
    <row r="240" spans="2:12" x14ac:dyDescent="0.3">
      <c r="B240" s="28" t="str">
        <f t="shared" ca="1" si="10"/>
        <v/>
      </c>
      <c r="C240" s="29" t="str">
        <f t="shared" ca="1" si="11"/>
        <v/>
      </c>
      <c r="D240" s="57"/>
      <c r="E240" s="57"/>
      <c r="F240" s="57"/>
      <c r="G240" s="58"/>
      <c r="H240" s="58"/>
      <c r="I240" s="59"/>
      <c r="J240" s="59"/>
      <c r="K240" s="59"/>
      <c r="L240" s="5">
        <f t="shared" si="9"/>
        <v>0</v>
      </c>
    </row>
    <row r="241" spans="2:12" x14ac:dyDescent="0.3">
      <c r="B241" s="28" t="str">
        <f t="shared" ca="1" si="10"/>
        <v/>
      </c>
      <c r="C241" s="29" t="str">
        <f t="shared" ca="1" si="11"/>
        <v/>
      </c>
      <c r="D241" s="57"/>
      <c r="E241" s="57"/>
      <c r="F241" s="57"/>
      <c r="G241" s="58"/>
      <c r="H241" s="58"/>
      <c r="I241" s="59"/>
      <c r="J241" s="59"/>
      <c r="K241" s="59"/>
      <c r="L241" s="5">
        <f t="shared" si="9"/>
        <v>0</v>
      </c>
    </row>
    <row r="242" spans="2:12" x14ac:dyDescent="0.3">
      <c r="B242" s="28" t="str">
        <f t="shared" ca="1" si="10"/>
        <v/>
      </c>
      <c r="C242" s="29" t="str">
        <f t="shared" ca="1" si="11"/>
        <v/>
      </c>
      <c r="D242" s="57"/>
      <c r="E242" s="57"/>
      <c r="F242" s="57"/>
      <c r="G242" s="58"/>
      <c r="H242" s="58"/>
      <c r="I242" s="59"/>
      <c r="J242" s="59"/>
      <c r="K242" s="59"/>
      <c r="L242" s="5">
        <f t="shared" si="9"/>
        <v>0</v>
      </c>
    </row>
    <row r="243" spans="2:12" x14ac:dyDescent="0.3">
      <c r="B243" s="28" t="str">
        <f t="shared" ca="1" si="10"/>
        <v/>
      </c>
      <c r="C243" s="29" t="str">
        <f t="shared" ca="1" si="11"/>
        <v/>
      </c>
      <c r="D243" s="57"/>
      <c r="E243" s="57"/>
      <c r="F243" s="57"/>
      <c r="G243" s="58"/>
      <c r="H243" s="58"/>
      <c r="I243" s="59"/>
      <c r="J243" s="59"/>
      <c r="K243" s="59"/>
      <c r="L243" s="5">
        <f t="shared" si="9"/>
        <v>0</v>
      </c>
    </row>
    <row r="244" spans="2:12" x14ac:dyDescent="0.3">
      <c r="B244" s="28" t="str">
        <f t="shared" ca="1" si="10"/>
        <v/>
      </c>
      <c r="C244" s="29" t="str">
        <f t="shared" ca="1" si="11"/>
        <v/>
      </c>
      <c r="D244" s="57"/>
      <c r="E244" s="57"/>
      <c r="F244" s="57"/>
      <c r="G244" s="58"/>
      <c r="H244" s="58"/>
      <c r="I244" s="59"/>
      <c r="J244" s="59"/>
      <c r="K244" s="59"/>
      <c r="L244" s="5">
        <f t="shared" si="9"/>
        <v>0</v>
      </c>
    </row>
    <row r="245" spans="2:12" x14ac:dyDescent="0.3">
      <c r="B245" s="28" t="str">
        <f t="shared" ca="1" si="10"/>
        <v/>
      </c>
      <c r="C245" s="29" t="str">
        <f t="shared" ca="1" si="11"/>
        <v/>
      </c>
      <c r="D245" s="57"/>
      <c r="E245" s="57"/>
      <c r="F245" s="57"/>
      <c r="G245" s="58"/>
      <c r="H245" s="58"/>
      <c r="I245" s="59"/>
      <c r="J245" s="59"/>
      <c r="K245" s="59"/>
      <c r="L245" s="5">
        <f t="shared" si="9"/>
        <v>0</v>
      </c>
    </row>
    <row r="246" spans="2:12" x14ac:dyDescent="0.3">
      <c r="B246" s="28" t="str">
        <f t="shared" ca="1" si="10"/>
        <v/>
      </c>
      <c r="C246" s="29" t="str">
        <f t="shared" ca="1" si="11"/>
        <v/>
      </c>
      <c r="D246" s="57"/>
      <c r="E246" s="57"/>
      <c r="F246" s="57"/>
      <c r="G246" s="58"/>
      <c r="H246" s="58"/>
      <c r="I246" s="59"/>
      <c r="J246" s="59"/>
      <c r="K246" s="59"/>
      <c r="L246" s="5">
        <f t="shared" si="9"/>
        <v>0</v>
      </c>
    </row>
    <row r="247" spans="2:12" x14ac:dyDescent="0.3">
      <c r="B247" s="28" t="str">
        <f t="shared" ca="1" si="10"/>
        <v/>
      </c>
      <c r="C247" s="29" t="str">
        <f t="shared" ca="1" si="11"/>
        <v/>
      </c>
      <c r="D247" s="57"/>
      <c r="E247" s="57"/>
      <c r="F247" s="57"/>
      <c r="G247" s="58"/>
      <c r="H247" s="58"/>
      <c r="I247" s="59"/>
      <c r="J247" s="59"/>
      <c r="K247" s="59"/>
      <c r="L247" s="5">
        <f t="shared" si="9"/>
        <v>0</v>
      </c>
    </row>
    <row r="248" spans="2:12" x14ac:dyDescent="0.3">
      <c r="B248" s="28" t="str">
        <f t="shared" ca="1" si="10"/>
        <v/>
      </c>
      <c r="C248" s="29" t="str">
        <f t="shared" ca="1" si="11"/>
        <v/>
      </c>
      <c r="D248" s="57"/>
      <c r="E248" s="57"/>
      <c r="F248" s="57"/>
      <c r="G248" s="58"/>
      <c r="H248" s="58"/>
      <c r="I248" s="59"/>
      <c r="J248" s="59"/>
      <c r="K248" s="59"/>
      <c r="L248" s="5">
        <f t="shared" si="9"/>
        <v>0</v>
      </c>
    </row>
    <row r="249" spans="2:12" x14ac:dyDescent="0.3">
      <c r="B249" s="28" t="str">
        <f t="shared" ca="1" si="10"/>
        <v/>
      </c>
      <c r="C249" s="29" t="str">
        <f t="shared" ca="1" si="11"/>
        <v/>
      </c>
      <c r="D249" s="57"/>
      <c r="E249" s="57"/>
      <c r="F249" s="57"/>
      <c r="G249" s="58"/>
      <c r="H249" s="58"/>
      <c r="I249" s="59"/>
      <c r="J249" s="59"/>
      <c r="K249" s="59"/>
      <c r="L249" s="5">
        <f t="shared" si="9"/>
        <v>0</v>
      </c>
    </row>
    <row r="250" spans="2:12" x14ac:dyDescent="0.3">
      <c r="B250" s="28" t="str">
        <f t="shared" ca="1" si="10"/>
        <v/>
      </c>
      <c r="C250" s="29" t="str">
        <f t="shared" ca="1" si="11"/>
        <v/>
      </c>
      <c r="D250" s="57"/>
      <c r="E250" s="57"/>
      <c r="F250" s="57"/>
      <c r="G250" s="58"/>
      <c r="H250" s="58"/>
      <c r="I250" s="59"/>
      <c r="J250" s="59"/>
      <c r="K250" s="59"/>
      <c r="L250" s="5">
        <f t="shared" si="9"/>
        <v>0</v>
      </c>
    </row>
    <row r="251" spans="2:12" x14ac:dyDescent="0.3">
      <c r="B251" s="28" t="str">
        <f t="shared" ca="1" si="10"/>
        <v/>
      </c>
      <c r="C251" s="29" t="str">
        <f t="shared" ca="1" si="11"/>
        <v/>
      </c>
      <c r="D251" s="57"/>
      <c r="E251" s="57"/>
      <c r="F251" s="57"/>
      <c r="G251" s="58"/>
      <c r="H251" s="58"/>
      <c r="I251" s="59"/>
      <c r="J251" s="59"/>
      <c r="K251" s="59"/>
      <c r="L251" s="5">
        <f t="shared" si="9"/>
        <v>0</v>
      </c>
    </row>
    <row r="252" spans="2:12" x14ac:dyDescent="0.3">
      <c r="B252" s="28" t="str">
        <f t="shared" ca="1" si="10"/>
        <v/>
      </c>
      <c r="C252" s="29" t="str">
        <f t="shared" ca="1" si="11"/>
        <v/>
      </c>
      <c r="D252" s="57"/>
      <c r="E252" s="57"/>
      <c r="F252" s="57"/>
      <c r="G252" s="58"/>
      <c r="H252" s="58"/>
      <c r="I252" s="59"/>
      <c r="J252" s="59"/>
      <c r="K252" s="59"/>
      <c r="L252" s="5">
        <f t="shared" si="9"/>
        <v>0</v>
      </c>
    </row>
    <row r="253" spans="2:12" x14ac:dyDescent="0.3">
      <c r="B253" s="28" t="str">
        <f t="shared" ca="1" si="10"/>
        <v/>
      </c>
      <c r="C253" s="29" t="str">
        <f t="shared" ca="1" si="11"/>
        <v/>
      </c>
      <c r="D253" s="57"/>
      <c r="E253" s="57"/>
      <c r="F253" s="57"/>
      <c r="G253" s="58"/>
      <c r="H253" s="58"/>
      <c r="I253" s="59"/>
      <c r="J253" s="59"/>
      <c r="K253" s="59"/>
      <c r="L253" s="5">
        <f t="shared" si="9"/>
        <v>0</v>
      </c>
    </row>
    <row r="254" spans="2:12" x14ac:dyDescent="0.3">
      <c r="B254" s="28" t="str">
        <f t="shared" ca="1" si="10"/>
        <v/>
      </c>
      <c r="C254" s="29" t="str">
        <f t="shared" ca="1" si="11"/>
        <v/>
      </c>
      <c r="D254" s="57"/>
      <c r="E254" s="57"/>
      <c r="F254" s="57"/>
      <c r="G254" s="58"/>
      <c r="H254" s="58"/>
      <c r="I254" s="59"/>
      <c r="J254" s="59"/>
      <c r="K254" s="59"/>
      <c r="L254" s="5">
        <f t="shared" si="9"/>
        <v>0</v>
      </c>
    </row>
    <row r="255" spans="2:12" x14ac:dyDescent="0.3">
      <c r="B255" s="28" t="str">
        <f t="shared" ca="1" si="10"/>
        <v/>
      </c>
      <c r="C255" s="29" t="str">
        <f t="shared" ca="1" si="11"/>
        <v/>
      </c>
      <c r="D255" s="57"/>
      <c r="E255" s="57"/>
      <c r="F255" s="57"/>
      <c r="G255" s="58"/>
      <c r="H255" s="58"/>
      <c r="I255" s="59"/>
      <c r="J255" s="59"/>
      <c r="K255" s="59"/>
      <c r="L255" s="5">
        <f t="shared" si="9"/>
        <v>0</v>
      </c>
    </row>
    <row r="256" spans="2:12" x14ac:dyDescent="0.3">
      <c r="B256" s="28" t="str">
        <f t="shared" ca="1" si="10"/>
        <v/>
      </c>
      <c r="C256" s="29" t="str">
        <f t="shared" ca="1" si="11"/>
        <v/>
      </c>
      <c r="D256" s="57"/>
      <c r="E256" s="57"/>
      <c r="F256" s="57"/>
      <c r="G256" s="58"/>
      <c r="H256" s="58"/>
      <c r="I256" s="59"/>
      <c r="J256" s="59"/>
      <c r="K256" s="59"/>
      <c r="L256" s="5">
        <f t="shared" si="9"/>
        <v>0</v>
      </c>
    </row>
    <row r="257" spans="2:12" x14ac:dyDescent="0.3">
      <c r="B257" s="28" t="str">
        <f t="shared" ca="1" si="10"/>
        <v/>
      </c>
      <c r="C257" s="29" t="str">
        <f t="shared" ca="1" si="11"/>
        <v/>
      </c>
      <c r="D257" s="57"/>
      <c r="E257" s="57"/>
      <c r="F257" s="57"/>
      <c r="G257" s="58"/>
      <c r="H257" s="58"/>
      <c r="I257" s="59"/>
      <c r="J257" s="59"/>
      <c r="K257" s="59"/>
      <c r="L257" s="5">
        <f t="shared" si="9"/>
        <v>0</v>
      </c>
    </row>
    <row r="258" spans="2:12" x14ac:dyDescent="0.3">
      <c r="B258" s="28" t="str">
        <f t="shared" ca="1" si="10"/>
        <v/>
      </c>
      <c r="C258" s="29" t="str">
        <f t="shared" ca="1" si="11"/>
        <v/>
      </c>
      <c r="D258" s="57"/>
      <c r="E258" s="57"/>
      <c r="F258" s="57"/>
      <c r="G258" s="58"/>
      <c r="H258" s="58"/>
      <c r="I258" s="59"/>
      <c r="J258" s="59"/>
      <c r="K258" s="59"/>
      <c r="L258" s="5">
        <f t="shared" si="9"/>
        <v>0</v>
      </c>
    </row>
    <row r="259" spans="2:12" x14ac:dyDescent="0.3">
      <c r="B259" s="28" t="str">
        <f t="shared" ca="1" si="10"/>
        <v/>
      </c>
      <c r="C259" s="29" t="str">
        <f t="shared" ca="1" si="11"/>
        <v/>
      </c>
      <c r="D259" s="57"/>
      <c r="E259" s="57"/>
      <c r="F259" s="57"/>
      <c r="G259" s="58"/>
      <c r="H259" s="58"/>
      <c r="I259" s="59"/>
      <c r="J259" s="59"/>
      <c r="K259" s="59"/>
      <c r="L259" s="5">
        <f t="shared" si="9"/>
        <v>0</v>
      </c>
    </row>
    <row r="260" spans="2:12" x14ac:dyDescent="0.3">
      <c r="B260" s="28" t="str">
        <f t="shared" ca="1" si="10"/>
        <v/>
      </c>
      <c r="C260" s="29" t="str">
        <f t="shared" ca="1" si="11"/>
        <v/>
      </c>
      <c r="D260" s="57"/>
      <c r="E260" s="57"/>
      <c r="F260" s="57"/>
      <c r="G260" s="58"/>
      <c r="H260" s="58"/>
      <c r="I260" s="59"/>
      <c r="J260" s="59"/>
      <c r="K260" s="59"/>
      <c r="L260" s="5">
        <f t="shared" si="9"/>
        <v>0</v>
      </c>
    </row>
    <row r="261" spans="2:12" x14ac:dyDescent="0.3">
      <c r="B261" s="28" t="str">
        <f t="shared" ca="1" si="10"/>
        <v/>
      </c>
      <c r="C261" s="29" t="str">
        <f t="shared" ca="1" si="11"/>
        <v/>
      </c>
      <c r="D261" s="57"/>
      <c r="E261" s="57"/>
      <c r="F261" s="57"/>
      <c r="G261" s="58"/>
      <c r="H261" s="58"/>
      <c r="I261" s="59"/>
      <c r="J261" s="59"/>
      <c r="K261" s="59"/>
      <c r="L261" s="5">
        <f t="shared" si="9"/>
        <v>0</v>
      </c>
    </row>
    <row r="262" spans="2:12" x14ac:dyDescent="0.3">
      <c r="B262" s="28" t="str">
        <f t="shared" ca="1" si="10"/>
        <v/>
      </c>
      <c r="C262" s="29" t="str">
        <f t="shared" ca="1" si="11"/>
        <v/>
      </c>
      <c r="D262" s="57"/>
      <c r="E262" s="57"/>
      <c r="F262" s="57"/>
      <c r="G262" s="58"/>
      <c r="H262" s="58"/>
      <c r="I262" s="59"/>
      <c r="J262" s="59"/>
      <c r="K262" s="59"/>
      <c r="L262" s="5">
        <f t="shared" si="9"/>
        <v>0</v>
      </c>
    </row>
    <row r="263" spans="2:12" x14ac:dyDescent="0.3">
      <c r="B263" s="28" t="str">
        <f t="shared" ca="1" si="10"/>
        <v/>
      </c>
      <c r="C263" s="29" t="str">
        <f t="shared" ca="1" si="11"/>
        <v/>
      </c>
      <c r="D263" s="57"/>
      <c r="E263" s="57"/>
      <c r="F263" s="57"/>
      <c r="G263" s="58"/>
      <c r="H263" s="58"/>
      <c r="I263" s="59"/>
      <c r="J263" s="59"/>
      <c r="K263" s="59"/>
      <c r="L263" s="5">
        <f t="shared" si="9"/>
        <v>0</v>
      </c>
    </row>
    <row r="264" spans="2:12" x14ac:dyDescent="0.3">
      <c r="B264" s="28" t="str">
        <f t="shared" ca="1" si="10"/>
        <v/>
      </c>
      <c r="C264" s="29" t="str">
        <f t="shared" ca="1" si="11"/>
        <v/>
      </c>
      <c r="D264" s="57"/>
      <c r="E264" s="57"/>
      <c r="F264" s="57"/>
      <c r="G264" s="58"/>
      <c r="H264" s="58"/>
      <c r="I264" s="59"/>
      <c r="J264" s="59"/>
      <c r="K264" s="59"/>
      <c r="L264" s="5">
        <f t="shared" si="9"/>
        <v>0</v>
      </c>
    </row>
    <row r="265" spans="2:12" x14ac:dyDescent="0.3">
      <c r="B265" s="28" t="str">
        <f t="shared" ca="1" si="10"/>
        <v/>
      </c>
      <c r="C265" s="29" t="str">
        <f t="shared" ca="1" si="11"/>
        <v/>
      </c>
      <c r="D265" s="57"/>
      <c r="E265" s="57"/>
      <c r="F265" s="57"/>
      <c r="G265" s="58"/>
      <c r="H265" s="58"/>
      <c r="I265" s="59"/>
      <c r="J265" s="59"/>
      <c r="K265" s="59"/>
      <c r="L265" s="5">
        <f t="shared" si="9"/>
        <v>0</v>
      </c>
    </row>
    <row r="266" spans="2:12" x14ac:dyDescent="0.3">
      <c r="B266" s="28" t="str">
        <f t="shared" ca="1" si="10"/>
        <v/>
      </c>
      <c r="C266" s="29" t="str">
        <f t="shared" ca="1" si="11"/>
        <v/>
      </c>
      <c r="D266" s="57"/>
      <c r="E266" s="57"/>
      <c r="F266" s="57"/>
      <c r="G266" s="58"/>
      <c r="H266" s="58"/>
      <c r="I266" s="59"/>
      <c r="J266" s="59"/>
      <c r="K266" s="59"/>
      <c r="L266" s="5">
        <f t="shared" ref="L266:L329" si="12">J266-I266-K266</f>
        <v>0</v>
      </c>
    </row>
    <row r="267" spans="2:12" x14ac:dyDescent="0.3">
      <c r="B267" s="28" t="str">
        <f t="shared" ref="B267:B330" ca="1" si="13">IF(D267&lt;&gt;"",DATE(Jahr,_xlfn.SHEET()-2,D267),"")</f>
        <v/>
      </c>
      <c r="C267" s="29" t="str">
        <f t="shared" ref="C267:C330" ca="1" si="14">B267</f>
        <v/>
      </c>
      <c r="D267" s="57"/>
      <c r="E267" s="57"/>
      <c r="F267" s="57"/>
      <c r="G267" s="58"/>
      <c r="H267" s="58"/>
      <c r="I267" s="59"/>
      <c r="J267" s="59"/>
      <c r="K267" s="59"/>
      <c r="L267" s="5">
        <f t="shared" si="12"/>
        <v>0</v>
      </c>
    </row>
    <row r="268" spans="2:12" x14ac:dyDescent="0.3">
      <c r="B268" s="28" t="str">
        <f t="shared" ca="1" si="13"/>
        <v/>
      </c>
      <c r="C268" s="29" t="str">
        <f t="shared" ca="1" si="14"/>
        <v/>
      </c>
      <c r="D268" s="57"/>
      <c r="E268" s="57"/>
      <c r="F268" s="57"/>
      <c r="G268" s="58"/>
      <c r="H268" s="58"/>
      <c r="I268" s="59"/>
      <c r="J268" s="59"/>
      <c r="K268" s="59"/>
      <c r="L268" s="5">
        <f t="shared" si="12"/>
        <v>0</v>
      </c>
    </row>
    <row r="269" spans="2:12" x14ac:dyDescent="0.3">
      <c r="B269" s="28" t="str">
        <f t="shared" ca="1" si="13"/>
        <v/>
      </c>
      <c r="C269" s="29" t="str">
        <f t="shared" ca="1" si="14"/>
        <v/>
      </c>
      <c r="D269" s="57"/>
      <c r="E269" s="57"/>
      <c r="F269" s="57"/>
      <c r="G269" s="58"/>
      <c r="H269" s="58"/>
      <c r="I269" s="59"/>
      <c r="J269" s="59"/>
      <c r="K269" s="59"/>
      <c r="L269" s="5">
        <f t="shared" si="12"/>
        <v>0</v>
      </c>
    </row>
    <row r="270" spans="2:12" x14ac:dyDescent="0.3">
      <c r="B270" s="28" t="str">
        <f t="shared" ca="1" si="13"/>
        <v/>
      </c>
      <c r="C270" s="29" t="str">
        <f t="shared" ca="1" si="14"/>
        <v/>
      </c>
      <c r="D270" s="57"/>
      <c r="E270" s="57"/>
      <c r="F270" s="57"/>
      <c r="G270" s="58"/>
      <c r="H270" s="58"/>
      <c r="I270" s="59"/>
      <c r="J270" s="59"/>
      <c r="K270" s="59"/>
      <c r="L270" s="5">
        <f t="shared" si="12"/>
        <v>0</v>
      </c>
    </row>
    <row r="271" spans="2:12" x14ac:dyDescent="0.3">
      <c r="B271" s="28" t="str">
        <f t="shared" ca="1" si="13"/>
        <v/>
      </c>
      <c r="C271" s="29" t="str">
        <f t="shared" ca="1" si="14"/>
        <v/>
      </c>
      <c r="D271" s="57"/>
      <c r="E271" s="57"/>
      <c r="F271" s="57"/>
      <c r="G271" s="58"/>
      <c r="H271" s="58"/>
      <c r="I271" s="59"/>
      <c r="J271" s="59"/>
      <c r="K271" s="59"/>
      <c r="L271" s="5">
        <f t="shared" si="12"/>
        <v>0</v>
      </c>
    </row>
    <row r="272" spans="2:12" x14ac:dyDescent="0.3">
      <c r="B272" s="28" t="str">
        <f t="shared" ca="1" si="13"/>
        <v/>
      </c>
      <c r="C272" s="29" t="str">
        <f t="shared" ca="1" si="14"/>
        <v/>
      </c>
      <c r="D272" s="57"/>
      <c r="E272" s="57"/>
      <c r="F272" s="57"/>
      <c r="G272" s="58"/>
      <c r="H272" s="58"/>
      <c r="I272" s="59"/>
      <c r="J272" s="59"/>
      <c r="K272" s="59"/>
      <c r="L272" s="5">
        <f t="shared" si="12"/>
        <v>0</v>
      </c>
    </row>
    <row r="273" spans="2:12" x14ac:dyDescent="0.3">
      <c r="B273" s="28" t="str">
        <f t="shared" ca="1" si="13"/>
        <v/>
      </c>
      <c r="C273" s="29" t="str">
        <f t="shared" ca="1" si="14"/>
        <v/>
      </c>
      <c r="D273" s="57"/>
      <c r="E273" s="57"/>
      <c r="F273" s="57"/>
      <c r="G273" s="58"/>
      <c r="H273" s="58"/>
      <c r="I273" s="59"/>
      <c r="J273" s="59"/>
      <c r="K273" s="59"/>
      <c r="L273" s="5">
        <f t="shared" si="12"/>
        <v>0</v>
      </c>
    </row>
    <row r="274" spans="2:12" x14ac:dyDescent="0.3">
      <c r="B274" s="28" t="str">
        <f t="shared" ca="1" si="13"/>
        <v/>
      </c>
      <c r="C274" s="29" t="str">
        <f t="shared" ca="1" si="14"/>
        <v/>
      </c>
      <c r="D274" s="57"/>
      <c r="E274" s="57"/>
      <c r="F274" s="57"/>
      <c r="G274" s="58"/>
      <c r="H274" s="58"/>
      <c r="I274" s="59"/>
      <c r="J274" s="59"/>
      <c r="K274" s="59"/>
      <c r="L274" s="5">
        <f t="shared" si="12"/>
        <v>0</v>
      </c>
    </row>
    <row r="275" spans="2:12" x14ac:dyDescent="0.3">
      <c r="B275" s="28" t="str">
        <f t="shared" ca="1" si="13"/>
        <v/>
      </c>
      <c r="C275" s="29" t="str">
        <f t="shared" ca="1" si="14"/>
        <v/>
      </c>
      <c r="D275" s="57"/>
      <c r="E275" s="57"/>
      <c r="F275" s="57"/>
      <c r="G275" s="58"/>
      <c r="H275" s="58"/>
      <c r="I275" s="59"/>
      <c r="J275" s="59"/>
      <c r="K275" s="59"/>
      <c r="L275" s="5">
        <f t="shared" si="12"/>
        <v>0</v>
      </c>
    </row>
    <row r="276" spans="2:12" x14ac:dyDescent="0.3">
      <c r="B276" s="28" t="str">
        <f t="shared" ca="1" si="13"/>
        <v/>
      </c>
      <c r="C276" s="29" t="str">
        <f t="shared" ca="1" si="14"/>
        <v/>
      </c>
      <c r="D276" s="57"/>
      <c r="E276" s="57"/>
      <c r="F276" s="57"/>
      <c r="G276" s="58"/>
      <c r="H276" s="58"/>
      <c r="I276" s="59"/>
      <c r="J276" s="59"/>
      <c r="K276" s="59"/>
      <c r="L276" s="5">
        <f t="shared" si="12"/>
        <v>0</v>
      </c>
    </row>
    <row r="277" spans="2:12" x14ac:dyDescent="0.3">
      <c r="B277" s="28" t="str">
        <f t="shared" ca="1" si="13"/>
        <v/>
      </c>
      <c r="C277" s="29" t="str">
        <f t="shared" ca="1" si="14"/>
        <v/>
      </c>
      <c r="D277" s="57"/>
      <c r="E277" s="57"/>
      <c r="F277" s="57"/>
      <c r="G277" s="58"/>
      <c r="H277" s="58"/>
      <c r="I277" s="59"/>
      <c r="J277" s="59"/>
      <c r="K277" s="59"/>
      <c r="L277" s="5">
        <f t="shared" si="12"/>
        <v>0</v>
      </c>
    </row>
    <row r="278" spans="2:12" x14ac:dyDescent="0.3">
      <c r="B278" s="28" t="str">
        <f t="shared" ca="1" si="13"/>
        <v/>
      </c>
      <c r="C278" s="29" t="str">
        <f t="shared" ca="1" si="14"/>
        <v/>
      </c>
      <c r="D278" s="57"/>
      <c r="E278" s="57"/>
      <c r="F278" s="57"/>
      <c r="G278" s="58"/>
      <c r="H278" s="58"/>
      <c r="I278" s="59"/>
      <c r="J278" s="59"/>
      <c r="K278" s="59"/>
      <c r="L278" s="5">
        <f t="shared" si="12"/>
        <v>0</v>
      </c>
    </row>
    <row r="279" spans="2:12" x14ac:dyDescent="0.3">
      <c r="B279" s="28" t="str">
        <f t="shared" ca="1" si="13"/>
        <v/>
      </c>
      <c r="C279" s="29" t="str">
        <f t="shared" ca="1" si="14"/>
        <v/>
      </c>
      <c r="D279" s="57"/>
      <c r="E279" s="57"/>
      <c r="F279" s="57"/>
      <c r="G279" s="58"/>
      <c r="H279" s="58"/>
      <c r="I279" s="59"/>
      <c r="J279" s="59"/>
      <c r="K279" s="59"/>
      <c r="L279" s="5">
        <f t="shared" si="12"/>
        <v>0</v>
      </c>
    </row>
    <row r="280" spans="2:12" x14ac:dyDescent="0.3">
      <c r="B280" s="28" t="str">
        <f t="shared" ca="1" si="13"/>
        <v/>
      </c>
      <c r="C280" s="29" t="str">
        <f t="shared" ca="1" si="14"/>
        <v/>
      </c>
      <c r="D280" s="57"/>
      <c r="E280" s="57"/>
      <c r="F280" s="57"/>
      <c r="G280" s="58"/>
      <c r="H280" s="58"/>
      <c r="I280" s="59"/>
      <c r="J280" s="59"/>
      <c r="K280" s="59"/>
      <c r="L280" s="5">
        <f t="shared" si="12"/>
        <v>0</v>
      </c>
    </row>
    <row r="281" spans="2:12" x14ac:dyDescent="0.3">
      <c r="B281" s="28" t="str">
        <f t="shared" ca="1" si="13"/>
        <v/>
      </c>
      <c r="C281" s="29" t="str">
        <f t="shared" ca="1" si="14"/>
        <v/>
      </c>
      <c r="D281" s="57"/>
      <c r="E281" s="57"/>
      <c r="F281" s="57"/>
      <c r="G281" s="58"/>
      <c r="H281" s="58"/>
      <c r="I281" s="59"/>
      <c r="J281" s="59"/>
      <c r="K281" s="59"/>
      <c r="L281" s="5">
        <f t="shared" si="12"/>
        <v>0</v>
      </c>
    </row>
    <row r="282" spans="2:12" x14ac:dyDescent="0.3">
      <c r="B282" s="28" t="str">
        <f t="shared" ca="1" si="13"/>
        <v/>
      </c>
      <c r="C282" s="29" t="str">
        <f t="shared" ca="1" si="14"/>
        <v/>
      </c>
      <c r="D282" s="57"/>
      <c r="E282" s="57"/>
      <c r="F282" s="57"/>
      <c r="G282" s="58"/>
      <c r="H282" s="58"/>
      <c r="I282" s="59"/>
      <c r="J282" s="59"/>
      <c r="K282" s="59"/>
      <c r="L282" s="5">
        <f t="shared" si="12"/>
        <v>0</v>
      </c>
    </row>
    <row r="283" spans="2:12" x14ac:dyDescent="0.3">
      <c r="B283" s="28" t="str">
        <f t="shared" ca="1" si="13"/>
        <v/>
      </c>
      <c r="C283" s="29" t="str">
        <f t="shared" ca="1" si="14"/>
        <v/>
      </c>
      <c r="D283" s="57"/>
      <c r="E283" s="57"/>
      <c r="F283" s="57"/>
      <c r="G283" s="58"/>
      <c r="H283" s="58"/>
      <c r="I283" s="59"/>
      <c r="J283" s="59"/>
      <c r="K283" s="59"/>
      <c r="L283" s="5">
        <f t="shared" si="12"/>
        <v>0</v>
      </c>
    </row>
    <row r="284" spans="2:12" x14ac:dyDescent="0.3">
      <c r="B284" s="28" t="str">
        <f t="shared" ca="1" si="13"/>
        <v/>
      </c>
      <c r="C284" s="29" t="str">
        <f t="shared" ca="1" si="14"/>
        <v/>
      </c>
      <c r="D284" s="57"/>
      <c r="E284" s="57"/>
      <c r="F284" s="57"/>
      <c r="G284" s="58"/>
      <c r="H284" s="58"/>
      <c r="I284" s="59"/>
      <c r="J284" s="59"/>
      <c r="K284" s="59"/>
      <c r="L284" s="5">
        <f t="shared" si="12"/>
        <v>0</v>
      </c>
    </row>
    <row r="285" spans="2:12" x14ac:dyDescent="0.3">
      <c r="B285" s="28" t="str">
        <f t="shared" ca="1" si="13"/>
        <v/>
      </c>
      <c r="C285" s="29" t="str">
        <f t="shared" ca="1" si="14"/>
        <v/>
      </c>
      <c r="D285" s="57"/>
      <c r="E285" s="57"/>
      <c r="F285" s="57"/>
      <c r="G285" s="58"/>
      <c r="H285" s="58"/>
      <c r="I285" s="59"/>
      <c r="J285" s="59"/>
      <c r="K285" s="59"/>
      <c r="L285" s="5">
        <f t="shared" si="12"/>
        <v>0</v>
      </c>
    </row>
    <row r="286" spans="2:12" x14ac:dyDescent="0.3">
      <c r="B286" s="28" t="str">
        <f t="shared" ca="1" si="13"/>
        <v/>
      </c>
      <c r="C286" s="29" t="str">
        <f t="shared" ca="1" si="14"/>
        <v/>
      </c>
      <c r="D286" s="57"/>
      <c r="E286" s="57"/>
      <c r="F286" s="57"/>
      <c r="G286" s="58"/>
      <c r="H286" s="58"/>
      <c r="I286" s="59"/>
      <c r="J286" s="59"/>
      <c r="K286" s="59"/>
      <c r="L286" s="5">
        <f t="shared" si="12"/>
        <v>0</v>
      </c>
    </row>
    <row r="287" spans="2:12" x14ac:dyDescent="0.3">
      <c r="B287" s="28" t="str">
        <f t="shared" ca="1" si="13"/>
        <v/>
      </c>
      <c r="C287" s="29" t="str">
        <f t="shared" ca="1" si="14"/>
        <v/>
      </c>
      <c r="D287" s="57"/>
      <c r="E287" s="57"/>
      <c r="F287" s="57"/>
      <c r="G287" s="58"/>
      <c r="H287" s="58"/>
      <c r="I287" s="59"/>
      <c r="J287" s="59"/>
      <c r="K287" s="59"/>
      <c r="L287" s="5">
        <f t="shared" si="12"/>
        <v>0</v>
      </c>
    </row>
    <row r="288" spans="2:12" x14ac:dyDescent="0.3">
      <c r="B288" s="28" t="str">
        <f t="shared" ca="1" si="13"/>
        <v/>
      </c>
      <c r="C288" s="29" t="str">
        <f t="shared" ca="1" si="14"/>
        <v/>
      </c>
      <c r="D288" s="57"/>
      <c r="E288" s="57"/>
      <c r="F288" s="57"/>
      <c r="G288" s="58"/>
      <c r="H288" s="58"/>
      <c r="I288" s="59"/>
      <c r="J288" s="59"/>
      <c r="K288" s="59"/>
      <c r="L288" s="5">
        <f t="shared" si="12"/>
        <v>0</v>
      </c>
    </row>
    <row r="289" spans="2:12" x14ac:dyDescent="0.3">
      <c r="B289" s="28" t="str">
        <f t="shared" ca="1" si="13"/>
        <v/>
      </c>
      <c r="C289" s="29" t="str">
        <f t="shared" ca="1" si="14"/>
        <v/>
      </c>
      <c r="D289" s="57"/>
      <c r="E289" s="57"/>
      <c r="F289" s="57"/>
      <c r="G289" s="58"/>
      <c r="H289" s="58"/>
      <c r="I289" s="59"/>
      <c r="J289" s="59"/>
      <c r="K289" s="59"/>
      <c r="L289" s="5">
        <f t="shared" si="12"/>
        <v>0</v>
      </c>
    </row>
    <row r="290" spans="2:12" x14ac:dyDescent="0.3">
      <c r="B290" s="28" t="str">
        <f t="shared" ca="1" si="13"/>
        <v/>
      </c>
      <c r="C290" s="29" t="str">
        <f t="shared" ca="1" si="14"/>
        <v/>
      </c>
      <c r="D290" s="57"/>
      <c r="E290" s="57"/>
      <c r="F290" s="57"/>
      <c r="G290" s="58"/>
      <c r="H290" s="58"/>
      <c r="I290" s="59"/>
      <c r="J290" s="59"/>
      <c r="K290" s="59"/>
      <c r="L290" s="5">
        <f t="shared" si="12"/>
        <v>0</v>
      </c>
    </row>
    <row r="291" spans="2:12" x14ac:dyDescent="0.3">
      <c r="B291" s="28" t="str">
        <f t="shared" ca="1" si="13"/>
        <v/>
      </c>
      <c r="C291" s="29" t="str">
        <f t="shared" ca="1" si="14"/>
        <v/>
      </c>
      <c r="D291" s="57"/>
      <c r="E291" s="57"/>
      <c r="F291" s="57"/>
      <c r="G291" s="58"/>
      <c r="H291" s="58"/>
      <c r="I291" s="59"/>
      <c r="J291" s="59"/>
      <c r="K291" s="59"/>
      <c r="L291" s="5">
        <f t="shared" si="12"/>
        <v>0</v>
      </c>
    </row>
    <row r="292" spans="2:12" x14ac:dyDescent="0.3">
      <c r="B292" s="28" t="str">
        <f t="shared" ca="1" si="13"/>
        <v/>
      </c>
      <c r="C292" s="29" t="str">
        <f t="shared" ca="1" si="14"/>
        <v/>
      </c>
      <c r="D292" s="57"/>
      <c r="E292" s="57"/>
      <c r="F292" s="57"/>
      <c r="G292" s="58"/>
      <c r="H292" s="58"/>
      <c r="I292" s="59"/>
      <c r="J292" s="59"/>
      <c r="K292" s="59"/>
      <c r="L292" s="5">
        <f t="shared" si="12"/>
        <v>0</v>
      </c>
    </row>
    <row r="293" spans="2:12" x14ac:dyDescent="0.3">
      <c r="B293" s="28" t="str">
        <f t="shared" ca="1" si="13"/>
        <v/>
      </c>
      <c r="C293" s="29" t="str">
        <f t="shared" ca="1" si="14"/>
        <v/>
      </c>
      <c r="D293" s="57"/>
      <c r="E293" s="57"/>
      <c r="F293" s="57"/>
      <c r="G293" s="58"/>
      <c r="H293" s="58"/>
      <c r="I293" s="59"/>
      <c r="J293" s="59"/>
      <c r="K293" s="59"/>
      <c r="L293" s="5">
        <f t="shared" si="12"/>
        <v>0</v>
      </c>
    </row>
    <row r="294" spans="2:12" x14ac:dyDescent="0.3">
      <c r="B294" s="28" t="str">
        <f t="shared" ca="1" si="13"/>
        <v/>
      </c>
      <c r="C294" s="29" t="str">
        <f t="shared" ca="1" si="14"/>
        <v/>
      </c>
      <c r="D294" s="57"/>
      <c r="E294" s="57"/>
      <c r="F294" s="57"/>
      <c r="G294" s="58"/>
      <c r="H294" s="58"/>
      <c r="I294" s="59"/>
      <c r="J294" s="59"/>
      <c r="K294" s="59"/>
      <c r="L294" s="5">
        <f t="shared" si="12"/>
        <v>0</v>
      </c>
    </row>
    <row r="295" spans="2:12" x14ac:dyDescent="0.3">
      <c r="B295" s="28" t="str">
        <f t="shared" ca="1" si="13"/>
        <v/>
      </c>
      <c r="C295" s="29" t="str">
        <f t="shared" ca="1" si="14"/>
        <v/>
      </c>
      <c r="D295" s="57"/>
      <c r="E295" s="57"/>
      <c r="F295" s="57"/>
      <c r="G295" s="58"/>
      <c r="H295" s="58"/>
      <c r="I295" s="59"/>
      <c r="J295" s="59"/>
      <c r="K295" s="59"/>
      <c r="L295" s="5">
        <f t="shared" si="12"/>
        <v>0</v>
      </c>
    </row>
    <row r="296" spans="2:12" x14ac:dyDescent="0.3">
      <c r="B296" s="28" t="str">
        <f t="shared" ca="1" si="13"/>
        <v/>
      </c>
      <c r="C296" s="29" t="str">
        <f t="shared" ca="1" si="14"/>
        <v/>
      </c>
      <c r="D296" s="57"/>
      <c r="E296" s="57"/>
      <c r="F296" s="57"/>
      <c r="G296" s="58"/>
      <c r="H296" s="58"/>
      <c r="I296" s="59"/>
      <c r="J296" s="59"/>
      <c r="K296" s="59"/>
      <c r="L296" s="5">
        <f t="shared" si="12"/>
        <v>0</v>
      </c>
    </row>
    <row r="297" spans="2:12" x14ac:dyDescent="0.3">
      <c r="B297" s="28" t="str">
        <f t="shared" ca="1" si="13"/>
        <v/>
      </c>
      <c r="C297" s="29" t="str">
        <f t="shared" ca="1" si="14"/>
        <v/>
      </c>
      <c r="D297" s="57"/>
      <c r="E297" s="57"/>
      <c r="F297" s="57"/>
      <c r="G297" s="58"/>
      <c r="H297" s="58"/>
      <c r="I297" s="59"/>
      <c r="J297" s="59"/>
      <c r="K297" s="59"/>
      <c r="L297" s="5">
        <f t="shared" si="12"/>
        <v>0</v>
      </c>
    </row>
    <row r="298" spans="2:12" x14ac:dyDescent="0.3">
      <c r="B298" s="28" t="str">
        <f t="shared" ca="1" si="13"/>
        <v/>
      </c>
      <c r="C298" s="29" t="str">
        <f t="shared" ca="1" si="14"/>
        <v/>
      </c>
      <c r="D298" s="57"/>
      <c r="E298" s="57"/>
      <c r="F298" s="57"/>
      <c r="G298" s="58"/>
      <c r="H298" s="58"/>
      <c r="I298" s="59"/>
      <c r="J298" s="59"/>
      <c r="K298" s="59"/>
      <c r="L298" s="5">
        <f t="shared" si="12"/>
        <v>0</v>
      </c>
    </row>
    <row r="299" spans="2:12" x14ac:dyDescent="0.3">
      <c r="B299" s="28" t="str">
        <f t="shared" ca="1" si="13"/>
        <v/>
      </c>
      <c r="C299" s="29" t="str">
        <f t="shared" ca="1" si="14"/>
        <v/>
      </c>
      <c r="D299" s="57"/>
      <c r="E299" s="57"/>
      <c r="F299" s="57"/>
      <c r="G299" s="58"/>
      <c r="H299" s="58"/>
      <c r="I299" s="59"/>
      <c r="J299" s="59"/>
      <c r="K299" s="59"/>
      <c r="L299" s="5">
        <f t="shared" si="12"/>
        <v>0</v>
      </c>
    </row>
    <row r="300" spans="2:12" x14ac:dyDescent="0.3">
      <c r="B300" s="28" t="str">
        <f t="shared" ca="1" si="13"/>
        <v/>
      </c>
      <c r="C300" s="29" t="str">
        <f t="shared" ca="1" si="14"/>
        <v/>
      </c>
      <c r="D300" s="57"/>
      <c r="E300" s="57"/>
      <c r="F300" s="57"/>
      <c r="G300" s="58"/>
      <c r="H300" s="58"/>
      <c r="I300" s="59"/>
      <c r="J300" s="59"/>
      <c r="K300" s="59"/>
      <c r="L300" s="5">
        <f t="shared" si="12"/>
        <v>0</v>
      </c>
    </row>
    <row r="301" spans="2:12" x14ac:dyDescent="0.3">
      <c r="B301" s="28" t="str">
        <f t="shared" ca="1" si="13"/>
        <v/>
      </c>
      <c r="C301" s="29" t="str">
        <f t="shared" ca="1" si="14"/>
        <v/>
      </c>
      <c r="D301" s="57"/>
      <c r="E301" s="57"/>
      <c r="F301" s="57"/>
      <c r="G301" s="58"/>
      <c r="H301" s="58"/>
      <c r="I301" s="59"/>
      <c r="J301" s="59"/>
      <c r="K301" s="59"/>
      <c r="L301" s="5">
        <f t="shared" si="12"/>
        <v>0</v>
      </c>
    </row>
    <row r="302" spans="2:12" x14ac:dyDescent="0.3">
      <c r="B302" s="28" t="str">
        <f t="shared" ca="1" si="13"/>
        <v/>
      </c>
      <c r="C302" s="29" t="str">
        <f t="shared" ca="1" si="14"/>
        <v/>
      </c>
      <c r="D302" s="57"/>
      <c r="E302" s="57"/>
      <c r="F302" s="57"/>
      <c r="G302" s="58"/>
      <c r="H302" s="58"/>
      <c r="I302" s="59"/>
      <c r="J302" s="59"/>
      <c r="K302" s="59"/>
      <c r="L302" s="5">
        <f t="shared" si="12"/>
        <v>0</v>
      </c>
    </row>
    <row r="303" spans="2:12" x14ac:dyDescent="0.3">
      <c r="B303" s="28" t="str">
        <f t="shared" ca="1" si="13"/>
        <v/>
      </c>
      <c r="C303" s="29" t="str">
        <f t="shared" ca="1" si="14"/>
        <v/>
      </c>
      <c r="D303" s="57"/>
      <c r="E303" s="57"/>
      <c r="F303" s="57"/>
      <c r="G303" s="58"/>
      <c r="H303" s="58"/>
      <c r="I303" s="59"/>
      <c r="J303" s="59"/>
      <c r="K303" s="59"/>
      <c r="L303" s="5">
        <f t="shared" si="12"/>
        <v>0</v>
      </c>
    </row>
    <row r="304" spans="2:12" x14ac:dyDescent="0.3">
      <c r="B304" s="28" t="str">
        <f t="shared" ca="1" si="13"/>
        <v/>
      </c>
      <c r="C304" s="29" t="str">
        <f t="shared" ca="1" si="14"/>
        <v/>
      </c>
      <c r="D304" s="57"/>
      <c r="E304" s="57"/>
      <c r="F304" s="57"/>
      <c r="G304" s="58"/>
      <c r="H304" s="58"/>
      <c r="I304" s="59"/>
      <c r="J304" s="59"/>
      <c r="K304" s="59"/>
      <c r="L304" s="5">
        <f t="shared" si="12"/>
        <v>0</v>
      </c>
    </row>
    <row r="305" spans="2:12" x14ac:dyDescent="0.3">
      <c r="B305" s="28" t="str">
        <f t="shared" ca="1" si="13"/>
        <v/>
      </c>
      <c r="C305" s="29" t="str">
        <f t="shared" ca="1" si="14"/>
        <v/>
      </c>
      <c r="D305" s="57"/>
      <c r="E305" s="57"/>
      <c r="F305" s="57"/>
      <c r="G305" s="58"/>
      <c r="H305" s="58"/>
      <c r="I305" s="59"/>
      <c r="J305" s="59"/>
      <c r="K305" s="59"/>
      <c r="L305" s="5">
        <f t="shared" si="12"/>
        <v>0</v>
      </c>
    </row>
    <row r="306" spans="2:12" x14ac:dyDescent="0.3">
      <c r="B306" s="28" t="str">
        <f t="shared" ca="1" si="13"/>
        <v/>
      </c>
      <c r="C306" s="29" t="str">
        <f t="shared" ca="1" si="14"/>
        <v/>
      </c>
      <c r="D306" s="57"/>
      <c r="E306" s="57"/>
      <c r="F306" s="57"/>
      <c r="G306" s="58"/>
      <c r="H306" s="58"/>
      <c r="I306" s="59"/>
      <c r="J306" s="59"/>
      <c r="K306" s="59"/>
      <c r="L306" s="5">
        <f t="shared" si="12"/>
        <v>0</v>
      </c>
    </row>
    <row r="307" spans="2:12" x14ac:dyDescent="0.3">
      <c r="B307" s="28" t="str">
        <f t="shared" ca="1" si="13"/>
        <v/>
      </c>
      <c r="C307" s="29" t="str">
        <f t="shared" ca="1" si="14"/>
        <v/>
      </c>
      <c r="D307" s="57"/>
      <c r="E307" s="57"/>
      <c r="F307" s="57"/>
      <c r="G307" s="58"/>
      <c r="H307" s="58"/>
      <c r="I307" s="59"/>
      <c r="J307" s="59"/>
      <c r="K307" s="59"/>
      <c r="L307" s="5">
        <f t="shared" si="12"/>
        <v>0</v>
      </c>
    </row>
    <row r="308" spans="2:12" x14ac:dyDescent="0.3">
      <c r="B308" s="28" t="str">
        <f t="shared" ca="1" si="13"/>
        <v/>
      </c>
      <c r="C308" s="29" t="str">
        <f t="shared" ca="1" si="14"/>
        <v/>
      </c>
      <c r="D308" s="57"/>
      <c r="E308" s="57"/>
      <c r="F308" s="57"/>
      <c r="G308" s="58"/>
      <c r="H308" s="58"/>
      <c r="I308" s="59"/>
      <c r="J308" s="59"/>
      <c r="K308" s="59"/>
      <c r="L308" s="5">
        <f t="shared" si="12"/>
        <v>0</v>
      </c>
    </row>
    <row r="309" spans="2:12" x14ac:dyDescent="0.3">
      <c r="B309" s="28" t="str">
        <f t="shared" ca="1" si="13"/>
        <v/>
      </c>
      <c r="C309" s="29" t="str">
        <f t="shared" ca="1" si="14"/>
        <v/>
      </c>
      <c r="D309" s="57"/>
      <c r="E309" s="57"/>
      <c r="F309" s="57"/>
      <c r="G309" s="58"/>
      <c r="H309" s="58"/>
      <c r="I309" s="59"/>
      <c r="J309" s="59"/>
      <c r="K309" s="59"/>
      <c r="L309" s="5">
        <f t="shared" si="12"/>
        <v>0</v>
      </c>
    </row>
    <row r="310" spans="2:12" x14ac:dyDescent="0.3">
      <c r="B310" s="28" t="str">
        <f t="shared" ca="1" si="13"/>
        <v/>
      </c>
      <c r="C310" s="29" t="str">
        <f t="shared" ca="1" si="14"/>
        <v/>
      </c>
      <c r="D310" s="57"/>
      <c r="E310" s="57"/>
      <c r="F310" s="57"/>
      <c r="G310" s="58"/>
      <c r="H310" s="58"/>
      <c r="I310" s="59"/>
      <c r="J310" s="59"/>
      <c r="K310" s="59"/>
      <c r="L310" s="5">
        <f t="shared" si="12"/>
        <v>0</v>
      </c>
    </row>
    <row r="311" spans="2:12" x14ac:dyDescent="0.3">
      <c r="B311" s="28" t="str">
        <f t="shared" ca="1" si="13"/>
        <v/>
      </c>
      <c r="C311" s="29" t="str">
        <f t="shared" ca="1" si="14"/>
        <v/>
      </c>
      <c r="D311" s="57"/>
      <c r="E311" s="57"/>
      <c r="F311" s="57"/>
      <c r="G311" s="58"/>
      <c r="H311" s="58"/>
      <c r="I311" s="59"/>
      <c r="J311" s="59"/>
      <c r="K311" s="59"/>
      <c r="L311" s="5">
        <f t="shared" si="12"/>
        <v>0</v>
      </c>
    </row>
    <row r="312" spans="2:12" x14ac:dyDescent="0.3">
      <c r="B312" s="28" t="str">
        <f t="shared" ca="1" si="13"/>
        <v/>
      </c>
      <c r="C312" s="29" t="str">
        <f t="shared" ca="1" si="14"/>
        <v/>
      </c>
      <c r="D312" s="57"/>
      <c r="E312" s="57"/>
      <c r="F312" s="57"/>
      <c r="G312" s="58"/>
      <c r="H312" s="58"/>
      <c r="I312" s="59"/>
      <c r="J312" s="59"/>
      <c r="K312" s="59"/>
      <c r="L312" s="5">
        <f t="shared" si="12"/>
        <v>0</v>
      </c>
    </row>
    <row r="313" spans="2:12" x14ac:dyDescent="0.3">
      <c r="B313" s="28" t="str">
        <f t="shared" ca="1" si="13"/>
        <v/>
      </c>
      <c r="C313" s="29" t="str">
        <f t="shared" ca="1" si="14"/>
        <v/>
      </c>
      <c r="D313" s="57"/>
      <c r="E313" s="57"/>
      <c r="F313" s="57"/>
      <c r="G313" s="58"/>
      <c r="H313" s="58"/>
      <c r="I313" s="59"/>
      <c r="J313" s="59"/>
      <c r="K313" s="59"/>
      <c r="L313" s="5">
        <f t="shared" si="12"/>
        <v>0</v>
      </c>
    </row>
    <row r="314" spans="2:12" x14ac:dyDescent="0.3">
      <c r="B314" s="28" t="str">
        <f t="shared" ca="1" si="13"/>
        <v/>
      </c>
      <c r="C314" s="29" t="str">
        <f t="shared" ca="1" si="14"/>
        <v/>
      </c>
      <c r="D314" s="57"/>
      <c r="E314" s="57"/>
      <c r="F314" s="57"/>
      <c r="G314" s="58"/>
      <c r="H314" s="58"/>
      <c r="I314" s="59"/>
      <c r="J314" s="59"/>
      <c r="K314" s="59"/>
      <c r="L314" s="5">
        <f t="shared" si="12"/>
        <v>0</v>
      </c>
    </row>
    <row r="315" spans="2:12" x14ac:dyDescent="0.3">
      <c r="B315" s="28" t="str">
        <f t="shared" ca="1" si="13"/>
        <v/>
      </c>
      <c r="C315" s="29" t="str">
        <f t="shared" ca="1" si="14"/>
        <v/>
      </c>
      <c r="D315" s="57"/>
      <c r="E315" s="57"/>
      <c r="F315" s="57"/>
      <c r="G315" s="58"/>
      <c r="H315" s="58"/>
      <c r="I315" s="59"/>
      <c r="J315" s="59"/>
      <c r="K315" s="59"/>
      <c r="L315" s="5">
        <f t="shared" si="12"/>
        <v>0</v>
      </c>
    </row>
    <row r="316" spans="2:12" x14ac:dyDescent="0.3">
      <c r="B316" s="28" t="str">
        <f t="shared" ca="1" si="13"/>
        <v/>
      </c>
      <c r="C316" s="29" t="str">
        <f t="shared" ca="1" si="14"/>
        <v/>
      </c>
      <c r="D316" s="57"/>
      <c r="E316" s="57"/>
      <c r="F316" s="57"/>
      <c r="G316" s="58"/>
      <c r="H316" s="58"/>
      <c r="I316" s="59"/>
      <c r="J316" s="59"/>
      <c r="K316" s="59"/>
      <c r="L316" s="5">
        <f t="shared" si="12"/>
        <v>0</v>
      </c>
    </row>
    <row r="317" spans="2:12" x14ac:dyDescent="0.3">
      <c r="B317" s="28" t="str">
        <f t="shared" ca="1" si="13"/>
        <v/>
      </c>
      <c r="C317" s="29" t="str">
        <f t="shared" ca="1" si="14"/>
        <v/>
      </c>
      <c r="D317" s="57"/>
      <c r="E317" s="57"/>
      <c r="F317" s="57"/>
      <c r="G317" s="58"/>
      <c r="H317" s="58"/>
      <c r="I317" s="59"/>
      <c r="J317" s="59"/>
      <c r="K317" s="59"/>
      <c r="L317" s="5">
        <f t="shared" si="12"/>
        <v>0</v>
      </c>
    </row>
    <row r="318" spans="2:12" x14ac:dyDescent="0.3">
      <c r="B318" s="28" t="str">
        <f t="shared" ca="1" si="13"/>
        <v/>
      </c>
      <c r="C318" s="29" t="str">
        <f t="shared" ca="1" si="14"/>
        <v/>
      </c>
      <c r="D318" s="57"/>
      <c r="E318" s="57"/>
      <c r="F318" s="57"/>
      <c r="G318" s="58"/>
      <c r="H318" s="58"/>
      <c r="I318" s="59"/>
      <c r="J318" s="59"/>
      <c r="K318" s="59"/>
      <c r="L318" s="5">
        <f t="shared" si="12"/>
        <v>0</v>
      </c>
    </row>
    <row r="319" spans="2:12" x14ac:dyDescent="0.3">
      <c r="B319" s="28" t="str">
        <f t="shared" ca="1" si="13"/>
        <v/>
      </c>
      <c r="C319" s="29" t="str">
        <f t="shared" ca="1" si="14"/>
        <v/>
      </c>
      <c r="D319" s="57"/>
      <c r="E319" s="57"/>
      <c r="F319" s="57"/>
      <c r="G319" s="58"/>
      <c r="H319" s="58"/>
      <c r="I319" s="59"/>
      <c r="J319" s="59"/>
      <c r="K319" s="59"/>
      <c r="L319" s="5">
        <f t="shared" si="12"/>
        <v>0</v>
      </c>
    </row>
    <row r="320" spans="2:12" x14ac:dyDescent="0.3">
      <c r="B320" s="28" t="str">
        <f t="shared" ca="1" si="13"/>
        <v/>
      </c>
      <c r="C320" s="29" t="str">
        <f t="shared" ca="1" si="14"/>
        <v/>
      </c>
      <c r="D320" s="57"/>
      <c r="E320" s="57"/>
      <c r="F320" s="57"/>
      <c r="G320" s="58"/>
      <c r="H320" s="58"/>
      <c r="I320" s="59"/>
      <c r="J320" s="59"/>
      <c r="K320" s="59"/>
      <c r="L320" s="5">
        <f t="shared" si="12"/>
        <v>0</v>
      </c>
    </row>
    <row r="321" spans="2:12" x14ac:dyDescent="0.3">
      <c r="B321" s="28" t="str">
        <f t="shared" ca="1" si="13"/>
        <v/>
      </c>
      <c r="C321" s="29" t="str">
        <f t="shared" ca="1" si="14"/>
        <v/>
      </c>
      <c r="D321" s="57"/>
      <c r="E321" s="57"/>
      <c r="F321" s="57"/>
      <c r="G321" s="58"/>
      <c r="H321" s="58"/>
      <c r="I321" s="59"/>
      <c r="J321" s="59"/>
      <c r="K321" s="59"/>
      <c r="L321" s="5">
        <f t="shared" si="12"/>
        <v>0</v>
      </c>
    </row>
    <row r="322" spans="2:12" x14ac:dyDescent="0.3">
      <c r="B322" s="28" t="str">
        <f t="shared" ca="1" si="13"/>
        <v/>
      </c>
      <c r="C322" s="29" t="str">
        <f t="shared" ca="1" si="14"/>
        <v/>
      </c>
      <c r="D322" s="57"/>
      <c r="E322" s="57"/>
      <c r="F322" s="57"/>
      <c r="G322" s="58"/>
      <c r="H322" s="58"/>
      <c r="I322" s="59"/>
      <c r="J322" s="59"/>
      <c r="K322" s="59"/>
      <c r="L322" s="5">
        <f t="shared" si="12"/>
        <v>0</v>
      </c>
    </row>
    <row r="323" spans="2:12" x14ac:dyDescent="0.3">
      <c r="B323" s="28" t="str">
        <f t="shared" ca="1" si="13"/>
        <v/>
      </c>
      <c r="C323" s="29" t="str">
        <f t="shared" ca="1" si="14"/>
        <v/>
      </c>
      <c r="D323" s="57"/>
      <c r="E323" s="57"/>
      <c r="F323" s="57"/>
      <c r="G323" s="58"/>
      <c r="H323" s="58"/>
      <c r="I323" s="59"/>
      <c r="J323" s="59"/>
      <c r="K323" s="59"/>
      <c r="L323" s="5">
        <f t="shared" si="12"/>
        <v>0</v>
      </c>
    </row>
    <row r="324" spans="2:12" x14ac:dyDescent="0.3">
      <c r="B324" s="28" t="str">
        <f t="shared" ca="1" si="13"/>
        <v/>
      </c>
      <c r="C324" s="29" t="str">
        <f t="shared" ca="1" si="14"/>
        <v/>
      </c>
      <c r="D324" s="57"/>
      <c r="E324" s="57"/>
      <c r="F324" s="57"/>
      <c r="G324" s="58"/>
      <c r="H324" s="58"/>
      <c r="I324" s="59"/>
      <c r="J324" s="59"/>
      <c r="K324" s="59"/>
      <c r="L324" s="5">
        <f t="shared" si="12"/>
        <v>0</v>
      </c>
    </row>
    <row r="325" spans="2:12" x14ac:dyDescent="0.3">
      <c r="B325" s="28" t="str">
        <f t="shared" ca="1" si="13"/>
        <v/>
      </c>
      <c r="C325" s="29" t="str">
        <f t="shared" ca="1" si="14"/>
        <v/>
      </c>
      <c r="D325" s="57"/>
      <c r="E325" s="57"/>
      <c r="F325" s="57"/>
      <c r="G325" s="58"/>
      <c r="H325" s="58"/>
      <c r="I325" s="59"/>
      <c r="J325" s="59"/>
      <c r="K325" s="59"/>
      <c r="L325" s="5">
        <f t="shared" si="12"/>
        <v>0</v>
      </c>
    </row>
    <row r="326" spans="2:12" x14ac:dyDescent="0.3">
      <c r="B326" s="28" t="str">
        <f t="shared" ca="1" si="13"/>
        <v/>
      </c>
      <c r="C326" s="29" t="str">
        <f t="shared" ca="1" si="14"/>
        <v/>
      </c>
      <c r="D326" s="57"/>
      <c r="E326" s="57"/>
      <c r="F326" s="57"/>
      <c r="G326" s="58"/>
      <c r="H326" s="58"/>
      <c r="I326" s="59"/>
      <c r="J326" s="59"/>
      <c r="K326" s="59"/>
      <c r="L326" s="5">
        <f t="shared" si="12"/>
        <v>0</v>
      </c>
    </row>
    <row r="327" spans="2:12" x14ac:dyDescent="0.3">
      <c r="B327" s="28" t="str">
        <f t="shared" ca="1" si="13"/>
        <v/>
      </c>
      <c r="C327" s="29" t="str">
        <f t="shared" ca="1" si="14"/>
        <v/>
      </c>
      <c r="D327" s="57"/>
      <c r="E327" s="57"/>
      <c r="F327" s="57"/>
      <c r="G327" s="58"/>
      <c r="H327" s="58"/>
      <c r="I327" s="59"/>
      <c r="J327" s="59"/>
      <c r="K327" s="59"/>
      <c r="L327" s="5">
        <f t="shared" si="12"/>
        <v>0</v>
      </c>
    </row>
    <row r="328" spans="2:12" x14ac:dyDescent="0.3">
      <c r="B328" s="28" t="str">
        <f t="shared" ca="1" si="13"/>
        <v/>
      </c>
      <c r="C328" s="29" t="str">
        <f t="shared" ca="1" si="14"/>
        <v/>
      </c>
      <c r="D328" s="57"/>
      <c r="E328" s="57"/>
      <c r="F328" s="57"/>
      <c r="G328" s="58"/>
      <c r="H328" s="58"/>
      <c r="I328" s="59"/>
      <c r="J328" s="59"/>
      <c r="K328" s="59"/>
      <c r="L328" s="5">
        <f t="shared" si="12"/>
        <v>0</v>
      </c>
    </row>
    <row r="329" spans="2:12" x14ac:dyDescent="0.3">
      <c r="B329" s="28" t="str">
        <f t="shared" ca="1" si="13"/>
        <v/>
      </c>
      <c r="C329" s="29" t="str">
        <f t="shared" ca="1" si="14"/>
        <v/>
      </c>
      <c r="D329" s="57"/>
      <c r="E329" s="57"/>
      <c r="F329" s="57"/>
      <c r="G329" s="58"/>
      <c r="H329" s="58"/>
      <c r="I329" s="59"/>
      <c r="J329" s="59"/>
      <c r="K329" s="59"/>
      <c r="L329" s="5">
        <f t="shared" si="12"/>
        <v>0</v>
      </c>
    </row>
    <row r="330" spans="2:12" x14ac:dyDescent="0.3">
      <c r="B330" s="28" t="str">
        <f t="shared" ca="1" si="13"/>
        <v/>
      </c>
      <c r="C330" s="29" t="str">
        <f t="shared" ca="1" si="14"/>
        <v/>
      </c>
      <c r="D330" s="57"/>
      <c r="E330" s="57"/>
      <c r="F330" s="57"/>
      <c r="G330" s="58"/>
      <c r="H330" s="58"/>
      <c r="I330" s="59"/>
      <c r="J330" s="59"/>
      <c r="K330" s="59"/>
      <c r="L330" s="5">
        <f t="shared" ref="L330:L393" si="15">J330-I330-K330</f>
        <v>0</v>
      </c>
    </row>
    <row r="331" spans="2:12" x14ac:dyDescent="0.3">
      <c r="B331" s="28" t="str">
        <f t="shared" ref="B331:B394" ca="1" si="16">IF(D331&lt;&gt;"",DATE(Jahr,_xlfn.SHEET()-2,D331),"")</f>
        <v/>
      </c>
      <c r="C331" s="29" t="str">
        <f t="shared" ref="C331:C394" ca="1" si="17">B331</f>
        <v/>
      </c>
      <c r="D331" s="57"/>
      <c r="E331" s="57"/>
      <c r="F331" s="57"/>
      <c r="G331" s="58"/>
      <c r="H331" s="58"/>
      <c r="I331" s="59"/>
      <c r="J331" s="59"/>
      <c r="K331" s="59"/>
      <c r="L331" s="5">
        <f t="shared" si="15"/>
        <v>0</v>
      </c>
    </row>
    <row r="332" spans="2:12" x14ac:dyDescent="0.3">
      <c r="B332" s="28" t="str">
        <f t="shared" ca="1" si="16"/>
        <v/>
      </c>
      <c r="C332" s="29" t="str">
        <f t="shared" ca="1" si="17"/>
        <v/>
      </c>
      <c r="D332" s="57"/>
      <c r="E332" s="57"/>
      <c r="F332" s="57"/>
      <c r="G332" s="58"/>
      <c r="H332" s="58"/>
      <c r="I332" s="59"/>
      <c r="J332" s="59"/>
      <c r="K332" s="59"/>
      <c r="L332" s="5">
        <f t="shared" si="15"/>
        <v>0</v>
      </c>
    </row>
    <row r="333" spans="2:12" x14ac:dyDescent="0.3">
      <c r="B333" s="28" t="str">
        <f t="shared" ca="1" si="16"/>
        <v/>
      </c>
      <c r="C333" s="29" t="str">
        <f t="shared" ca="1" si="17"/>
        <v/>
      </c>
      <c r="D333" s="57"/>
      <c r="E333" s="57"/>
      <c r="F333" s="57"/>
      <c r="G333" s="58"/>
      <c r="H333" s="58"/>
      <c r="I333" s="59"/>
      <c r="J333" s="59"/>
      <c r="K333" s="59"/>
      <c r="L333" s="5">
        <f t="shared" si="15"/>
        <v>0</v>
      </c>
    </row>
    <row r="334" spans="2:12" x14ac:dyDescent="0.3">
      <c r="B334" s="28" t="str">
        <f t="shared" ca="1" si="16"/>
        <v/>
      </c>
      <c r="C334" s="29" t="str">
        <f t="shared" ca="1" si="17"/>
        <v/>
      </c>
      <c r="D334" s="57"/>
      <c r="E334" s="57"/>
      <c r="F334" s="57"/>
      <c r="G334" s="58"/>
      <c r="H334" s="58"/>
      <c r="I334" s="59"/>
      <c r="J334" s="59"/>
      <c r="K334" s="59"/>
      <c r="L334" s="5">
        <f t="shared" si="15"/>
        <v>0</v>
      </c>
    </row>
    <row r="335" spans="2:12" x14ac:dyDescent="0.3">
      <c r="B335" s="28" t="str">
        <f t="shared" ca="1" si="16"/>
        <v/>
      </c>
      <c r="C335" s="29" t="str">
        <f t="shared" ca="1" si="17"/>
        <v/>
      </c>
      <c r="D335" s="57"/>
      <c r="E335" s="57"/>
      <c r="F335" s="57"/>
      <c r="G335" s="58"/>
      <c r="H335" s="58"/>
      <c r="I335" s="59"/>
      <c r="J335" s="59"/>
      <c r="K335" s="59"/>
      <c r="L335" s="5">
        <f t="shared" si="15"/>
        <v>0</v>
      </c>
    </row>
    <row r="336" spans="2:12" x14ac:dyDescent="0.3">
      <c r="B336" s="28" t="str">
        <f t="shared" ca="1" si="16"/>
        <v/>
      </c>
      <c r="C336" s="29" t="str">
        <f t="shared" ca="1" si="17"/>
        <v/>
      </c>
      <c r="D336" s="57"/>
      <c r="E336" s="57"/>
      <c r="F336" s="57"/>
      <c r="G336" s="58"/>
      <c r="H336" s="58"/>
      <c r="I336" s="59"/>
      <c r="J336" s="59"/>
      <c r="K336" s="59"/>
      <c r="L336" s="5">
        <f t="shared" si="15"/>
        <v>0</v>
      </c>
    </row>
    <row r="337" spans="2:12" x14ac:dyDescent="0.3">
      <c r="B337" s="28" t="str">
        <f t="shared" ca="1" si="16"/>
        <v/>
      </c>
      <c r="C337" s="29" t="str">
        <f t="shared" ca="1" si="17"/>
        <v/>
      </c>
      <c r="D337" s="57"/>
      <c r="E337" s="57"/>
      <c r="F337" s="57"/>
      <c r="G337" s="58"/>
      <c r="H337" s="58"/>
      <c r="I337" s="59"/>
      <c r="J337" s="59"/>
      <c r="K337" s="59"/>
      <c r="L337" s="5">
        <f t="shared" si="15"/>
        <v>0</v>
      </c>
    </row>
    <row r="338" spans="2:12" x14ac:dyDescent="0.3">
      <c r="B338" s="28" t="str">
        <f t="shared" ca="1" si="16"/>
        <v/>
      </c>
      <c r="C338" s="29" t="str">
        <f t="shared" ca="1" si="17"/>
        <v/>
      </c>
      <c r="D338" s="57"/>
      <c r="E338" s="57"/>
      <c r="F338" s="57"/>
      <c r="G338" s="58"/>
      <c r="H338" s="58"/>
      <c r="I338" s="59"/>
      <c r="J338" s="59"/>
      <c r="K338" s="59"/>
      <c r="L338" s="5">
        <f t="shared" si="15"/>
        <v>0</v>
      </c>
    </row>
    <row r="339" spans="2:12" x14ac:dyDescent="0.3">
      <c r="B339" s="28" t="str">
        <f t="shared" ca="1" si="16"/>
        <v/>
      </c>
      <c r="C339" s="29" t="str">
        <f t="shared" ca="1" si="17"/>
        <v/>
      </c>
      <c r="D339" s="57"/>
      <c r="E339" s="57"/>
      <c r="F339" s="57"/>
      <c r="G339" s="58"/>
      <c r="H339" s="58"/>
      <c r="I339" s="59"/>
      <c r="J339" s="59"/>
      <c r="K339" s="59"/>
      <c r="L339" s="5">
        <f t="shared" si="15"/>
        <v>0</v>
      </c>
    </row>
    <row r="340" spans="2:12" x14ac:dyDescent="0.3">
      <c r="B340" s="28" t="str">
        <f t="shared" ca="1" si="16"/>
        <v/>
      </c>
      <c r="C340" s="29" t="str">
        <f t="shared" ca="1" si="17"/>
        <v/>
      </c>
      <c r="D340" s="57"/>
      <c r="E340" s="57"/>
      <c r="F340" s="57"/>
      <c r="G340" s="58"/>
      <c r="H340" s="58"/>
      <c r="I340" s="59"/>
      <c r="J340" s="59"/>
      <c r="K340" s="59"/>
      <c r="L340" s="5">
        <f t="shared" si="15"/>
        <v>0</v>
      </c>
    </row>
    <row r="341" spans="2:12" x14ac:dyDescent="0.3">
      <c r="B341" s="28" t="str">
        <f t="shared" ca="1" si="16"/>
        <v/>
      </c>
      <c r="C341" s="29" t="str">
        <f t="shared" ca="1" si="17"/>
        <v/>
      </c>
      <c r="D341" s="57"/>
      <c r="E341" s="57"/>
      <c r="F341" s="57"/>
      <c r="G341" s="58"/>
      <c r="H341" s="58"/>
      <c r="I341" s="59"/>
      <c r="J341" s="59"/>
      <c r="K341" s="59"/>
      <c r="L341" s="5">
        <f t="shared" si="15"/>
        <v>0</v>
      </c>
    </row>
    <row r="342" spans="2:12" x14ac:dyDescent="0.3">
      <c r="B342" s="28" t="str">
        <f t="shared" ca="1" si="16"/>
        <v/>
      </c>
      <c r="C342" s="29" t="str">
        <f t="shared" ca="1" si="17"/>
        <v/>
      </c>
      <c r="D342" s="57"/>
      <c r="E342" s="57"/>
      <c r="F342" s="57"/>
      <c r="G342" s="58"/>
      <c r="H342" s="58"/>
      <c r="I342" s="59"/>
      <c r="J342" s="59"/>
      <c r="K342" s="59"/>
      <c r="L342" s="5">
        <f t="shared" si="15"/>
        <v>0</v>
      </c>
    </row>
    <row r="343" spans="2:12" x14ac:dyDescent="0.3">
      <c r="B343" s="28" t="str">
        <f t="shared" ca="1" si="16"/>
        <v/>
      </c>
      <c r="C343" s="29" t="str">
        <f t="shared" ca="1" si="17"/>
        <v/>
      </c>
      <c r="D343" s="57"/>
      <c r="E343" s="57"/>
      <c r="F343" s="57"/>
      <c r="G343" s="58"/>
      <c r="H343" s="58"/>
      <c r="I343" s="59"/>
      <c r="J343" s="59"/>
      <c r="K343" s="59"/>
      <c r="L343" s="5">
        <f t="shared" si="15"/>
        <v>0</v>
      </c>
    </row>
    <row r="344" spans="2:12" x14ac:dyDescent="0.3">
      <c r="B344" s="28" t="str">
        <f t="shared" ca="1" si="16"/>
        <v/>
      </c>
      <c r="C344" s="29" t="str">
        <f t="shared" ca="1" si="17"/>
        <v/>
      </c>
      <c r="D344" s="57"/>
      <c r="E344" s="57"/>
      <c r="F344" s="57"/>
      <c r="G344" s="58"/>
      <c r="H344" s="58"/>
      <c r="I344" s="59"/>
      <c r="J344" s="59"/>
      <c r="K344" s="59"/>
      <c r="L344" s="5">
        <f t="shared" si="15"/>
        <v>0</v>
      </c>
    </row>
    <row r="345" spans="2:12" x14ac:dyDescent="0.3">
      <c r="B345" s="28" t="str">
        <f t="shared" ca="1" si="16"/>
        <v/>
      </c>
      <c r="C345" s="29" t="str">
        <f t="shared" ca="1" si="17"/>
        <v/>
      </c>
      <c r="D345" s="57"/>
      <c r="E345" s="57"/>
      <c r="F345" s="57"/>
      <c r="G345" s="58"/>
      <c r="H345" s="58"/>
      <c r="I345" s="59"/>
      <c r="J345" s="59"/>
      <c r="K345" s="59"/>
      <c r="L345" s="5">
        <f t="shared" si="15"/>
        <v>0</v>
      </c>
    </row>
    <row r="346" spans="2:12" x14ac:dyDescent="0.3">
      <c r="B346" s="28" t="str">
        <f t="shared" ca="1" si="16"/>
        <v/>
      </c>
      <c r="C346" s="29" t="str">
        <f t="shared" ca="1" si="17"/>
        <v/>
      </c>
      <c r="D346" s="57"/>
      <c r="E346" s="57"/>
      <c r="F346" s="57"/>
      <c r="G346" s="58"/>
      <c r="H346" s="58"/>
      <c r="I346" s="59"/>
      <c r="J346" s="59"/>
      <c r="K346" s="59"/>
      <c r="L346" s="5">
        <f t="shared" si="15"/>
        <v>0</v>
      </c>
    </row>
    <row r="347" spans="2:12" x14ac:dyDescent="0.3">
      <c r="B347" s="28" t="str">
        <f t="shared" ca="1" si="16"/>
        <v/>
      </c>
      <c r="C347" s="29" t="str">
        <f t="shared" ca="1" si="17"/>
        <v/>
      </c>
      <c r="D347" s="57"/>
      <c r="E347" s="57"/>
      <c r="F347" s="57"/>
      <c r="G347" s="58"/>
      <c r="H347" s="58"/>
      <c r="I347" s="59"/>
      <c r="J347" s="59"/>
      <c r="K347" s="59"/>
      <c r="L347" s="5">
        <f t="shared" si="15"/>
        <v>0</v>
      </c>
    </row>
    <row r="348" spans="2:12" x14ac:dyDescent="0.3">
      <c r="B348" s="28" t="str">
        <f t="shared" ca="1" si="16"/>
        <v/>
      </c>
      <c r="C348" s="29" t="str">
        <f t="shared" ca="1" si="17"/>
        <v/>
      </c>
      <c r="D348" s="57"/>
      <c r="E348" s="57"/>
      <c r="F348" s="57"/>
      <c r="G348" s="58"/>
      <c r="H348" s="58"/>
      <c r="I348" s="59"/>
      <c r="J348" s="59"/>
      <c r="K348" s="59"/>
      <c r="L348" s="5">
        <f t="shared" si="15"/>
        <v>0</v>
      </c>
    </row>
    <row r="349" spans="2:12" x14ac:dyDescent="0.3">
      <c r="B349" s="28" t="str">
        <f t="shared" ca="1" si="16"/>
        <v/>
      </c>
      <c r="C349" s="29" t="str">
        <f t="shared" ca="1" si="17"/>
        <v/>
      </c>
      <c r="D349" s="57"/>
      <c r="E349" s="57"/>
      <c r="F349" s="57"/>
      <c r="G349" s="58"/>
      <c r="H349" s="58"/>
      <c r="I349" s="59"/>
      <c r="J349" s="59"/>
      <c r="K349" s="59"/>
      <c r="L349" s="5">
        <f t="shared" si="15"/>
        <v>0</v>
      </c>
    </row>
    <row r="350" spans="2:12" x14ac:dyDescent="0.3">
      <c r="B350" s="28" t="str">
        <f t="shared" ca="1" si="16"/>
        <v/>
      </c>
      <c r="C350" s="29" t="str">
        <f t="shared" ca="1" si="17"/>
        <v/>
      </c>
      <c r="D350" s="57"/>
      <c r="E350" s="57"/>
      <c r="F350" s="57"/>
      <c r="G350" s="58"/>
      <c r="H350" s="58"/>
      <c r="I350" s="59"/>
      <c r="J350" s="59"/>
      <c r="K350" s="59"/>
      <c r="L350" s="5">
        <f t="shared" si="15"/>
        <v>0</v>
      </c>
    </row>
    <row r="351" spans="2:12" x14ac:dyDescent="0.3">
      <c r="B351" s="28" t="str">
        <f t="shared" ca="1" si="16"/>
        <v/>
      </c>
      <c r="C351" s="29" t="str">
        <f t="shared" ca="1" si="17"/>
        <v/>
      </c>
      <c r="D351" s="57"/>
      <c r="E351" s="57"/>
      <c r="F351" s="57"/>
      <c r="G351" s="58"/>
      <c r="H351" s="58"/>
      <c r="I351" s="59"/>
      <c r="J351" s="59"/>
      <c r="K351" s="59"/>
      <c r="L351" s="5">
        <f t="shared" si="15"/>
        <v>0</v>
      </c>
    </row>
    <row r="352" spans="2:12" x14ac:dyDescent="0.3">
      <c r="B352" s="28" t="str">
        <f t="shared" ca="1" si="16"/>
        <v/>
      </c>
      <c r="C352" s="29" t="str">
        <f t="shared" ca="1" si="17"/>
        <v/>
      </c>
      <c r="D352" s="57"/>
      <c r="E352" s="57"/>
      <c r="F352" s="57"/>
      <c r="G352" s="58"/>
      <c r="H352" s="58"/>
      <c r="I352" s="59"/>
      <c r="J352" s="59"/>
      <c r="K352" s="59"/>
      <c r="L352" s="5">
        <f t="shared" si="15"/>
        <v>0</v>
      </c>
    </row>
    <row r="353" spans="2:12" x14ac:dyDescent="0.3">
      <c r="B353" s="28" t="str">
        <f t="shared" ca="1" si="16"/>
        <v/>
      </c>
      <c r="C353" s="29" t="str">
        <f t="shared" ca="1" si="17"/>
        <v/>
      </c>
      <c r="D353" s="57"/>
      <c r="E353" s="57"/>
      <c r="F353" s="57"/>
      <c r="G353" s="58"/>
      <c r="H353" s="58"/>
      <c r="I353" s="59"/>
      <c r="J353" s="59"/>
      <c r="K353" s="59"/>
      <c r="L353" s="5">
        <f t="shared" si="15"/>
        <v>0</v>
      </c>
    </row>
    <row r="354" spans="2:12" x14ac:dyDescent="0.3">
      <c r="B354" s="28" t="str">
        <f t="shared" ca="1" si="16"/>
        <v/>
      </c>
      <c r="C354" s="29" t="str">
        <f t="shared" ca="1" si="17"/>
        <v/>
      </c>
      <c r="D354" s="57"/>
      <c r="E354" s="57"/>
      <c r="F354" s="57"/>
      <c r="G354" s="58"/>
      <c r="H354" s="58"/>
      <c r="I354" s="59"/>
      <c r="J354" s="59"/>
      <c r="K354" s="59"/>
      <c r="L354" s="5">
        <f t="shared" si="15"/>
        <v>0</v>
      </c>
    </row>
    <row r="355" spans="2:12" x14ac:dyDescent="0.3">
      <c r="B355" s="28" t="str">
        <f t="shared" ca="1" si="16"/>
        <v/>
      </c>
      <c r="C355" s="29" t="str">
        <f t="shared" ca="1" si="17"/>
        <v/>
      </c>
      <c r="D355" s="57"/>
      <c r="E355" s="57"/>
      <c r="F355" s="57"/>
      <c r="G355" s="58"/>
      <c r="H355" s="58"/>
      <c r="I355" s="59"/>
      <c r="J355" s="59"/>
      <c r="K355" s="59"/>
      <c r="L355" s="5">
        <f t="shared" si="15"/>
        <v>0</v>
      </c>
    </row>
    <row r="356" spans="2:12" x14ac:dyDescent="0.3">
      <c r="B356" s="28" t="str">
        <f t="shared" ca="1" si="16"/>
        <v/>
      </c>
      <c r="C356" s="29" t="str">
        <f t="shared" ca="1" si="17"/>
        <v/>
      </c>
      <c r="D356" s="57"/>
      <c r="E356" s="57"/>
      <c r="F356" s="57"/>
      <c r="G356" s="58"/>
      <c r="H356" s="58"/>
      <c r="I356" s="59"/>
      <c r="J356" s="59"/>
      <c r="K356" s="59"/>
      <c r="L356" s="5">
        <f t="shared" si="15"/>
        <v>0</v>
      </c>
    </row>
    <row r="357" spans="2:12" x14ac:dyDescent="0.3">
      <c r="B357" s="28" t="str">
        <f t="shared" ca="1" si="16"/>
        <v/>
      </c>
      <c r="C357" s="29" t="str">
        <f t="shared" ca="1" si="17"/>
        <v/>
      </c>
      <c r="D357" s="57"/>
      <c r="E357" s="57"/>
      <c r="F357" s="57"/>
      <c r="G357" s="58"/>
      <c r="H357" s="58"/>
      <c r="I357" s="59"/>
      <c r="J357" s="59"/>
      <c r="K357" s="59"/>
      <c r="L357" s="5">
        <f t="shared" si="15"/>
        <v>0</v>
      </c>
    </row>
    <row r="358" spans="2:12" x14ac:dyDescent="0.3">
      <c r="B358" s="28" t="str">
        <f t="shared" ca="1" si="16"/>
        <v/>
      </c>
      <c r="C358" s="29" t="str">
        <f t="shared" ca="1" si="17"/>
        <v/>
      </c>
      <c r="D358" s="57"/>
      <c r="E358" s="57"/>
      <c r="F358" s="57"/>
      <c r="G358" s="58"/>
      <c r="H358" s="58"/>
      <c r="I358" s="59"/>
      <c r="J358" s="59"/>
      <c r="K358" s="59"/>
      <c r="L358" s="5">
        <f t="shared" si="15"/>
        <v>0</v>
      </c>
    </row>
    <row r="359" spans="2:12" x14ac:dyDescent="0.3">
      <c r="B359" s="28" t="str">
        <f t="shared" ca="1" si="16"/>
        <v/>
      </c>
      <c r="C359" s="29" t="str">
        <f t="shared" ca="1" si="17"/>
        <v/>
      </c>
      <c r="D359" s="57"/>
      <c r="E359" s="57"/>
      <c r="F359" s="57"/>
      <c r="G359" s="58"/>
      <c r="H359" s="58"/>
      <c r="I359" s="59"/>
      <c r="J359" s="59"/>
      <c r="K359" s="59"/>
      <c r="L359" s="5">
        <f t="shared" si="15"/>
        <v>0</v>
      </c>
    </row>
    <row r="360" spans="2:12" x14ac:dyDescent="0.3">
      <c r="B360" s="28" t="str">
        <f t="shared" ca="1" si="16"/>
        <v/>
      </c>
      <c r="C360" s="29" t="str">
        <f t="shared" ca="1" si="17"/>
        <v/>
      </c>
      <c r="D360" s="57"/>
      <c r="E360" s="57"/>
      <c r="F360" s="57"/>
      <c r="G360" s="58"/>
      <c r="H360" s="58"/>
      <c r="I360" s="59"/>
      <c r="J360" s="59"/>
      <c r="K360" s="59"/>
      <c r="L360" s="5">
        <f t="shared" si="15"/>
        <v>0</v>
      </c>
    </row>
    <row r="361" spans="2:12" x14ac:dyDescent="0.3">
      <c r="B361" s="28" t="str">
        <f t="shared" ca="1" si="16"/>
        <v/>
      </c>
      <c r="C361" s="29" t="str">
        <f t="shared" ca="1" si="17"/>
        <v/>
      </c>
      <c r="D361" s="57"/>
      <c r="E361" s="57"/>
      <c r="F361" s="57"/>
      <c r="G361" s="58"/>
      <c r="H361" s="58"/>
      <c r="I361" s="59"/>
      <c r="J361" s="59"/>
      <c r="K361" s="59"/>
      <c r="L361" s="5">
        <f t="shared" si="15"/>
        <v>0</v>
      </c>
    </row>
    <row r="362" spans="2:12" x14ac:dyDescent="0.3">
      <c r="B362" s="28" t="str">
        <f t="shared" ca="1" si="16"/>
        <v/>
      </c>
      <c r="C362" s="29" t="str">
        <f t="shared" ca="1" si="17"/>
        <v/>
      </c>
      <c r="D362" s="57"/>
      <c r="E362" s="57"/>
      <c r="F362" s="57"/>
      <c r="G362" s="58"/>
      <c r="H362" s="58"/>
      <c r="I362" s="59"/>
      <c r="J362" s="59"/>
      <c r="K362" s="59"/>
      <c r="L362" s="5">
        <f t="shared" si="15"/>
        <v>0</v>
      </c>
    </row>
    <row r="363" spans="2:12" x14ac:dyDescent="0.3">
      <c r="B363" s="28" t="str">
        <f t="shared" ca="1" si="16"/>
        <v/>
      </c>
      <c r="C363" s="29" t="str">
        <f t="shared" ca="1" si="17"/>
        <v/>
      </c>
      <c r="D363" s="57"/>
      <c r="E363" s="57"/>
      <c r="F363" s="57"/>
      <c r="G363" s="58"/>
      <c r="H363" s="58"/>
      <c r="I363" s="59"/>
      <c r="J363" s="59"/>
      <c r="K363" s="59"/>
      <c r="L363" s="5">
        <f t="shared" si="15"/>
        <v>0</v>
      </c>
    </row>
    <row r="364" spans="2:12" x14ac:dyDescent="0.3">
      <c r="B364" s="28" t="str">
        <f t="shared" ca="1" si="16"/>
        <v/>
      </c>
      <c r="C364" s="29" t="str">
        <f t="shared" ca="1" si="17"/>
        <v/>
      </c>
      <c r="D364" s="57"/>
      <c r="E364" s="57"/>
      <c r="F364" s="57"/>
      <c r="G364" s="58"/>
      <c r="H364" s="58"/>
      <c r="I364" s="59"/>
      <c r="J364" s="59"/>
      <c r="K364" s="59"/>
      <c r="L364" s="5">
        <f t="shared" si="15"/>
        <v>0</v>
      </c>
    </row>
    <row r="365" spans="2:12" x14ac:dyDescent="0.3">
      <c r="B365" s="28" t="str">
        <f t="shared" ca="1" si="16"/>
        <v/>
      </c>
      <c r="C365" s="29" t="str">
        <f t="shared" ca="1" si="17"/>
        <v/>
      </c>
      <c r="D365" s="57"/>
      <c r="E365" s="57"/>
      <c r="F365" s="57"/>
      <c r="G365" s="58"/>
      <c r="H365" s="58"/>
      <c r="I365" s="59"/>
      <c r="J365" s="59"/>
      <c r="K365" s="59"/>
      <c r="L365" s="5">
        <f t="shared" si="15"/>
        <v>0</v>
      </c>
    </row>
    <row r="366" spans="2:12" x14ac:dyDescent="0.3">
      <c r="B366" s="28" t="str">
        <f t="shared" ca="1" si="16"/>
        <v/>
      </c>
      <c r="C366" s="29" t="str">
        <f t="shared" ca="1" si="17"/>
        <v/>
      </c>
      <c r="D366" s="57"/>
      <c r="E366" s="57"/>
      <c r="F366" s="57"/>
      <c r="G366" s="58"/>
      <c r="H366" s="58"/>
      <c r="I366" s="59"/>
      <c r="J366" s="59"/>
      <c r="K366" s="59"/>
      <c r="L366" s="5">
        <f t="shared" si="15"/>
        <v>0</v>
      </c>
    </row>
    <row r="367" spans="2:12" x14ac:dyDescent="0.3">
      <c r="B367" s="28" t="str">
        <f t="shared" ca="1" si="16"/>
        <v/>
      </c>
      <c r="C367" s="29" t="str">
        <f t="shared" ca="1" si="17"/>
        <v/>
      </c>
      <c r="D367" s="57"/>
      <c r="E367" s="57"/>
      <c r="F367" s="57"/>
      <c r="G367" s="58"/>
      <c r="H367" s="58"/>
      <c r="I367" s="59"/>
      <c r="J367" s="59"/>
      <c r="K367" s="59"/>
      <c r="L367" s="5">
        <f t="shared" si="15"/>
        <v>0</v>
      </c>
    </row>
    <row r="368" spans="2:12" x14ac:dyDescent="0.3">
      <c r="B368" s="28" t="str">
        <f t="shared" ca="1" si="16"/>
        <v/>
      </c>
      <c r="C368" s="29" t="str">
        <f t="shared" ca="1" si="17"/>
        <v/>
      </c>
      <c r="D368" s="57"/>
      <c r="E368" s="57"/>
      <c r="F368" s="57"/>
      <c r="G368" s="58"/>
      <c r="H368" s="58"/>
      <c r="I368" s="59"/>
      <c r="J368" s="59"/>
      <c r="K368" s="59"/>
      <c r="L368" s="5">
        <f t="shared" si="15"/>
        <v>0</v>
      </c>
    </row>
    <row r="369" spans="2:12" x14ac:dyDescent="0.3">
      <c r="B369" s="28" t="str">
        <f t="shared" ca="1" si="16"/>
        <v/>
      </c>
      <c r="C369" s="29" t="str">
        <f t="shared" ca="1" si="17"/>
        <v/>
      </c>
      <c r="D369" s="57"/>
      <c r="E369" s="57"/>
      <c r="F369" s="57"/>
      <c r="G369" s="58"/>
      <c r="H369" s="58"/>
      <c r="I369" s="59"/>
      <c r="J369" s="59"/>
      <c r="K369" s="59"/>
      <c r="L369" s="5">
        <f t="shared" si="15"/>
        <v>0</v>
      </c>
    </row>
    <row r="370" spans="2:12" x14ac:dyDescent="0.3">
      <c r="B370" s="28" t="str">
        <f t="shared" ca="1" si="16"/>
        <v/>
      </c>
      <c r="C370" s="29" t="str">
        <f t="shared" ca="1" si="17"/>
        <v/>
      </c>
      <c r="D370" s="57"/>
      <c r="E370" s="57"/>
      <c r="F370" s="57"/>
      <c r="G370" s="58"/>
      <c r="H370" s="58"/>
      <c r="I370" s="59"/>
      <c r="J370" s="59"/>
      <c r="K370" s="59"/>
      <c r="L370" s="5">
        <f t="shared" si="15"/>
        <v>0</v>
      </c>
    </row>
    <row r="371" spans="2:12" x14ac:dyDescent="0.3">
      <c r="B371" s="28" t="str">
        <f t="shared" ca="1" si="16"/>
        <v/>
      </c>
      <c r="C371" s="29" t="str">
        <f t="shared" ca="1" si="17"/>
        <v/>
      </c>
      <c r="D371" s="57"/>
      <c r="E371" s="57"/>
      <c r="F371" s="57"/>
      <c r="G371" s="58"/>
      <c r="H371" s="58"/>
      <c r="I371" s="59"/>
      <c r="J371" s="59"/>
      <c r="K371" s="59"/>
      <c r="L371" s="5">
        <f t="shared" si="15"/>
        <v>0</v>
      </c>
    </row>
    <row r="372" spans="2:12" x14ac:dyDescent="0.3">
      <c r="B372" s="28" t="str">
        <f t="shared" ca="1" si="16"/>
        <v/>
      </c>
      <c r="C372" s="29" t="str">
        <f t="shared" ca="1" si="17"/>
        <v/>
      </c>
      <c r="D372" s="57"/>
      <c r="E372" s="57"/>
      <c r="F372" s="57"/>
      <c r="G372" s="58"/>
      <c r="H372" s="58"/>
      <c r="I372" s="59"/>
      <c r="J372" s="59"/>
      <c r="K372" s="59"/>
      <c r="L372" s="5">
        <f t="shared" si="15"/>
        <v>0</v>
      </c>
    </row>
    <row r="373" spans="2:12" x14ac:dyDescent="0.3">
      <c r="B373" s="28" t="str">
        <f t="shared" ca="1" si="16"/>
        <v/>
      </c>
      <c r="C373" s="29" t="str">
        <f t="shared" ca="1" si="17"/>
        <v/>
      </c>
      <c r="D373" s="57"/>
      <c r="E373" s="57"/>
      <c r="F373" s="57"/>
      <c r="G373" s="58"/>
      <c r="H373" s="58"/>
      <c r="I373" s="59"/>
      <c r="J373" s="59"/>
      <c r="K373" s="59"/>
      <c r="L373" s="5">
        <f t="shared" si="15"/>
        <v>0</v>
      </c>
    </row>
    <row r="374" spans="2:12" x14ac:dyDescent="0.3">
      <c r="B374" s="28" t="str">
        <f t="shared" ca="1" si="16"/>
        <v/>
      </c>
      <c r="C374" s="29" t="str">
        <f t="shared" ca="1" si="17"/>
        <v/>
      </c>
      <c r="D374" s="57"/>
      <c r="E374" s="57"/>
      <c r="F374" s="57"/>
      <c r="G374" s="58"/>
      <c r="H374" s="58"/>
      <c r="I374" s="59"/>
      <c r="J374" s="59"/>
      <c r="K374" s="59"/>
      <c r="L374" s="5">
        <f t="shared" si="15"/>
        <v>0</v>
      </c>
    </row>
    <row r="375" spans="2:12" x14ac:dyDescent="0.3">
      <c r="B375" s="28" t="str">
        <f t="shared" ca="1" si="16"/>
        <v/>
      </c>
      <c r="C375" s="29" t="str">
        <f t="shared" ca="1" si="17"/>
        <v/>
      </c>
      <c r="D375" s="57"/>
      <c r="E375" s="57"/>
      <c r="F375" s="57"/>
      <c r="G375" s="58"/>
      <c r="H375" s="58"/>
      <c r="I375" s="59"/>
      <c r="J375" s="59"/>
      <c r="K375" s="59"/>
      <c r="L375" s="5">
        <f t="shared" si="15"/>
        <v>0</v>
      </c>
    </row>
    <row r="376" spans="2:12" x14ac:dyDescent="0.3">
      <c r="B376" s="28" t="str">
        <f t="shared" ca="1" si="16"/>
        <v/>
      </c>
      <c r="C376" s="29" t="str">
        <f t="shared" ca="1" si="17"/>
        <v/>
      </c>
      <c r="D376" s="57"/>
      <c r="E376" s="57"/>
      <c r="F376" s="57"/>
      <c r="G376" s="58"/>
      <c r="H376" s="58"/>
      <c r="I376" s="59"/>
      <c r="J376" s="59"/>
      <c r="K376" s="59"/>
      <c r="L376" s="5">
        <f t="shared" si="15"/>
        <v>0</v>
      </c>
    </row>
    <row r="377" spans="2:12" x14ac:dyDescent="0.3">
      <c r="B377" s="28" t="str">
        <f t="shared" ca="1" si="16"/>
        <v/>
      </c>
      <c r="C377" s="29" t="str">
        <f t="shared" ca="1" si="17"/>
        <v/>
      </c>
      <c r="D377" s="57"/>
      <c r="E377" s="57"/>
      <c r="F377" s="57"/>
      <c r="G377" s="58"/>
      <c r="H377" s="58"/>
      <c r="I377" s="59"/>
      <c r="J377" s="59"/>
      <c r="K377" s="59"/>
      <c r="L377" s="5">
        <f t="shared" si="15"/>
        <v>0</v>
      </c>
    </row>
    <row r="378" spans="2:12" x14ac:dyDescent="0.3">
      <c r="B378" s="28" t="str">
        <f t="shared" ca="1" si="16"/>
        <v/>
      </c>
      <c r="C378" s="29" t="str">
        <f t="shared" ca="1" si="17"/>
        <v/>
      </c>
      <c r="D378" s="57"/>
      <c r="E378" s="57"/>
      <c r="F378" s="57"/>
      <c r="G378" s="58"/>
      <c r="H378" s="58"/>
      <c r="I378" s="59"/>
      <c r="J378" s="59"/>
      <c r="K378" s="59"/>
      <c r="L378" s="5">
        <f t="shared" si="15"/>
        <v>0</v>
      </c>
    </row>
    <row r="379" spans="2:12" x14ac:dyDescent="0.3">
      <c r="B379" s="28" t="str">
        <f t="shared" ca="1" si="16"/>
        <v/>
      </c>
      <c r="C379" s="29" t="str">
        <f t="shared" ca="1" si="17"/>
        <v/>
      </c>
      <c r="D379" s="57"/>
      <c r="E379" s="57"/>
      <c r="F379" s="57"/>
      <c r="G379" s="58"/>
      <c r="H379" s="58"/>
      <c r="I379" s="59"/>
      <c r="J379" s="59"/>
      <c r="K379" s="59"/>
      <c r="L379" s="5">
        <f t="shared" si="15"/>
        <v>0</v>
      </c>
    </row>
    <row r="380" spans="2:12" x14ac:dyDescent="0.3">
      <c r="B380" s="28" t="str">
        <f t="shared" ca="1" si="16"/>
        <v/>
      </c>
      <c r="C380" s="29" t="str">
        <f t="shared" ca="1" si="17"/>
        <v/>
      </c>
      <c r="D380" s="57"/>
      <c r="E380" s="57"/>
      <c r="F380" s="57"/>
      <c r="G380" s="58"/>
      <c r="H380" s="58"/>
      <c r="I380" s="59"/>
      <c r="J380" s="59"/>
      <c r="K380" s="59"/>
      <c r="L380" s="5">
        <f t="shared" si="15"/>
        <v>0</v>
      </c>
    </row>
    <row r="381" spans="2:12" x14ac:dyDescent="0.3">
      <c r="B381" s="28" t="str">
        <f t="shared" ca="1" si="16"/>
        <v/>
      </c>
      <c r="C381" s="29" t="str">
        <f t="shared" ca="1" si="17"/>
        <v/>
      </c>
      <c r="D381" s="57"/>
      <c r="E381" s="57"/>
      <c r="F381" s="57"/>
      <c r="G381" s="58"/>
      <c r="H381" s="58"/>
      <c r="I381" s="59"/>
      <c r="J381" s="59"/>
      <c r="K381" s="59"/>
      <c r="L381" s="5">
        <f t="shared" si="15"/>
        <v>0</v>
      </c>
    </row>
    <row r="382" spans="2:12" x14ac:dyDescent="0.3">
      <c r="B382" s="28" t="str">
        <f t="shared" ca="1" si="16"/>
        <v/>
      </c>
      <c r="C382" s="29" t="str">
        <f t="shared" ca="1" si="17"/>
        <v/>
      </c>
      <c r="D382" s="57"/>
      <c r="E382" s="57"/>
      <c r="F382" s="57"/>
      <c r="G382" s="58"/>
      <c r="H382" s="58"/>
      <c r="I382" s="59"/>
      <c r="J382" s="59"/>
      <c r="K382" s="59"/>
      <c r="L382" s="5">
        <f t="shared" si="15"/>
        <v>0</v>
      </c>
    </row>
    <row r="383" spans="2:12" x14ac:dyDescent="0.3">
      <c r="B383" s="28" t="str">
        <f t="shared" ca="1" si="16"/>
        <v/>
      </c>
      <c r="C383" s="29" t="str">
        <f t="shared" ca="1" si="17"/>
        <v/>
      </c>
      <c r="D383" s="57"/>
      <c r="E383" s="57"/>
      <c r="F383" s="57"/>
      <c r="G383" s="58"/>
      <c r="H383" s="58"/>
      <c r="I383" s="59"/>
      <c r="J383" s="59"/>
      <c r="K383" s="59"/>
      <c r="L383" s="5">
        <f t="shared" si="15"/>
        <v>0</v>
      </c>
    </row>
    <row r="384" spans="2:12" x14ac:dyDescent="0.3">
      <c r="B384" s="28" t="str">
        <f t="shared" ca="1" si="16"/>
        <v/>
      </c>
      <c r="C384" s="29" t="str">
        <f t="shared" ca="1" si="17"/>
        <v/>
      </c>
      <c r="D384" s="57"/>
      <c r="E384" s="57"/>
      <c r="F384" s="57"/>
      <c r="G384" s="58"/>
      <c r="H384" s="58"/>
      <c r="I384" s="59"/>
      <c r="J384" s="59"/>
      <c r="K384" s="59"/>
      <c r="L384" s="5">
        <f t="shared" si="15"/>
        <v>0</v>
      </c>
    </row>
    <row r="385" spans="2:12" x14ac:dyDescent="0.3">
      <c r="B385" s="28" t="str">
        <f t="shared" ca="1" si="16"/>
        <v/>
      </c>
      <c r="C385" s="29" t="str">
        <f t="shared" ca="1" si="17"/>
        <v/>
      </c>
      <c r="D385" s="57"/>
      <c r="E385" s="57"/>
      <c r="F385" s="57"/>
      <c r="G385" s="58"/>
      <c r="H385" s="58"/>
      <c r="I385" s="59"/>
      <c r="J385" s="59"/>
      <c r="K385" s="59"/>
      <c r="L385" s="5">
        <f t="shared" si="15"/>
        <v>0</v>
      </c>
    </row>
    <row r="386" spans="2:12" x14ac:dyDescent="0.3">
      <c r="B386" s="28" t="str">
        <f t="shared" ca="1" si="16"/>
        <v/>
      </c>
      <c r="C386" s="29" t="str">
        <f t="shared" ca="1" si="17"/>
        <v/>
      </c>
      <c r="D386" s="57"/>
      <c r="E386" s="57"/>
      <c r="F386" s="57"/>
      <c r="G386" s="58"/>
      <c r="H386" s="58"/>
      <c r="I386" s="59"/>
      <c r="J386" s="59"/>
      <c r="K386" s="59"/>
      <c r="L386" s="5">
        <f t="shared" si="15"/>
        <v>0</v>
      </c>
    </row>
    <row r="387" spans="2:12" x14ac:dyDescent="0.3">
      <c r="B387" s="28" t="str">
        <f t="shared" ca="1" si="16"/>
        <v/>
      </c>
      <c r="C387" s="29" t="str">
        <f t="shared" ca="1" si="17"/>
        <v/>
      </c>
      <c r="D387" s="57"/>
      <c r="E387" s="57"/>
      <c r="F387" s="57"/>
      <c r="G387" s="58"/>
      <c r="H387" s="58"/>
      <c r="I387" s="59"/>
      <c r="J387" s="59"/>
      <c r="K387" s="59"/>
      <c r="L387" s="5">
        <f t="shared" si="15"/>
        <v>0</v>
      </c>
    </row>
    <row r="388" spans="2:12" x14ac:dyDescent="0.3">
      <c r="B388" s="28" t="str">
        <f t="shared" ca="1" si="16"/>
        <v/>
      </c>
      <c r="C388" s="29" t="str">
        <f t="shared" ca="1" si="17"/>
        <v/>
      </c>
      <c r="D388" s="57"/>
      <c r="E388" s="57"/>
      <c r="F388" s="57"/>
      <c r="G388" s="58"/>
      <c r="H388" s="58"/>
      <c r="I388" s="59"/>
      <c r="J388" s="59"/>
      <c r="K388" s="59"/>
      <c r="L388" s="5">
        <f t="shared" si="15"/>
        <v>0</v>
      </c>
    </row>
    <row r="389" spans="2:12" x14ac:dyDescent="0.3">
      <c r="B389" s="28" t="str">
        <f t="shared" ca="1" si="16"/>
        <v/>
      </c>
      <c r="C389" s="29" t="str">
        <f t="shared" ca="1" si="17"/>
        <v/>
      </c>
      <c r="D389" s="57"/>
      <c r="E389" s="57"/>
      <c r="F389" s="57"/>
      <c r="G389" s="58"/>
      <c r="H389" s="58"/>
      <c r="I389" s="59"/>
      <c r="J389" s="59"/>
      <c r="K389" s="59"/>
      <c r="L389" s="5">
        <f t="shared" si="15"/>
        <v>0</v>
      </c>
    </row>
    <row r="390" spans="2:12" x14ac:dyDescent="0.3">
      <c r="B390" s="28" t="str">
        <f t="shared" ca="1" si="16"/>
        <v/>
      </c>
      <c r="C390" s="29" t="str">
        <f t="shared" ca="1" si="17"/>
        <v/>
      </c>
      <c r="D390" s="57"/>
      <c r="E390" s="57"/>
      <c r="F390" s="57"/>
      <c r="G390" s="58"/>
      <c r="H390" s="58"/>
      <c r="I390" s="59"/>
      <c r="J390" s="59"/>
      <c r="K390" s="59"/>
      <c r="L390" s="5">
        <f t="shared" si="15"/>
        <v>0</v>
      </c>
    </row>
    <row r="391" spans="2:12" x14ac:dyDescent="0.3">
      <c r="B391" s="28" t="str">
        <f t="shared" ca="1" si="16"/>
        <v/>
      </c>
      <c r="C391" s="29" t="str">
        <f t="shared" ca="1" si="17"/>
        <v/>
      </c>
      <c r="D391" s="57"/>
      <c r="E391" s="57"/>
      <c r="F391" s="57"/>
      <c r="G391" s="58"/>
      <c r="H391" s="58"/>
      <c r="I391" s="59"/>
      <c r="J391" s="59"/>
      <c r="K391" s="59"/>
      <c r="L391" s="5">
        <f t="shared" si="15"/>
        <v>0</v>
      </c>
    </row>
    <row r="392" spans="2:12" x14ac:dyDescent="0.3">
      <c r="B392" s="28" t="str">
        <f t="shared" ca="1" si="16"/>
        <v/>
      </c>
      <c r="C392" s="29" t="str">
        <f t="shared" ca="1" si="17"/>
        <v/>
      </c>
      <c r="D392" s="57"/>
      <c r="E392" s="57"/>
      <c r="F392" s="57"/>
      <c r="G392" s="58"/>
      <c r="H392" s="58"/>
      <c r="I392" s="59"/>
      <c r="J392" s="59"/>
      <c r="K392" s="59"/>
      <c r="L392" s="5">
        <f t="shared" si="15"/>
        <v>0</v>
      </c>
    </row>
    <row r="393" spans="2:12" x14ac:dyDescent="0.3">
      <c r="B393" s="28" t="str">
        <f t="shared" ca="1" si="16"/>
        <v/>
      </c>
      <c r="C393" s="29" t="str">
        <f t="shared" ca="1" si="17"/>
        <v/>
      </c>
      <c r="D393" s="57"/>
      <c r="E393" s="57"/>
      <c r="F393" s="57"/>
      <c r="G393" s="58"/>
      <c r="H393" s="58"/>
      <c r="I393" s="59"/>
      <c r="J393" s="59"/>
      <c r="K393" s="59"/>
      <c r="L393" s="5">
        <f t="shared" si="15"/>
        <v>0</v>
      </c>
    </row>
    <row r="394" spans="2:12" x14ac:dyDescent="0.3">
      <c r="B394" s="28" t="str">
        <f t="shared" ca="1" si="16"/>
        <v/>
      </c>
      <c r="C394" s="29" t="str">
        <f t="shared" ca="1" si="17"/>
        <v/>
      </c>
      <c r="D394" s="57"/>
      <c r="E394" s="57"/>
      <c r="F394" s="57"/>
      <c r="G394" s="58"/>
      <c r="H394" s="58"/>
      <c r="I394" s="59"/>
      <c r="J394" s="59"/>
      <c r="K394" s="59"/>
      <c r="L394" s="5">
        <f t="shared" ref="L394:L457" si="18">J394-I394-K394</f>
        <v>0</v>
      </c>
    </row>
    <row r="395" spans="2:12" x14ac:dyDescent="0.3">
      <c r="B395" s="28" t="str">
        <f t="shared" ref="B395:B458" ca="1" si="19">IF(D395&lt;&gt;"",DATE(Jahr,_xlfn.SHEET()-2,D395),"")</f>
        <v/>
      </c>
      <c r="C395" s="29" t="str">
        <f t="shared" ref="C395:C458" ca="1" si="20">B395</f>
        <v/>
      </c>
      <c r="D395" s="57"/>
      <c r="E395" s="57"/>
      <c r="F395" s="57"/>
      <c r="G395" s="58"/>
      <c r="H395" s="58"/>
      <c r="I395" s="59"/>
      <c r="J395" s="59"/>
      <c r="K395" s="59"/>
      <c r="L395" s="5">
        <f t="shared" si="18"/>
        <v>0</v>
      </c>
    </row>
    <row r="396" spans="2:12" x14ac:dyDescent="0.3">
      <c r="B396" s="28" t="str">
        <f t="shared" ca="1" si="19"/>
        <v/>
      </c>
      <c r="C396" s="29" t="str">
        <f t="shared" ca="1" si="20"/>
        <v/>
      </c>
      <c r="D396" s="57"/>
      <c r="E396" s="57"/>
      <c r="F396" s="57"/>
      <c r="G396" s="58"/>
      <c r="H396" s="58"/>
      <c r="I396" s="59"/>
      <c r="J396" s="59"/>
      <c r="K396" s="59"/>
      <c r="L396" s="5">
        <f t="shared" si="18"/>
        <v>0</v>
      </c>
    </row>
    <row r="397" spans="2:12" x14ac:dyDescent="0.3">
      <c r="B397" s="28" t="str">
        <f t="shared" ca="1" si="19"/>
        <v/>
      </c>
      <c r="C397" s="29" t="str">
        <f t="shared" ca="1" si="20"/>
        <v/>
      </c>
      <c r="D397" s="57"/>
      <c r="E397" s="57"/>
      <c r="F397" s="57"/>
      <c r="G397" s="58"/>
      <c r="H397" s="58"/>
      <c r="I397" s="59"/>
      <c r="J397" s="59"/>
      <c r="K397" s="59"/>
      <c r="L397" s="5">
        <f t="shared" si="18"/>
        <v>0</v>
      </c>
    </row>
    <row r="398" spans="2:12" x14ac:dyDescent="0.3">
      <c r="B398" s="28" t="str">
        <f t="shared" ca="1" si="19"/>
        <v/>
      </c>
      <c r="C398" s="29" t="str">
        <f t="shared" ca="1" si="20"/>
        <v/>
      </c>
      <c r="D398" s="57"/>
      <c r="E398" s="57"/>
      <c r="F398" s="57"/>
      <c r="G398" s="58"/>
      <c r="H398" s="58"/>
      <c r="I398" s="59"/>
      <c r="J398" s="59"/>
      <c r="K398" s="59"/>
      <c r="L398" s="5">
        <f t="shared" si="18"/>
        <v>0</v>
      </c>
    </row>
    <row r="399" spans="2:12" x14ac:dyDescent="0.3">
      <c r="B399" s="28" t="str">
        <f t="shared" ca="1" si="19"/>
        <v/>
      </c>
      <c r="C399" s="29" t="str">
        <f t="shared" ca="1" si="20"/>
        <v/>
      </c>
      <c r="D399" s="57"/>
      <c r="E399" s="57"/>
      <c r="F399" s="57"/>
      <c r="G399" s="58"/>
      <c r="H399" s="58"/>
      <c r="I399" s="59"/>
      <c r="J399" s="59"/>
      <c r="K399" s="59"/>
      <c r="L399" s="5">
        <f t="shared" si="18"/>
        <v>0</v>
      </c>
    </row>
    <row r="400" spans="2:12" x14ac:dyDescent="0.3">
      <c r="B400" s="28" t="str">
        <f t="shared" ca="1" si="19"/>
        <v/>
      </c>
      <c r="C400" s="29" t="str">
        <f t="shared" ca="1" si="20"/>
        <v/>
      </c>
      <c r="D400" s="57"/>
      <c r="E400" s="57"/>
      <c r="F400" s="57"/>
      <c r="G400" s="58"/>
      <c r="H400" s="58"/>
      <c r="I400" s="59"/>
      <c r="J400" s="59"/>
      <c r="K400" s="59"/>
      <c r="L400" s="5">
        <f t="shared" si="18"/>
        <v>0</v>
      </c>
    </row>
    <row r="401" spans="2:12" x14ac:dyDescent="0.3">
      <c r="B401" s="28" t="str">
        <f t="shared" ca="1" si="19"/>
        <v/>
      </c>
      <c r="C401" s="29" t="str">
        <f t="shared" ca="1" si="20"/>
        <v/>
      </c>
      <c r="D401" s="57"/>
      <c r="E401" s="57"/>
      <c r="F401" s="57"/>
      <c r="G401" s="58"/>
      <c r="H401" s="58"/>
      <c r="I401" s="59"/>
      <c r="J401" s="59"/>
      <c r="K401" s="59"/>
      <c r="L401" s="5">
        <f t="shared" si="18"/>
        <v>0</v>
      </c>
    </row>
    <row r="402" spans="2:12" x14ac:dyDescent="0.3">
      <c r="B402" s="28" t="str">
        <f t="shared" ca="1" si="19"/>
        <v/>
      </c>
      <c r="C402" s="29" t="str">
        <f t="shared" ca="1" si="20"/>
        <v/>
      </c>
      <c r="D402" s="57"/>
      <c r="E402" s="57"/>
      <c r="F402" s="57"/>
      <c r="G402" s="58"/>
      <c r="H402" s="58"/>
      <c r="I402" s="59"/>
      <c r="J402" s="59"/>
      <c r="K402" s="59"/>
      <c r="L402" s="5">
        <f t="shared" si="18"/>
        <v>0</v>
      </c>
    </row>
    <row r="403" spans="2:12" x14ac:dyDescent="0.3">
      <c r="B403" s="28" t="str">
        <f t="shared" ca="1" si="19"/>
        <v/>
      </c>
      <c r="C403" s="29" t="str">
        <f t="shared" ca="1" si="20"/>
        <v/>
      </c>
      <c r="D403" s="57"/>
      <c r="E403" s="57"/>
      <c r="F403" s="57"/>
      <c r="G403" s="58"/>
      <c r="H403" s="58"/>
      <c r="I403" s="59"/>
      <c r="J403" s="59"/>
      <c r="K403" s="59"/>
      <c r="L403" s="5">
        <f t="shared" si="18"/>
        <v>0</v>
      </c>
    </row>
    <row r="404" spans="2:12" x14ac:dyDescent="0.3">
      <c r="B404" s="28" t="str">
        <f t="shared" ca="1" si="19"/>
        <v/>
      </c>
      <c r="C404" s="29" t="str">
        <f t="shared" ca="1" si="20"/>
        <v/>
      </c>
      <c r="D404" s="57"/>
      <c r="E404" s="57"/>
      <c r="F404" s="57"/>
      <c r="G404" s="58"/>
      <c r="H404" s="58"/>
      <c r="I404" s="59"/>
      <c r="J404" s="59"/>
      <c r="K404" s="59"/>
      <c r="L404" s="5">
        <f t="shared" si="18"/>
        <v>0</v>
      </c>
    </row>
    <row r="405" spans="2:12" x14ac:dyDescent="0.3">
      <c r="B405" s="28" t="str">
        <f t="shared" ca="1" si="19"/>
        <v/>
      </c>
      <c r="C405" s="29" t="str">
        <f t="shared" ca="1" si="20"/>
        <v/>
      </c>
      <c r="D405" s="57"/>
      <c r="E405" s="57"/>
      <c r="F405" s="57"/>
      <c r="G405" s="58"/>
      <c r="H405" s="58"/>
      <c r="I405" s="59"/>
      <c r="J405" s="59"/>
      <c r="K405" s="59"/>
      <c r="L405" s="5">
        <f t="shared" si="18"/>
        <v>0</v>
      </c>
    </row>
    <row r="406" spans="2:12" x14ac:dyDescent="0.3">
      <c r="B406" s="28" t="str">
        <f t="shared" ca="1" si="19"/>
        <v/>
      </c>
      <c r="C406" s="29" t="str">
        <f t="shared" ca="1" si="20"/>
        <v/>
      </c>
      <c r="D406" s="57"/>
      <c r="E406" s="57"/>
      <c r="F406" s="57"/>
      <c r="G406" s="58"/>
      <c r="H406" s="58"/>
      <c r="I406" s="59"/>
      <c r="J406" s="59"/>
      <c r="K406" s="59"/>
      <c r="L406" s="5">
        <f t="shared" si="18"/>
        <v>0</v>
      </c>
    </row>
    <row r="407" spans="2:12" x14ac:dyDescent="0.3">
      <c r="B407" s="28" t="str">
        <f t="shared" ca="1" si="19"/>
        <v/>
      </c>
      <c r="C407" s="29" t="str">
        <f t="shared" ca="1" si="20"/>
        <v/>
      </c>
      <c r="D407" s="57"/>
      <c r="E407" s="57"/>
      <c r="F407" s="57"/>
      <c r="G407" s="58"/>
      <c r="H407" s="58"/>
      <c r="I407" s="59"/>
      <c r="J407" s="59"/>
      <c r="K407" s="59"/>
      <c r="L407" s="5">
        <f t="shared" si="18"/>
        <v>0</v>
      </c>
    </row>
    <row r="408" spans="2:12" x14ac:dyDescent="0.3">
      <c r="B408" s="28" t="str">
        <f t="shared" ca="1" si="19"/>
        <v/>
      </c>
      <c r="C408" s="29" t="str">
        <f t="shared" ca="1" si="20"/>
        <v/>
      </c>
      <c r="D408" s="57"/>
      <c r="E408" s="57"/>
      <c r="F408" s="57"/>
      <c r="G408" s="58"/>
      <c r="H408" s="58"/>
      <c r="I408" s="59"/>
      <c r="J408" s="59"/>
      <c r="K408" s="59"/>
      <c r="L408" s="5">
        <f t="shared" si="18"/>
        <v>0</v>
      </c>
    </row>
    <row r="409" spans="2:12" x14ac:dyDescent="0.3">
      <c r="B409" s="28" t="str">
        <f t="shared" ca="1" si="19"/>
        <v/>
      </c>
      <c r="C409" s="29" t="str">
        <f t="shared" ca="1" si="20"/>
        <v/>
      </c>
      <c r="D409" s="57"/>
      <c r="E409" s="57"/>
      <c r="F409" s="57"/>
      <c r="G409" s="58"/>
      <c r="H409" s="58"/>
      <c r="I409" s="59"/>
      <c r="J409" s="59"/>
      <c r="K409" s="59"/>
      <c r="L409" s="5">
        <f t="shared" si="18"/>
        <v>0</v>
      </c>
    </row>
    <row r="410" spans="2:12" x14ac:dyDescent="0.3">
      <c r="B410" s="28" t="str">
        <f t="shared" ca="1" si="19"/>
        <v/>
      </c>
      <c r="C410" s="29" t="str">
        <f t="shared" ca="1" si="20"/>
        <v/>
      </c>
      <c r="D410" s="57"/>
      <c r="E410" s="57"/>
      <c r="F410" s="57"/>
      <c r="G410" s="58"/>
      <c r="H410" s="58"/>
      <c r="I410" s="59"/>
      <c r="J410" s="59"/>
      <c r="K410" s="59"/>
      <c r="L410" s="5">
        <f t="shared" si="18"/>
        <v>0</v>
      </c>
    </row>
    <row r="411" spans="2:12" x14ac:dyDescent="0.3">
      <c r="B411" s="28" t="str">
        <f t="shared" ca="1" si="19"/>
        <v/>
      </c>
      <c r="C411" s="29" t="str">
        <f t="shared" ca="1" si="20"/>
        <v/>
      </c>
      <c r="D411" s="57"/>
      <c r="E411" s="57"/>
      <c r="F411" s="57"/>
      <c r="G411" s="58"/>
      <c r="H411" s="58"/>
      <c r="I411" s="59"/>
      <c r="J411" s="59"/>
      <c r="K411" s="59"/>
      <c r="L411" s="5">
        <f t="shared" si="18"/>
        <v>0</v>
      </c>
    </row>
    <row r="412" spans="2:12" x14ac:dyDescent="0.3">
      <c r="B412" s="28" t="str">
        <f t="shared" ca="1" si="19"/>
        <v/>
      </c>
      <c r="C412" s="29" t="str">
        <f t="shared" ca="1" si="20"/>
        <v/>
      </c>
      <c r="D412" s="57"/>
      <c r="E412" s="57"/>
      <c r="F412" s="57"/>
      <c r="G412" s="58"/>
      <c r="H412" s="58"/>
      <c r="I412" s="59"/>
      <c r="J412" s="59"/>
      <c r="K412" s="59"/>
      <c r="L412" s="5">
        <f t="shared" si="18"/>
        <v>0</v>
      </c>
    </row>
    <row r="413" spans="2:12" x14ac:dyDescent="0.3">
      <c r="B413" s="28" t="str">
        <f t="shared" ca="1" si="19"/>
        <v/>
      </c>
      <c r="C413" s="29" t="str">
        <f t="shared" ca="1" si="20"/>
        <v/>
      </c>
      <c r="D413" s="57"/>
      <c r="E413" s="57"/>
      <c r="F413" s="57"/>
      <c r="G413" s="58"/>
      <c r="H413" s="58"/>
      <c r="I413" s="59"/>
      <c r="J413" s="59"/>
      <c r="K413" s="59"/>
      <c r="L413" s="5">
        <f t="shared" si="18"/>
        <v>0</v>
      </c>
    </row>
    <row r="414" spans="2:12" x14ac:dyDescent="0.3">
      <c r="B414" s="28" t="str">
        <f t="shared" ca="1" si="19"/>
        <v/>
      </c>
      <c r="C414" s="29" t="str">
        <f t="shared" ca="1" si="20"/>
        <v/>
      </c>
      <c r="D414" s="57"/>
      <c r="E414" s="57"/>
      <c r="F414" s="57"/>
      <c r="G414" s="58"/>
      <c r="H414" s="58"/>
      <c r="I414" s="59"/>
      <c r="J414" s="59"/>
      <c r="K414" s="59"/>
      <c r="L414" s="5">
        <f t="shared" si="18"/>
        <v>0</v>
      </c>
    </row>
    <row r="415" spans="2:12" x14ac:dyDescent="0.3">
      <c r="B415" s="28" t="str">
        <f t="shared" ca="1" si="19"/>
        <v/>
      </c>
      <c r="C415" s="29" t="str">
        <f t="shared" ca="1" si="20"/>
        <v/>
      </c>
      <c r="D415" s="57"/>
      <c r="E415" s="57"/>
      <c r="F415" s="57"/>
      <c r="G415" s="58"/>
      <c r="H415" s="58"/>
      <c r="I415" s="59"/>
      <c r="J415" s="59"/>
      <c r="K415" s="59"/>
      <c r="L415" s="5">
        <f t="shared" si="18"/>
        <v>0</v>
      </c>
    </row>
    <row r="416" spans="2:12" x14ac:dyDescent="0.3">
      <c r="B416" s="28" t="str">
        <f t="shared" ca="1" si="19"/>
        <v/>
      </c>
      <c r="C416" s="29" t="str">
        <f t="shared" ca="1" si="20"/>
        <v/>
      </c>
      <c r="D416" s="57"/>
      <c r="E416" s="57"/>
      <c r="F416" s="57"/>
      <c r="G416" s="58"/>
      <c r="H416" s="58"/>
      <c r="I416" s="59"/>
      <c r="J416" s="59"/>
      <c r="K416" s="59"/>
      <c r="L416" s="5">
        <f t="shared" si="18"/>
        <v>0</v>
      </c>
    </row>
    <row r="417" spans="2:12" x14ac:dyDescent="0.3">
      <c r="B417" s="28" t="str">
        <f t="shared" ca="1" si="19"/>
        <v/>
      </c>
      <c r="C417" s="29" t="str">
        <f t="shared" ca="1" si="20"/>
        <v/>
      </c>
      <c r="D417" s="57"/>
      <c r="E417" s="57"/>
      <c r="F417" s="57"/>
      <c r="G417" s="58"/>
      <c r="H417" s="58"/>
      <c r="I417" s="59"/>
      <c r="J417" s="59"/>
      <c r="K417" s="59"/>
      <c r="L417" s="5">
        <f t="shared" si="18"/>
        <v>0</v>
      </c>
    </row>
    <row r="418" spans="2:12" x14ac:dyDescent="0.3">
      <c r="B418" s="28" t="str">
        <f t="shared" ca="1" si="19"/>
        <v/>
      </c>
      <c r="C418" s="29" t="str">
        <f t="shared" ca="1" si="20"/>
        <v/>
      </c>
      <c r="D418" s="57"/>
      <c r="E418" s="57"/>
      <c r="F418" s="57"/>
      <c r="G418" s="58"/>
      <c r="H418" s="58"/>
      <c r="I418" s="59"/>
      <c r="J418" s="59"/>
      <c r="K418" s="59"/>
      <c r="L418" s="5">
        <f t="shared" si="18"/>
        <v>0</v>
      </c>
    </row>
    <row r="419" spans="2:12" x14ac:dyDescent="0.3">
      <c r="B419" s="28" t="str">
        <f t="shared" ca="1" si="19"/>
        <v/>
      </c>
      <c r="C419" s="29" t="str">
        <f t="shared" ca="1" si="20"/>
        <v/>
      </c>
      <c r="D419" s="57"/>
      <c r="E419" s="57"/>
      <c r="F419" s="57"/>
      <c r="G419" s="58"/>
      <c r="H419" s="58"/>
      <c r="I419" s="59"/>
      <c r="J419" s="59"/>
      <c r="K419" s="59"/>
      <c r="L419" s="5">
        <f t="shared" si="18"/>
        <v>0</v>
      </c>
    </row>
    <row r="420" spans="2:12" x14ac:dyDescent="0.3">
      <c r="B420" s="28" t="str">
        <f t="shared" ca="1" si="19"/>
        <v/>
      </c>
      <c r="C420" s="29" t="str">
        <f t="shared" ca="1" si="20"/>
        <v/>
      </c>
      <c r="D420" s="57"/>
      <c r="E420" s="57"/>
      <c r="F420" s="57"/>
      <c r="G420" s="58"/>
      <c r="H420" s="58"/>
      <c r="I420" s="59"/>
      <c r="J420" s="59"/>
      <c r="K420" s="59"/>
      <c r="L420" s="5">
        <f t="shared" si="18"/>
        <v>0</v>
      </c>
    </row>
    <row r="421" spans="2:12" x14ac:dyDescent="0.3">
      <c r="B421" s="28" t="str">
        <f t="shared" ca="1" si="19"/>
        <v/>
      </c>
      <c r="C421" s="29" t="str">
        <f t="shared" ca="1" si="20"/>
        <v/>
      </c>
      <c r="D421" s="57"/>
      <c r="E421" s="57"/>
      <c r="F421" s="57"/>
      <c r="G421" s="58"/>
      <c r="H421" s="58"/>
      <c r="I421" s="59"/>
      <c r="J421" s="59"/>
      <c r="K421" s="59"/>
      <c r="L421" s="5">
        <f t="shared" si="18"/>
        <v>0</v>
      </c>
    </row>
    <row r="422" spans="2:12" x14ac:dyDescent="0.3">
      <c r="B422" s="28" t="str">
        <f t="shared" ca="1" si="19"/>
        <v/>
      </c>
      <c r="C422" s="29" t="str">
        <f t="shared" ca="1" si="20"/>
        <v/>
      </c>
      <c r="D422" s="57"/>
      <c r="E422" s="57"/>
      <c r="F422" s="57"/>
      <c r="G422" s="58"/>
      <c r="H422" s="58"/>
      <c r="I422" s="59"/>
      <c r="J422" s="59"/>
      <c r="K422" s="59"/>
      <c r="L422" s="5">
        <f t="shared" si="18"/>
        <v>0</v>
      </c>
    </row>
    <row r="423" spans="2:12" x14ac:dyDescent="0.3">
      <c r="B423" s="28" t="str">
        <f t="shared" ca="1" si="19"/>
        <v/>
      </c>
      <c r="C423" s="29" t="str">
        <f t="shared" ca="1" si="20"/>
        <v/>
      </c>
      <c r="D423" s="57"/>
      <c r="E423" s="57"/>
      <c r="F423" s="57"/>
      <c r="G423" s="58"/>
      <c r="H423" s="58"/>
      <c r="I423" s="59"/>
      <c r="J423" s="59"/>
      <c r="K423" s="59"/>
      <c r="L423" s="5">
        <f t="shared" si="18"/>
        <v>0</v>
      </c>
    </row>
    <row r="424" spans="2:12" x14ac:dyDescent="0.3">
      <c r="B424" s="28" t="str">
        <f t="shared" ca="1" si="19"/>
        <v/>
      </c>
      <c r="C424" s="29" t="str">
        <f t="shared" ca="1" si="20"/>
        <v/>
      </c>
      <c r="D424" s="57"/>
      <c r="E424" s="57"/>
      <c r="F424" s="57"/>
      <c r="G424" s="58"/>
      <c r="H424" s="58"/>
      <c r="I424" s="59"/>
      <c r="J424" s="59"/>
      <c r="K424" s="59"/>
      <c r="L424" s="5">
        <f t="shared" si="18"/>
        <v>0</v>
      </c>
    </row>
    <row r="425" spans="2:12" x14ac:dyDescent="0.3">
      <c r="B425" s="28" t="str">
        <f t="shared" ca="1" si="19"/>
        <v/>
      </c>
      <c r="C425" s="29" t="str">
        <f t="shared" ca="1" si="20"/>
        <v/>
      </c>
      <c r="D425" s="57"/>
      <c r="E425" s="57"/>
      <c r="F425" s="57"/>
      <c r="G425" s="58"/>
      <c r="H425" s="58"/>
      <c r="I425" s="59"/>
      <c r="J425" s="59"/>
      <c r="K425" s="59"/>
      <c r="L425" s="5">
        <f t="shared" si="18"/>
        <v>0</v>
      </c>
    </row>
    <row r="426" spans="2:12" x14ac:dyDescent="0.3">
      <c r="B426" s="28" t="str">
        <f t="shared" ca="1" si="19"/>
        <v/>
      </c>
      <c r="C426" s="29" t="str">
        <f t="shared" ca="1" si="20"/>
        <v/>
      </c>
      <c r="D426" s="57"/>
      <c r="E426" s="57"/>
      <c r="F426" s="57"/>
      <c r="G426" s="58"/>
      <c r="H426" s="58"/>
      <c r="I426" s="59"/>
      <c r="J426" s="59"/>
      <c r="K426" s="59"/>
      <c r="L426" s="5">
        <f t="shared" si="18"/>
        <v>0</v>
      </c>
    </row>
    <row r="427" spans="2:12" x14ac:dyDescent="0.3">
      <c r="B427" s="28" t="str">
        <f t="shared" ca="1" si="19"/>
        <v/>
      </c>
      <c r="C427" s="29" t="str">
        <f t="shared" ca="1" si="20"/>
        <v/>
      </c>
      <c r="D427" s="57"/>
      <c r="E427" s="57"/>
      <c r="F427" s="57"/>
      <c r="G427" s="58"/>
      <c r="H427" s="58"/>
      <c r="I427" s="59"/>
      <c r="J427" s="59"/>
      <c r="K427" s="59"/>
      <c r="L427" s="5">
        <f t="shared" si="18"/>
        <v>0</v>
      </c>
    </row>
    <row r="428" spans="2:12" x14ac:dyDescent="0.3">
      <c r="B428" s="28" t="str">
        <f t="shared" ca="1" si="19"/>
        <v/>
      </c>
      <c r="C428" s="29" t="str">
        <f t="shared" ca="1" si="20"/>
        <v/>
      </c>
      <c r="D428" s="57"/>
      <c r="E428" s="57"/>
      <c r="F428" s="57"/>
      <c r="G428" s="58"/>
      <c r="H428" s="58"/>
      <c r="I428" s="59"/>
      <c r="J428" s="59"/>
      <c r="K428" s="59"/>
      <c r="L428" s="5">
        <f t="shared" si="18"/>
        <v>0</v>
      </c>
    </row>
    <row r="429" spans="2:12" x14ac:dyDescent="0.3">
      <c r="B429" s="28" t="str">
        <f t="shared" ca="1" si="19"/>
        <v/>
      </c>
      <c r="C429" s="29" t="str">
        <f t="shared" ca="1" si="20"/>
        <v/>
      </c>
      <c r="D429" s="57"/>
      <c r="E429" s="57"/>
      <c r="F429" s="57"/>
      <c r="G429" s="58"/>
      <c r="H429" s="58"/>
      <c r="I429" s="59"/>
      <c r="J429" s="59"/>
      <c r="K429" s="59"/>
      <c r="L429" s="5">
        <f t="shared" si="18"/>
        <v>0</v>
      </c>
    </row>
    <row r="430" spans="2:12" x14ac:dyDescent="0.3">
      <c r="B430" s="28" t="str">
        <f t="shared" ca="1" si="19"/>
        <v/>
      </c>
      <c r="C430" s="29" t="str">
        <f t="shared" ca="1" si="20"/>
        <v/>
      </c>
      <c r="D430" s="57"/>
      <c r="E430" s="57"/>
      <c r="F430" s="57"/>
      <c r="G430" s="58"/>
      <c r="H430" s="58"/>
      <c r="I430" s="59"/>
      <c r="J430" s="59"/>
      <c r="K430" s="59"/>
      <c r="L430" s="5">
        <f t="shared" si="18"/>
        <v>0</v>
      </c>
    </row>
    <row r="431" spans="2:12" x14ac:dyDescent="0.3">
      <c r="B431" s="28" t="str">
        <f t="shared" ca="1" si="19"/>
        <v/>
      </c>
      <c r="C431" s="29" t="str">
        <f t="shared" ca="1" si="20"/>
        <v/>
      </c>
      <c r="D431" s="57"/>
      <c r="E431" s="57"/>
      <c r="F431" s="57"/>
      <c r="G431" s="58"/>
      <c r="H431" s="58"/>
      <c r="I431" s="59"/>
      <c r="J431" s="59"/>
      <c r="K431" s="59"/>
      <c r="L431" s="5">
        <f t="shared" si="18"/>
        <v>0</v>
      </c>
    </row>
    <row r="432" spans="2:12" x14ac:dyDescent="0.3">
      <c r="B432" s="28" t="str">
        <f t="shared" ca="1" si="19"/>
        <v/>
      </c>
      <c r="C432" s="29" t="str">
        <f t="shared" ca="1" si="20"/>
        <v/>
      </c>
      <c r="D432" s="57"/>
      <c r="E432" s="57"/>
      <c r="F432" s="57"/>
      <c r="G432" s="58"/>
      <c r="H432" s="58"/>
      <c r="I432" s="59"/>
      <c r="J432" s="59"/>
      <c r="K432" s="59"/>
      <c r="L432" s="5">
        <f t="shared" si="18"/>
        <v>0</v>
      </c>
    </row>
    <row r="433" spans="2:12" x14ac:dyDescent="0.3">
      <c r="B433" s="28" t="str">
        <f t="shared" ca="1" si="19"/>
        <v/>
      </c>
      <c r="C433" s="29" t="str">
        <f t="shared" ca="1" si="20"/>
        <v/>
      </c>
      <c r="D433" s="57"/>
      <c r="E433" s="57"/>
      <c r="F433" s="57"/>
      <c r="G433" s="58"/>
      <c r="H433" s="58"/>
      <c r="I433" s="59"/>
      <c r="J433" s="59"/>
      <c r="K433" s="59"/>
      <c r="L433" s="5">
        <f t="shared" si="18"/>
        <v>0</v>
      </c>
    </row>
    <row r="434" spans="2:12" x14ac:dyDescent="0.3">
      <c r="B434" s="28" t="str">
        <f t="shared" ca="1" si="19"/>
        <v/>
      </c>
      <c r="C434" s="29" t="str">
        <f t="shared" ca="1" si="20"/>
        <v/>
      </c>
      <c r="D434" s="57"/>
      <c r="E434" s="57"/>
      <c r="F434" s="57"/>
      <c r="G434" s="58"/>
      <c r="H434" s="58"/>
      <c r="I434" s="59"/>
      <c r="J434" s="59"/>
      <c r="K434" s="59"/>
      <c r="L434" s="5">
        <f t="shared" si="18"/>
        <v>0</v>
      </c>
    </row>
    <row r="435" spans="2:12" x14ac:dyDescent="0.3">
      <c r="B435" s="28" t="str">
        <f t="shared" ca="1" si="19"/>
        <v/>
      </c>
      <c r="C435" s="29" t="str">
        <f t="shared" ca="1" si="20"/>
        <v/>
      </c>
      <c r="D435" s="57"/>
      <c r="E435" s="57"/>
      <c r="F435" s="57"/>
      <c r="G435" s="58"/>
      <c r="H435" s="58"/>
      <c r="I435" s="59"/>
      <c r="J435" s="59"/>
      <c r="K435" s="59"/>
      <c r="L435" s="5">
        <f t="shared" si="18"/>
        <v>0</v>
      </c>
    </row>
    <row r="436" spans="2:12" x14ac:dyDescent="0.3">
      <c r="B436" s="28" t="str">
        <f t="shared" ca="1" si="19"/>
        <v/>
      </c>
      <c r="C436" s="29" t="str">
        <f t="shared" ca="1" si="20"/>
        <v/>
      </c>
      <c r="D436" s="57"/>
      <c r="E436" s="57"/>
      <c r="F436" s="57"/>
      <c r="G436" s="58"/>
      <c r="H436" s="58"/>
      <c r="I436" s="59"/>
      <c r="J436" s="59"/>
      <c r="K436" s="59"/>
      <c r="L436" s="5">
        <f t="shared" si="18"/>
        <v>0</v>
      </c>
    </row>
    <row r="437" spans="2:12" x14ac:dyDescent="0.3">
      <c r="B437" s="28" t="str">
        <f t="shared" ca="1" si="19"/>
        <v/>
      </c>
      <c r="C437" s="29" t="str">
        <f t="shared" ca="1" si="20"/>
        <v/>
      </c>
      <c r="D437" s="57"/>
      <c r="E437" s="57"/>
      <c r="F437" s="57"/>
      <c r="G437" s="58"/>
      <c r="H437" s="58"/>
      <c r="I437" s="59"/>
      <c r="J437" s="59"/>
      <c r="K437" s="59"/>
      <c r="L437" s="5">
        <f t="shared" si="18"/>
        <v>0</v>
      </c>
    </row>
    <row r="438" spans="2:12" x14ac:dyDescent="0.3">
      <c r="B438" s="28" t="str">
        <f t="shared" ca="1" si="19"/>
        <v/>
      </c>
      <c r="C438" s="29" t="str">
        <f t="shared" ca="1" si="20"/>
        <v/>
      </c>
      <c r="D438" s="57"/>
      <c r="E438" s="57"/>
      <c r="F438" s="57"/>
      <c r="G438" s="58"/>
      <c r="H438" s="58"/>
      <c r="I438" s="59"/>
      <c r="J438" s="59"/>
      <c r="K438" s="59"/>
      <c r="L438" s="5">
        <f t="shared" si="18"/>
        <v>0</v>
      </c>
    </row>
    <row r="439" spans="2:12" x14ac:dyDescent="0.3">
      <c r="B439" s="28" t="str">
        <f t="shared" ca="1" si="19"/>
        <v/>
      </c>
      <c r="C439" s="29" t="str">
        <f t="shared" ca="1" si="20"/>
        <v/>
      </c>
      <c r="D439" s="57"/>
      <c r="E439" s="57"/>
      <c r="F439" s="57"/>
      <c r="G439" s="58"/>
      <c r="H439" s="58"/>
      <c r="I439" s="59"/>
      <c r="J439" s="59"/>
      <c r="K439" s="59"/>
      <c r="L439" s="5">
        <f t="shared" si="18"/>
        <v>0</v>
      </c>
    </row>
    <row r="440" spans="2:12" x14ac:dyDescent="0.3">
      <c r="B440" s="28" t="str">
        <f t="shared" ca="1" si="19"/>
        <v/>
      </c>
      <c r="C440" s="29" t="str">
        <f t="shared" ca="1" si="20"/>
        <v/>
      </c>
      <c r="D440" s="57"/>
      <c r="E440" s="57"/>
      <c r="F440" s="57"/>
      <c r="G440" s="58"/>
      <c r="H440" s="58"/>
      <c r="I440" s="59"/>
      <c r="J440" s="59"/>
      <c r="K440" s="59"/>
      <c r="L440" s="5">
        <f t="shared" si="18"/>
        <v>0</v>
      </c>
    </row>
    <row r="441" spans="2:12" x14ac:dyDescent="0.3">
      <c r="B441" s="28" t="str">
        <f t="shared" ca="1" si="19"/>
        <v/>
      </c>
      <c r="C441" s="29" t="str">
        <f t="shared" ca="1" si="20"/>
        <v/>
      </c>
      <c r="D441" s="57"/>
      <c r="E441" s="57"/>
      <c r="F441" s="57"/>
      <c r="G441" s="58"/>
      <c r="H441" s="58"/>
      <c r="I441" s="59"/>
      <c r="J441" s="59"/>
      <c r="K441" s="59"/>
      <c r="L441" s="5">
        <f t="shared" si="18"/>
        <v>0</v>
      </c>
    </row>
    <row r="442" spans="2:12" x14ac:dyDescent="0.3">
      <c r="B442" s="28" t="str">
        <f t="shared" ca="1" si="19"/>
        <v/>
      </c>
      <c r="C442" s="29" t="str">
        <f t="shared" ca="1" si="20"/>
        <v/>
      </c>
      <c r="D442" s="57"/>
      <c r="E442" s="57"/>
      <c r="F442" s="57"/>
      <c r="G442" s="58"/>
      <c r="H442" s="58"/>
      <c r="I442" s="59"/>
      <c r="J442" s="59"/>
      <c r="K442" s="59"/>
      <c r="L442" s="5">
        <f t="shared" si="18"/>
        <v>0</v>
      </c>
    </row>
    <row r="443" spans="2:12" x14ac:dyDescent="0.3">
      <c r="B443" s="28" t="str">
        <f t="shared" ca="1" si="19"/>
        <v/>
      </c>
      <c r="C443" s="29" t="str">
        <f t="shared" ca="1" si="20"/>
        <v/>
      </c>
      <c r="D443" s="57"/>
      <c r="E443" s="57"/>
      <c r="F443" s="57"/>
      <c r="G443" s="58"/>
      <c r="H443" s="58"/>
      <c r="I443" s="59"/>
      <c r="J443" s="59"/>
      <c r="K443" s="59"/>
      <c r="L443" s="5">
        <f t="shared" si="18"/>
        <v>0</v>
      </c>
    </row>
    <row r="444" spans="2:12" x14ac:dyDescent="0.3">
      <c r="B444" s="28" t="str">
        <f t="shared" ca="1" si="19"/>
        <v/>
      </c>
      <c r="C444" s="29" t="str">
        <f t="shared" ca="1" si="20"/>
        <v/>
      </c>
      <c r="D444" s="57"/>
      <c r="E444" s="57"/>
      <c r="F444" s="57"/>
      <c r="G444" s="58"/>
      <c r="H444" s="58"/>
      <c r="I444" s="59"/>
      <c r="J444" s="59"/>
      <c r="K444" s="59"/>
      <c r="L444" s="5">
        <f t="shared" si="18"/>
        <v>0</v>
      </c>
    </row>
    <row r="445" spans="2:12" x14ac:dyDescent="0.3">
      <c r="B445" s="28" t="str">
        <f t="shared" ca="1" si="19"/>
        <v/>
      </c>
      <c r="C445" s="29" t="str">
        <f t="shared" ca="1" si="20"/>
        <v/>
      </c>
      <c r="D445" s="57"/>
      <c r="E445" s="57"/>
      <c r="F445" s="57"/>
      <c r="G445" s="58"/>
      <c r="H445" s="58"/>
      <c r="I445" s="59"/>
      <c r="J445" s="59"/>
      <c r="K445" s="59"/>
      <c r="L445" s="5">
        <f t="shared" si="18"/>
        <v>0</v>
      </c>
    </row>
    <row r="446" spans="2:12" x14ac:dyDescent="0.3">
      <c r="B446" s="28" t="str">
        <f t="shared" ca="1" si="19"/>
        <v/>
      </c>
      <c r="C446" s="29" t="str">
        <f t="shared" ca="1" si="20"/>
        <v/>
      </c>
      <c r="D446" s="57"/>
      <c r="E446" s="57"/>
      <c r="F446" s="57"/>
      <c r="G446" s="58"/>
      <c r="H446" s="58"/>
      <c r="I446" s="59"/>
      <c r="J446" s="59"/>
      <c r="K446" s="59"/>
      <c r="L446" s="5">
        <f t="shared" si="18"/>
        <v>0</v>
      </c>
    </row>
    <row r="447" spans="2:12" x14ac:dyDescent="0.3">
      <c r="B447" s="28" t="str">
        <f t="shared" ca="1" si="19"/>
        <v/>
      </c>
      <c r="C447" s="29" t="str">
        <f t="shared" ca="1" si="20"/>
        <v/>
      </c>
      <c r="D447" s="57"/>
      <c r="E447" s="57"/>
      <c r="F447" s="57"/>
      <c r="G447" s="58"/>
      <c r="H447" s="58"/>
      <c r="I447" s="59"/>
      <c r="J447" s="59"/>
      <c r="K447" s="59"/>
      <c r="L447" s="5">
        <f t="shared" si="18"/>
        <v>0</v>
      </c>
    </row>
    <row r="448" spans="2:12" x14ac:dyDescent="0.3">
      <c r="B448" s="28" t="str">
        <f t="shared" ca="1" si="19"/>
        <v/>
      </c>
      <c r="C448" s="29" t="str">
        <f t="shared" ca="1" si="20"/>
        <v/>
      </c>
      <c r="D448" s="57"/>
      <c r="E448" s="57"/>
      <c r="F448" s="57"/>
      <c r="G448" s="58"/>
      <c r="H448" s="58"/>
      <c r="I448" s="59"/>
      <c r="J448" s="59"/>
      <c r="K448" s="59"/>
      <c r="L448" s="5">
        <f t="shared" si="18"/>
        <v>0</v>
      </c>
    </row>
    <row r="449" spans="2:12" x14ac:dyDescent="0.3">
      <c r="B449" s="28" t="str">
        <f t="shared" ca="1" si="19"/>
        <v/>
      </c>
      <c r="C449" s="29" t="str">
        <f t="shared" ca="1" si="20"/>
        <v/>
      </c>
      <c r="D449" s="57"/>
      <c r="E449" s="57"/>
      <c r="F449" s="57"/>
      <c r="G449" s="58"/>
      <c r="H449" s="58"/>
      <c r="I449" s="59"/>
      <c r="J449" s="59"/>
      <c r="K449" s="59"/>
      <c r="L449" s="5">
        <f t="shared" si="18"/>
        <v>0</v>
      </c>
    </row>
    <row r="450" spans="2:12" x14ac:dyDescent="0.3">
      <c r="B450" s="28" t="str">
        <f t="shared" ca="1" si="19"/>
        <v/>
      </c>
      <c r="C450" s="29" t="str">
        <f t="shared" ca="1" si="20"/>
        <v/>
      </c>
      <c r="D450" s="57"/>
      <c r="E450" s="57"/>
      <c r="F450" s="57"/>
      <c r="G450" s="58"/>
      <c r="H450" s="58"/>
      <c r="I450" s="59"/>
      <c r="J450" s="59"/>
      <c r="K450" s="59"/>
      <c r="L450" s="5">
        <f t="shared" si="18"/>
        <v>0</v>
      </c>
    </row>
    <row r="451" spans="2:12" x14ac:dyDescent="0.3">
      <c r="B451" s="28" t="str">
        <f t="shared" ca="1" si="19"/>
        <v/>
      </c>
      <c r="C451" s="29" t="str">
        <f t="shared" ca="1" si="20"/>
        <v/>
      </c>
      <c r="D451" s="57"/>
      <c r="E451" s="57"/>
      <c r="F451" s="57"/>
      <c r="G451" s="58"/>
      <c r="H451" s="58"/>
      <c r="I451" s="59"/>
      <c r="J451" s="59"/>
      <c r="K451" s="59"/>
      <c r="L451" s="5">
        <f t="shared" si="18"/>
        <v>0</v>
      </c>
    </row>
    <row r="452" spans="2:12" x14ac:dyDescent="0.3">
      <c r="B452" s="28" t="str">
        <f t="shared" ca="1" si="19"/>
        <v/>
      </c>
      <c r="C452" s="29" t="str">
        <f t="shared" ca="1" si="20"/>
        <v/>
      </c>
      <c r="D452" s="57"/>
      <c r="E452" s="57"/>
      <c r="F452" s="57"/>
      <c r="G452" s="58"/>
      <c r="H452" s="58"/>
      <c r="I452" s="59"/>
      <c r="J452" s="59"/>
      <c r="K452" s="59"/>
      <c r="L452" s="5">
        <f t="shared" si="18"/>
        <v>0</v>
      </c>
    </row>
    <row r="453" spans="2:12" x14ac:dyDescent="0.3">
      <c r="B453" s="28" t="str">
        <f t="shared" ca="1" si="19"/>
        <v/>
      </c>
      <c r="C453" s="29" t="str">
        <f t="shared" ca="1" si="20"/>
        <v/>
      </c>
      <c r="D453" s="57"/>
      <c r="E453" s="57"/>
      <c r="F453" s="57"/>
      <c r="G453" s="58"/>
      <c r="H453" s="58"/>
      <c r="I453" s="59"/>
      <c r="J453" s="59"/>
      <c r="K453" s="59"/>
      <c r="L453" s="5">
        <f t="shared" si="18"/>
        <v>0</v>
      </c>
    </row>
    <row r="454" spans="2:12" x14ac:dyDescent="0.3">
      <c r="B454" s="28" t="str">
        <f t="shared" ca="1" si="19"/>
        <v/>
      </c>
      <c r="C454" s="29" t="str">
        <f t="shared" ca="1" si="20"/>
        <v/>
      </c>
      <c r="D454" s="57"/>
      <c r="E454" s="57"/>
      <c r="F454" s="57"/>
      <c r="G454" s="58"/>
      <c r="H454" s="58"/>
      <c r="I454" s="59"/>
      <c r="J454" s="59"/>
      <c r="K454" s="59"/>
      <c r="L454" s="5">
        <f t="shared" si="18"/>
        <v>0</v>
      </c>
    </row>
    <row r="455" spans="2:12" x14ac:dyDescent="0.3">
      <c r="B455" s="28" t="str">
        <f t="shared" ca="1" si="19"/>
        <v/>
      </c>
      <c r="C455" s="29" t="str">
        <f t="shared" ca="1" si="20"/>
        <v/>
      </c>
      <c r="D455" s="57"/>
      <c r="E455" s="57"/>
      <c r="F455" s="57"/>
      <c r="G455" s="58"/>
      <c r="H455" s="58"/>
      <c r="I455" s="59"/>
      <c r="J455" s="59"/>
      <c r="K455" s="59"/>
      <c r="L455" s="5">
        <f t="shared" si="18"/>
        <v>0</v>
      </c>
    </row>
    <row r="456" spans="2:12" x14ac:dyDescent="0.3">
      <c r="B456" s="28" t="str">
        <f t="shared" ca="1" si="19"/>
        <v/>
      </c>
      <c r="C456" s="29" t="str">
        <f t="shared" ca="1" si="20"/>
        <v/>
      </c>
      <c r="D456" s="57"/>
      <c r="E456" s="57"/>
      <c r="F456" s="57"/>
      <c r="G456" s="58"/>
      <c r="H456" s="58"/>
      <c r="I456" s="59"/>
      <c r="J456" s="59"/>
      <c r="K456" s="59"/>
      <c r="L456" s="5">
        <f t="shared" si="18"/>
        <v>0</v>
      </c>
    </row>
    <row r="457" spans="2:12" x14ac:dyDescent="0.3">
      <c r="B457" s="28" t="str">
        <f t="shared" ca="1" si="19"/>
        <v/>
      </c>
      <c r="C457" s="29" t="str">
        <f t="shared" ca="1" si="20"/>
        <v/>
      </c>
      <c r="D457" s="57"/>
      <c r="E457" s="57"/>
      <c r="F457" s="57"/>
      <c r="G457" s="58"/>
      <c r="H457" s="58"/>
      <c r="I457" s="59"/>
      <c r="J457" s="59"/>
      <c r="K457" s="59"/>
      <c r="L457" s="5">
        <f t="shared" si="18"/>
        <v>0</v>
      </c>
    </row>
    <row r="458" spans="2:12" x14ac:dyDescent="0.3">
      <c r="B458" s="28" t="str">
        <f t="shared" ca="1" si="19"/>
        <v/>
      </c>
      <c r="C458" s="29" t="str">
        <f t="shared" ca="1" si="20"/>
        <v/>
      </c>
      <c r="D458" s="57"/>
      <c r="E458" s="57"/>
      <c r="F458" s="57"/>
      <c r="G458" s="58"/>
      <c r="H458" s="58"/>
      <c r="I458" s="59"/>
      <c r="J458" s="59"/>
      <c r="K458" s="59"/>
      <c r="L458" s="5">
        <f t="shared" ref="L458:L521" si="21">J458-I458-K458</f>
        <v>0</v>
      </c>
    </row>
    <row r="459" spans="2:12" x14ac:dyDescent="0.3">
      <c r="B459" s="28" t="str">
        <f t="shared" ref="B459:B522" ca="1" si="22">IF(D459&lt;&gt;"",DATE(Jahr,_xlfn.SHEET()-2,D459),"")</f>
        <v/>
      </c>
      <c r="C459" s="29" t="str">
        <f t="shared" ref="C459:C522" ca="1" si="23">B459</f>
        <v/>
      </c>
      <c r="D459" s="57"/>
      <c r="E459" s="57"/>
      <c r="F459" s="57"/>
      <c r="G459" s="58"/>
      <c r="H459" s="58"/>
      <c r="I459" s="59"/>
      <c r="J459" s="59"/>
      <c r="K459" s="59"/>
      <c r="L459" s="5">
        <f t="shared" si="21"/>
        <v>0</v>
      </c>
    </row>
    <row r="460" spans="2:12" x14ac:dyDescent="0.3">
      <c r="B460" s="28" t="str">
        <f t="shared" ca="1" si="22"/>
        <v/>
      </c>
      <c r="C460" s="29" t="str">
        <f t="shared" ca="1" si="23"/>
        <v/>
      </c>
      <c r="D460" s="57"/>
      <c r="E460" s="57"/>
      <c r="F460" s="57"/>
      <c r="G460" s="58"/>
      <c r="H460" s="58"/>
      <c r="I460" s="59"/>
      <c r="J460" s="59"/>
      <c r="K460" s="59"/>
      <c r="L460" s="5">
        <f t="shared" si="21"/>
        <v>0</v>
      </c>
    </row>
    <row r="461" spans="2:12" x14ac:dyDescent="0.3">
      <c r="B461" s="28" t="str">
        <f t="shared" ca="1" si="22"/>
        <v/>
      </c>
      <c r="C461" s="29" t="str">
        <f t="shared" ca="1" si="23"/>
        <v/>
      </c>
      <c r="D461" s="57"/>
      <c r="E461" s="57"/>
      <c r="F461" s="57"/>
      <c r="G461" s="58"/>
      <c r="H461" s="58"/>
      <c r="I461" s="59"/>
      <c r="J461" s="59"/>
      <c r="K461" s="59"/>
      <c r="L461" s="5">
        <f t="shared" si="21"/>
        <v>0</v>
      </c>
    </row>
    <row r="462" spans="2:12" x14ac:dyDescent="0.3">
      <c r="B462" s="28" t="str">
        <f t="shared" ca="1" si="22"/>
        <v/>
      </c>
      <c r="C462" s="29" t="str">
        <f t="shared" ca="1" si="23"/>
        <v/>
      </c>
      <c r="D462" s="57"/>
      <c r="E462" s="57"/>
      <c r="F462" s="57"/>
      <c r="G462" s="58"/>
      <c r="H462" s="58"/>
      <c r="I462" s="59"/>
      <c r="J462" s="59"/>
      <c r="K462" s="59"/>
      <c r="L462" s="5">
        <f t="shared" si="21"/>
        <v>0</v>
      </c>
    </row>
    <row r="463" spans="2:12" x14ac:dyDescent="0.3">
      <c r="B463" s="28" t="str">
        <f t="shared" ca="1" si="22"/>
        <v/>
      </c>
      <c r="C463" s="29" t="str">
        <f t="shared" ca="1" si="23"/>
        <v/>
      </c>
      <c r="D463" s="57"/>
      <c r="E463" s="57"/>
      <c r="F463" s="57"/>
      <c r="G463" s="58"/>
      <c r="H463" s="58"/>
      <c r="I463" s="59"/>
      <c r="J463" s="59"/>
      <c r="K463" s="59"/>
      <c r="L463" s="5">
        <f t="shared" si="21"/>
        <v>0</v>
      </c>
    </row>
    <row r="464" spans="2:12" x14ac:dyDescent="0.3">
      <c r="B464" s="28" t="str">
        <f t="shared" ca="1" si="22"/>
        <v/>
      </c>
      <c r="C464" s="29" t="str">
        <f t="shared" ca="1" si="23"/>
        <v/>
      </c>
      <c r="D464" s="57"/>
      <c r="E464" s="57"/>
      <c r="F464" s="57"/>
      <c r="G464" s="58"/>
      <c r="H464" s="58"/>
      <c r="I464" s="59"/>
      <c r="J464" s="59"/>
      <c r="K464" s="59"/>
      <c r="L464" s="5">
        <f t="shared" si="21"/>
        <v>0</v>
      </c>
    </row>
    <row r="465" spans="2:12" x14ac:dyDescent="0.3">
      <c r="B465" s="28" t="str">
        <f t="shared" ca="1" si="22"/>
        <v/>
      </c>
      <c r="C465" s="29" t="str">
        <f t="shared" ca="1" si="23"/>
        <v/>
      </c>
      <c r="D465" s="57"/>
      <c r="E465" s="57"/>
      <c r="F465" s="57"/>
      <c r="G465" s="58"/>
      <c r="H465" s="58"/>
      <c r="I465" s="59"/>
      <c r="J465" s="59"/>
      <c r="K465" s="59"/>
      <c r="L465" s="5">
        <f t="shared" si="21"/>
        <v>0</v>
      </c>
    </row>
    <row r="466" spans="2:12" x14ac:dyDescent="0.3">
      <c r="B466" s="28" t="str">
        <f t="shared" ca="1" si="22"/>
        <v/>
      </c>
      <c r="C466" s="29" t="str">
        <f t="shared" ca="1" si="23"/>
        <v/>
      </c>
      <c r="D466" s="57"/>
      <c r="E466" s="57"/>
      <c r="F466" s="57"/>
      <c r="G466" s="58"/>
      <c r="H466" s="58"/>
      <c r="I466" s="59"/>
      <c r="J466" s="59"/>
      <c r="K466" s="59"/>
      <c r="L466" s="5">
        <f t="shared" si="21"/>
        <v>0</v>
      </c>
    </row>
    <row r="467" spans="2:12" x14ac:dyDescent="0.3">
      <c r="B467" s="28" t="str">
        <f t="shared" ca="1" si="22"/>
        <v/>
      </c>
      <c r="C467" s="29" t="str">
        <f t="shared" ca="1" si="23"/>
        <v/>
      </c>
      <c r="D467" s="57"/>
      <c r="E467" s="57"/>
      <c r="F467" s="57"/>
      <c r="G467" s="58"/>
      <c r="H467" s="58"/>
      <c r="I467" s="59"/>
      <c r="J467" s="59"/>
      <c r="K467" s="59"/>
      <c r="L467" s="5">
        <f t="shared" si="21"/>
        <v>0</v>
      </c>
    </row>
    <row r="468" spans="2:12" x14ac:dyDescent="0.3">
      <c r="B468" s="28" t="str">
        <f t="shared" ca="1" si="22"/>
        <v/>
      </c>
      <c r="C468" s="29" t="str">
        <f t="shared" ca="1" si="23"/>
        <v/>
      </c>
      <c r="D468" s="57"/>
      <c r="E468" s="57"/>
      <c r="F468" s="57"/>
      <c r="G468" s="58"/>
      <c r="H468" s="58"/>
      <c r="I468" s="59"/>
      <c r="J468" s="59"/>
      <c r="K468" s="59"/>
      <c r="L468" s="5">
        <f t="shared" si="21"/>
        <v>0</v>
      </c>
    </row>
    <row r="469" spans="2:12" x14ac:dyDescent="0.3">
      <c r="B469" s="28" t="str">
        <f t="shared" ca="1" si="22"/>
        <v/>
      </c>
      <c r="C469" s="29" t="str">
        <f t="shared" ca="1" si="23"/>
        <v/>
      </c>
      <c r="D469" s="57"/>
      <c r="E469" s="57"/>
      <c r="F469" s="57"/>
      <c r="G469" s="58"/>
      <c r="H469" s="58"/>
      <c r="I469" s="59"/>
      <c r="J469" s="59"/>
      <c r="K469" s="59"/>
      <c r="L469" s="5">
        <f t="shared" si="21"/>
        <v>0</v>
      </c>
    </row>
    <row r="470" spans="2:12" x14ac:dyDescent="0.3">
      <c r="B470" s="28" t="str">
        <f t="shared" ca="1" si="22"/>
        <v/>
      </c>
      <c r="C470" s="29" t="str">
        <f t="shared" ca="1" si="23"/>
        <v/>
      </c>
      <c r="D470" s="57"/>
      <c r="E470" s="57"/>
      <c r="F470" s="57"/>
      <c r="G470" s="58"/>
      <c r="H470" s="58"/>
      <c r="I470" s="59"/>
      <c r="J470" s="59"/>
      <c r="K470" s="59"/>
      <c r="L470" s="5">
        <f t="shared" si="21"/>
        <v>0</v>
      </c>
    </row>
    <row r="471" spans="2:12" x14ac:dyDescent="0.3">
      <c r="B471" s="28" t="str">
        <f t="shared" ca="1" si="22"/>
        <v/>
      </c>
      <c r="C471" s="29" t="str">
        <f t="shared" ca="1" si="23"/>
        <v/>
      </c>
      <c r="D471" s="57"/>
      <c r="E471" s="57"/>
      <c r="F471" s="57"/>
      <c r="G471" s="58"/>
      <c r="H471" s="58"/>
      <c r="I471" s="59"/>
      <c r="J471" s="59"/>
      <c r="K471" s="59"/>
      <c r="L471" s="5">
        <f t="shared" si="21"/>
        <v>0</v>
      </c>
    </row>
    <row r="472" spans="2:12" x14ac:dyDescent="0.3">
      <c r="B472" s="28" t="str">
        <f t="shared" ca="1" si="22"/>
        <v/>
      </c>
      <c r="C472" s="29" t="str">
        <f t="shared" ca="1" si="23"/>
        <v/>
      </c>
      <c r="D472" s="57"/>
      <c r="E472" s="57"/>
      <c r="F472" s="57"/>
      <c r="G472" s="58"/>
      <c r="H472" s="58"/>
      <c r="I472" s="59"/>
      <c r="J472" s="59"/>
      <c r="K472" s="59"/>
      <c r="L472" s="5">
        <f t="shared" si="21"/>
        <v>0</v>
      </c>
    </row>
    <row r="473" spans="2:12" x14ac:dyDescent="0.3">
      <c r="B473" s="28" t="str">
        <f t="shared" ca="1" si="22"/>
        <v/>
      </c>
      <c r="C473" s="29" t="str">
        <f t="shared" ca="1" si="23"/>
        <v/>
      </c>
      <c r="D473" s="57"/>
      <c r="E473" s="57"/>
      <c r="F473" s="57"/>
      <c r="G473" s="58"/>
      <c r="H473" s="58"/>
      <c r="I473" s="59"/>
      <c r="J473" s="59"/>
      <c r="K473" s="59"/>
      <c r="L473" s="5">
        <f t="shared" si="21"/>
        <v>0</v>
      </c>
    </row>
    <row r="474" spans="2:12" x14ac:dyDescent="0.3">
      <c r="B474" s="28" t="str">
        <f t="shared" ca="1" si="22"/>
        <v/>
      </c>
      <c r="C474" s="29" t="str">
        <f t="shared" ca="1" si="23"/>
        <v/>
      </c>
      <c r="D474" s="57"/>
      <c r="E474" s="57"/>
      <c r="F474" s="57"/>
      <c r="G474" s="58"/>
      <c r="H474" s="58"/>
      <c r="I474" s="59"/>
      <c r="J474" s="59"/>
      <c r="K474" s="59"/>
      <c r="L474" s="5">
        <f t="shared" si="21"/>
        <v>0</v>
      </c>
    </row>
    <row r="475" spans="2:12" x14ac:dyDescent="0.3">
      <c r="B475" s="28" t="str">
        <f t="shared" ca="1" si="22"/>
        <v/>
      </c>
      <c r="C475" s="29" t="str">
        <f t="shared" ca="1" si="23"/>
        <v/>
      </c>
      <c r="D475" s="57"/>
      <c r="E475" s="57"/>
      <c r="F475" s="57"/>
      <c r="G475" s="58"/>
      <c r="H475" s="58"/>
      <c r="I475" s="59"/>
      <c r="J475" s="59"/>
      <c r="K475" s="59"/>
      <c r="L475" s="5">
        <f t="shared" si="21"/>
        <v>0</v>
      </c>
    </row>
    <row r="476" spans="2:12" x14ac:dyDescent="0.3">
      <c r="B476" s="28" t="str">
        <f t="shared" ca="1" si="22"/>
        <v/>
      </c>
      <c r="C476" s="29" t="str">
        <f t="shared" ca="1" si="23"/>
        <v/>
      </c>
      <c r="D476" s="57"/>
      <c r="E476" s="57"/>
      <c r="F476" s="57"/>
      <c r="G476" s="58"/>
      <c r="H476" s="58"/>
      <c r="I476" s="59"/>
      <c r="J476" s="59"/>
      <c r="K476" s="59"/>
      <c r="L476" s="5">
        <f t="shared" si="21"/>
        <v>0</v>
      </c>
    </row>
    <row r="477" spans="2:12" x14ac:dyDescent="0.3">
      <c r="B477" s="28" t="str">
        <f t="shared" ca="1" si="22"/>
        <v/>
      </c>
      <c r="C477" s="29" t="str">
        <f t="shared" ca="1" si="23"/>
        <v/>
      </c>
      <c r="D477" s="57"/>
      <c r="E477" s="57"/>
      <c r="F477" s="57"/>
      <c r="G477" s="58"/>
      <c r="H477" s="58"/>
      <c r="I477" s="59"/>
      <c r="J477" s="59"/>
      <c r="K477" s="59"/>
      <c r="L477" s="5">
        <f t="shared" si="21"/>
        <v>0</v>
      </c>
    </row>
    <row r="478" spans="2:12" x14ac:dyDescent="0.3">
      <c r="B478" s="28" t="str">
        <f t="shared" ca="1" si="22"/>
        <v/>
      </c>
      <c r="C478" s="29" t="str">
        <f t="shared" ca="1" si="23"/>
        <v/>
      </c>
      <c r="D478" s="57"/>
      <c r="E478" s="57"/>
      <c r="F478" s="57"/>
      <c r="G478" s="58"/>
      <c r="H478" s="58"/>
      <c r="I478" s="59"/>
      <c r="J478" s="59"/>
      <c r="K478" s="59"/>
      <c r="L478" s="5">
        <f t="shared" si="21"/>
        <v>0</v>
      </c>
    </row>
    <row r="479" spans="2:12" x14ac:dyDescent="0.3">
      <c r="B479" s="28" t="str">
        <f t="shared" ca="1" si="22"/>
        <v/>
      </c>
      <c r="C479" s="29" t="str">
        <f t="shared" ca="1" si="23"/>
        <v/>
      </c>
      <c r="D479" s="57"/>
      <c r="E479" s="57"/>
      <c r="F479" s="57"/>
      <c r="G479" s="58"/>
      <c r="H479" s="58"/>
      <c r="I479" s="59"/>
      <c r="J479" s="59"/>
      <c r="K479" s="59"/>
      <c r="L479" s="5">
        <f t="shared" si="21"/>
        <v>0</v>
      </c>
    </row>
    <row r="480" spans="2:12" x14ac:dyDescent="0.3">
      <c r="B480" s="28" t="str">
        <f t="shared" ca="1" si="22"/>
        <v/>
      </c>
      <c r="C480" s="29" t="str">
        <f t="shared" ca="1" si="23"/>
        <v/>
      </c>
      <c r="D480" s="57"/>
      <c r="E480" s="57"/>
      <c r="F480" s="57"/>
      <c r="G480" s="58"/>
      <c r="H480" s="58"/>
      <c r="I480" s="59"/>
      <c r="J480" s="59"/>
      <c r="K480" s="59"/>
      <c r="L480" s="5">
        <f t="shared" si="21"/>
        <v>0</v>
      </c>
    </row>
    <row r="481" spans="2:12" x14ac:dyDescent="0.3">
      <c r="B481" s="28" t="str">
        <f t="shared" ca="1" si="22"/>
        <v/>
      </c>
      <c r="C481" s="29" t="str">
        <f t="shared" ca="1" si="23"/>
        <v/>
      </c>
      <c r="D481" s="57"/>
      <c r="E481" s="57"/>
      <c r="F481" s="57"/>
      <c r="G481" s="58"/>
      <c r="H481" s="58"/>
      <c r="I481" s="59"/>
      <c r="J481" s="59"/>
      <c r="K481" s="59"/>
      <c r="L481" s="5">
        <f t="shared" si="21"/>
        <v>0</v>
      </c>
    </row>
    <row r="482" spans="2:12" x14ac:dyDescent="0.3">
      <c r="B482" s="28" t="str">
        <f t="shared" ca="1" si="22"/>
        <v/>
      </c>
      <c r="C482" s="29" t="str">
        <f t="shared" ca="1" si="23"/>
        <v/>
      </c>
      <c r="D482" s="57"/>
      <c r="E482" s="57"/>
      <c r="F482" s="57"/>
      <c r="G482" s="58"/>
      <c r="H482" s="58"/>
      <c r="I482" s="59"/>
      <c r="J482" s="59"/>
      <c r="K482" s="59"/>
      <c r="L482" s="5">
        <f t="shared" si="21"/>
        <v>0</v>
      </c>
    </row>
    <row r="483" spans="2:12" x14ac:dyDescent="0.3">
      <c r="B483" s="28" t="str">
        <f t="shared" ca="1" si="22"/>
        <v/>
      </c>
      <c r="C483" s="29" t="str">
        <f t="shared" ca="1" si="23"/>
        <v/>
      </c>
      <c r="D483" s="57"/>
      <c r="E483" s="57"/>
      <c r="F483" s="57"/>
      <c r="G483" s="58"/>
      <c r="H483" s="58"/>
      <c r="I483" s="59"/>
      <c r="J483" s="59"/>
      <c r="K483" s="59"/>
      <c r="L483" s="5">
        <f t="shared" si="21"/>
        <v>0</v>
      </c>
    </row>
    <row r="484" spans="2:12" x14ac:dyDescent="0.3">
      <c r="B484" s="28" t="str">
        <f t="shared" ca="1" si="22"/>
        <v/>
      </c>
      <c r="C484" s="29" t="str">
        <f t="shared" ca="1" si="23"/>
        <v/>
      </c>
      <c r="D484" s="57"/>
      <c r="E484" s="57"/>
      <c r="F484" s="57"/>
      <c r="G484" s="58"/>
      <c r="H484" s="58"/>
      <c r="I484" s="59"/>
      <c r="J484" s="59"/>
      <c r="K484" s="59"/>
      <c r="L484" s="5">
        <f t="shared" si="21"/>
        <v>0</v>
      </c>
    </row>
    <row r="485" spans="2:12" x14ac:dyDescent="0.3">
      <c r="B485" s="28" t="str">
        <f t="shared" ca="1" si="22"/>
        <v/>
      </c>
      <c r="C485" s="29" t="str">
        <f t="shared" ca="1" si="23"/>
        <v/>
      </c>
      <c r="D485" s="57"/>
      <c r="E485" s="57"/>
      <c r="F485" s="57"/>
      <c r="G485" s="58"/>
      <c r="H485" s="58"/>
      <c r="I485" s="59"/>
      <c r="J485" s="59"/>
      <c r="K485" s="59"/>
      <c r="L485" s="5">
        <f t="shared" si="21"/>
        <v>0</v>
      </c>
    </row>
    <row r="486" spans="2:12" x14ac:dyDescent="0.3">
      <c r="B486" s="28" t="str">
        <f t="shared" ca="1" si="22"/>
        <v/>
      </c>
      <c r="C486" s="29" t="str">
        <f t="shared" ca="1" si="23"/>
        <v/>
      </c>
      <c r="D486" s="57"/>
      <c r="E486" s="57"/>
      <c r="F486" s="57"/>
      <c r="G486" s="58"/>
      <c r="H486" s="58"/>
      <c r="I486" s="59"/>
      <c r="J486" s="59"/>
      <c r="K486" s="59"/>
      <c r="L486" s="5">
        <f t="shared" si="21"/>
        <v>0</v>
      </c>
    </row>
    <row r="487" spans="2:12" x14ac:dyDescent="0.3">
      <c r="B487" s="28" t="str">
        <f t="shared" ca="1" si="22"/>
        <v/>
      </c>
      <c r="C487" s="29" t="str">
        <f t="shared" ca="1" si="23"/>
        <v/>
      </c>
      <c r="D487" s="57"/>
      <c r="E487" s="57"/>
      <c r="F487" s="57"/>
      <c r="G487" s="58"/>
      <c r="H487" s="58"/>
      <c r="I487" s="59"/>
      <c r="J487" s="59"/>
      <c r="K487" s="59"/>
      <c r="L487" s="5">
        <f t="shared" si="21"/>
        <v>0</v>
      </c>
    </row>
    <row r="488" spans="2:12" x14ac:dyDescent="0.3">
      <c r="B488" s="28" t="str">
        <f t="shared" ca="1" si="22"/>
        <v/>
      </c>
      <c r="C488" s="29" t="str">
        <f t="shared" ca="1" si="23"/>
        <v/>
      </c>
      <c r="D488" s="57"/>
      <c r="E488" s="57"/>
      <c r="F488" s="57"/>
      <c r="G488" s="58"/>
      <c r="H488" s="58"/>
      <c r="I488" s="59"/>
      <c r="J488" s="59"/>
      <c r="K488" s="59"/>
      <c r="L488" s="5">
        <f t="shared" si="21"/>
        <v>0</v>
      </c>
    </row>
    <row r="489" spans="2:12" x14ac:dyDescent="0.3">
      <c r="B489" s="28" t="str">
        <f t="shared" ca="1" si="22"/>
        <v/>
      </c>
      <c r="C489" s="29" t="str">
        <f t="shared" ca="1" si="23"/>
        <v/>
      </c>
      <c r="D489" s="57"/>
      <c r="E489" s="57"/>
      <c r="F489" s="57"/>
      <c r="G489" s="58"/>
      <c r="H489" s="58"/>
      <c r="I489" s="59"/>
      <c r="J489" s="59"/>
      <c r="K489" s="59"/>
      <c r="L489" s="5">
        <f t="shared" si="21"/>
        <v>0</v>
      </c>
    </row>
    <row r="490" spans="2:12" x14ac:dyDescent="0.3">
      <c r="B490" s="28" t="str">
        <f t="shared" ca="1" si="22"/>
        <v/>
      </c>
      <c r="C490" s="29" t="str">
        <f t="shared" ca="1" si="23"/>
        <v/>
      </c>
      <c r="D490" s="57"/>
      <c r="E490" s="57"/>
      <c r="F490" s="57"/>
      <c r="G490" s="58"/>
      <c r="H490" s="58"/>
      <c r="I490" s="59"/>
      <c r="J490" s="59"/>
      <c r="K490" s="59"/>
      <c r="L490" s="5">
        <f t="shared" si="21"/>
        <v>0</v>
      </c>
    </row>
    <row r="491" spans="2:12" x14ac:dyDescent="0.3">
      <c r="B491" s="28" t="str">
        <f t="shared" ca="1" si="22"/>
        <v/>
      </c>
      <c r="C491" s="29" t="str">
        <f t="shared" ca="1" si="23"/>
        <v/>
      </c>
      <c r="D491" s="57"/>
      <c r="E491" s="57"/>
      <c r="F491" s="57"/>
      <c r="G491" s="58"/>
      <c r="H491" s="58"/>
      <c r="I491" s="59"/>
      <c r="J491" s="59"/>
      <c r="K491" s="59"/>
      <c r="L491" s="5">
        <f t="shared" si="21"/>
        <v>0</v>
      </c>
    </row>
    <row r="492" spans="2:12" x14ac:dyDescent="0.3">
      <c r="B492" s="28" t="str">
        <f t="shared" ca="1" si="22"/>
        <v/>
      </c>
      <c r="C492" s="29" t="str">
        <f t="shared" ca="1" si="23"/>
        <v/>
      </c>
      <c r="D492" s="57"/>
      <c r="E492" s="57"/>
      <c r="F492" s="57"/>
      <c r="G492" s="58"/>
      <c r="H492" s="58"/>
      <c r="I492" s="59"/>
      <c r="J492" s="59"/>
      <c r="K492" s="59"/>
      <c r="L492" s="5">
        <f t="shared" si="21"/>
        <v>0</v>
      </c>
    </row>
    <row r="493" spans="2:12" x14ac:dyDescent="0.3">
      <c r="B493" s="28" t="str">
        <f t="shared" ca="1" si="22"/>
        <v/>
      </c>
      <c r="C493" s="29" t="str">
        <f t="shared" ca="1" si="23"/>
        <v/>
      </c>
      <c r="D493" s="57"/>
      <c r="E493" s="57"/>
      <c r="F493" s="57"/>
      <c r="G493" s="58"/>
      <c r="H493" s="58"/>
      <c r="I493" s="59"/>
      <c r="J493" s="59"/>
      <c r="K493" s="59"/>
      <c r="L493" s="5">
        <f t="shared" si="21"/>
        <v>0</v>
      </c>
    </row>
    <row r="494" spans="2:12" x14ac:dyDescent="0.3">
      <c r="B494" s="28" t="str">
        <f t="shared" ca="1" si="22"/>
        <v/>
      </c>
      <c r="C494" s="29" t="str">
        <f t="shared" ca="1" si="23"/>
        <v/>
      </c>
      <c r="D494" s="57"/>
      <c r="E494" s="57"/>
      <c r="F494" s="57"/>
      <c r="G494" s="58"/>
      <c r="H494" s="58"/>
      <c r="I494" s="59"/>
      <c r="J494" s="59"/>
      <c r="K494" s="59"/>
      <c r="L494" s="5">
        <f t="shared" si="21"/>
        <v>0</v>
      </c>
    </row>
    <row r="495" spans="2:12" x14ac:dyDescent="0.3">
      <c r="B495" s="28" t="str">
        <f t="shared" ca="1" si="22"/>
        <v/>
      </c>
      <c r="C495" s="29" t="str">
        <f t="shared" ca="1" si="23"/>
        <v/>
      </c>
      <c r="D495" s="57"/>
      <c r="E495" s="57"/>
      <c r="F495" s="57"/>
      <c r="G495" s="58"/>
      <c r="H495" s="58"/>
      <c r="I495" s="59"/>
      <c r="J495" s="59"/>
      <c r="K495" s="59"/>
      <c r="L495" s="5">
        <f t="shared" si="21"/>
        <v>0</v>
      </c>
    </row>
    <row r="496" spans="2:12" x14ac:dyDescent="0.3">
      <c r="B496" s="28" t="str">
        <f t="shared" ca="1" si="22"/>
        <v/>
      </c>
      <c r="C496" s="29" t="str">
        <f t="shared" ca="1" si="23"/>
        <v/>
      </c>
      <c r="D496" s="57"/>
      <c r="E496" s="57"/>
      <c r="F496" s="57"/>
      <c r="G496" s="58"/>
      <c r="H496" s="58"/>
      <c r="I496" s="59"/>
      <c r="J496" s="59"/>
      <c r="K496" s="59"/>
      <c r="L496" s="5">
        <f t="shared" si="21"/>
        <v>0</v>
      </c>
    </row>
    <row r="497" spans="2:12" x14ac:dyDescent="0.3">
      <c r="B497" s="28" t="str">
        <f t="shared" ca="1" si="22"/>
        <v/>
      </c>
      <c r="C497" s="29" t="str">
        <f t="shared" ca="1" si="23"/>
        <v/>
      </c>
      <c r="D497" s="57"/>
      <c r="E497" s="57"/>
      <c r="F497" s="57"/>
      <c r="G497" s="58"/>
      <c r="H497" s="58"/>
      <c r="I497" s="59"/>
      <c r="J497" s="59"/>
      <c r="K497" s="59"/>
      <c r="L497" s="5">
        <f t="shared" si="21"/>
        <v>0</v>
      </c>
    </row>
    <row r="498" spans="2:12" x14ac:dyDescent="0.3">
      <c r="B498" s="28" t="str">
        <f t="shared" ca="1" si="22"/>
        <v/>
      </c>
      <c r="C498" s="29" t="str">
        <f t="shared" ca="1" si="23"/>
        <v/>
      </c>
      <c r="D498" s="57"/>
      <c r="E498" s="57"/>
      <c r="F498" s="57"/>
      <c r="G498" s="58"/>
      <c r="H498" s="58"/>
      <c r="I498" s="59"/>
      <c r="J498" s="59"/>
      <c r="K498" s="59"/>
      <c r="L498" s="5">
        <f t="shared" si="21"/>
        <v>0</v>
      </c>
    </row>
    <row r="499" spans="2:12" x14ac:dyDescent="0.3">
      <c r="B499" s="28" t="str">
        <f t="shared" ca="1" si="22"/>
        <v/>
      </c>
      <c r="C499" s="29" t="str">
        <f t="shared" ca="1" si="23"/>
        <v/>
      </c>
      <c r="D499" s="57"/>
      <c r="E499" s="57"/>
      <c r="F499" s="57"/>
      <c r="G499" s="58"/>
      <c r="H499" s="58"/>
      <c r="I499" s="59"/>
      <c r="J499" s="59"/>
      <c r="K499" s="59"/>
      <c r="L499" s="5">
        <f t="shared" si="21"/>
        <v>0</v>
      </c>
    </row>
    <row r="500" spans="2:12" x14ac:dyDescent="0.3">
      <c r="B500" s="28" t="str">
        <f t="shared" ca="1" si="22"/>
        <v/>
      </c>
      <c r="C500" s="29" t="str">
        <f t="shared" ca="1" si="23"/>
        <v/>
      </c>
      <c r="D500" s="57"/>
      <c r="E500" s="57"/>
      <c r="F500" s="57"/>
      <c r="G500" s="58"/>
      <c r="H500" s="58"/>
      <c r="I500" s="59"/>
      <c r="J500" s="59"/>
      <c r="K500" s="59"/>
      <c r="L500" s="5">
        <f t="shared" si="21"/>
        <v>0</v>
      </c>
    </row>
    <row r="501" spans="2:12" x14ac:dyDescent="0.3">
      <c r="B501" s="28" t="str">
        <f t="shared" ca="1" si="22"/>
        <v/>
      </c>
      <c r="C501" s="29" t="str">
        <f t="shared" ca="1" si="23"/>
        <v/>
      </c>
      <c r="D501" s="57"/>
      <c r="E501" s="57"/>
      <c r="F501" s="57"/>
      <c r="G501" s="58"/>
      <c r="H501" s="58"/>
      <c r="I501" s="59"/>
      <c r="J501" s="59"/>
      <c r="K501" s="59"/>
      <c r="L501" s="5">
        <f t="shared" si="21"/>
        <v>0</v>
      </c>
    </row>
    <row r="502" spans="2:12" x14ac:dyDescent="0.3">
      <c r="B502" s="28" t="str">
        <f t="shared" ca="1" si="22"/>
        <v/>
      </c>
      <c r="C502" s="29" t="str">
        <f t="shared" ca="1" si="23"/>
        <v/>
      </c>
      <c r="D502" s="57"/>
      <c r="E502" s="57"/>
      <c r="F502" s="57"/>
      <c r="G502" s="58"/>
      <c r="H502" s="58"/>
      <c r="I502" s="59"/>
      <c r="J502" s="59"/>
      <c r="K502" s="59"/>
      <c r="L502" s="5">
        <f t="shared" si="21"/>
        <v>0</v>
      </c>
    </row>
    <row r="503" spans="2:12" x14ac:dyDescent="0.3">
      <c r="B503" s="28" t="str">
        <f t="shared" ca="1" si="22"/>
        <v/>
      </c>
      <c r="C503" s="29" t="str">
        <f t="shared" ca="1" si="23"/>
        <v/>
      </c>
      <c r="D503" s="57"/>
      <c r="E503" s="57"/>
      <c r="F503" s="57"/>
      <c r="G503" s="58"/>
      <c r="H503" s="58"/>
      <c r="I503" s="59"/>
      <c r="J503" s="59"/>
      <c r="K503" s="59"/>
      <c r="L503" s="5">
        <f t="shared" si="21"/>
        <v>0</v>
      </c>
    </row>
    <row r="504" spans="2:12" x14ac:dyDescent="0.3">
      <c r="B504" s="28" t="str">
        <f t="shared" ca="1" si="22"/>
        <v/>
      </c>
      <c r="C504" s="29" t="str">
        <f t="shared" ca="1" si="23"/>
        <v/>
      </c>
      <c r="D504" s="57"/>
      <c r="E504" s="57"/>
      <c r="F504" s="57"/>
      <c r="G504" s="58"/>
      <c r="H504" s="58"/>
      <c r="I504" s="59"/>
      <c r="J504" s="59"/>
      <c r="K504" s="59"/>
      <c r="L504" s="5">
        <f t="shared" si="21"/>
        <v>0</v>
      </c>
    </row>
    <row r="505" spans="2:12" x14ac:dyDescent="0.3">
      <c r="B505" s="28" t="str">
        <f t="shared" ca="1" si="22"/>
        <v/>
      </c>
      <c r="C505" s="29" t="str">
        <f t="shared" ca="1" si="23"/>
        <v/>
      </c>
      <c r="D505" s="57"/>
      <c r="E505" s="57"/>
      <c r="F505" s="57"/>
      <c r="G505" s="58"/>
      <c r="H505" s="58"/>
      <c r="I505" s="59"/>
      <c r="J505" s="59"/>
      <c r="K505" s="59"/>
      <c r="L505" s="5">
        <f t="shared" si="21"/>
        <v>0</v>
      </c>
    </row>
    <row r="506" spans="2:12" x14ac:dyDescent="0.3">
      <c r="B506" s="28" t="str">
        <f t="shared" ca="1" si="22"/>
        <v/>
      </c>
      <c r="C506" s="29" t="str">
        <f t="shared" ca="1" si="23"/>
        <v/>
      </c>
      <c r="D506" s="57"/>
      <c r="E506" s="57"/>
      <c r="F506" s="57"/>
      <c r="G506" s="58"/>
      <c r="H506" s="58"/>
      <c r="I506" s="59"/>
      <c r="J506" s="59"/>
      <c r="K506" s="59"/>
      <c r="L506" s="5">
        <f t="shared" si="21"/>
        <v>0</v>
      </c>
    </row>
    <row r="507" spans="2:12" x14ac:dyDescent="0.3">
      <c r="B507" s="28" t="str">
        <f t="shared" ca="1" si="22"/>
        <v/>
      </c>
      <c r="C507" s="29" t="str">
        <f t="shared" ca="1" si="23"/>
        <v/>
      </c>
      <c r="D507" s="57"/>
      <c r="E507" s="57"/>
      <c r="F507" s="57"/>
      <c r="G507" s="58"/>
      <c r="H507" s="58"/>
      <c r="I507" s="59"/>
      <c r="J507" s="59"/>
      <c r="K507" s="59"/>
      <c r="L507" s="5">
        <f t="shared" si="21"/>
        <v>0</v>
      </c>
    </row>
    <row r="508" spans="2:12" x14ac:dyDescent="0.3">
      <c r="B508" s="28" t="str">
        <f t="shared" ca="1" si="22"/>
        <v/>
      </c>
      <c r="C508" s="29" t="str">
        <f t="shared" ca="1" si="23"/>
        <v/>
      </c>
      <c r="D508" s="57"/>
      <c r="E508" s="57"/>
      <c r="F508" s="57"/>
      <c r="G508" s="58"/>
      <c r="H508" s="58"/>
      <c r="I508" s="59"/>
      <c r="J508" s="59"/>
      <c r="K508" s="59"/>
      <c r="L508" s="5">
        <f t="shared" si="21"/>
        <v>0</v>
      </c>
    </row>
    <row r="509" spans="2:12" x14ac:dyDescent="0.3">
      <c r="B509" s="28" t="str">
        <f t="shared" ca="1" si="22"/>
        <v/>
      </c>
      <c r="C509" s="29" t="str">
        <f t="shared" ca="1" si="23"/>
        <v/>
      </c>
      <c r="D509" s="57"/>
      <c r="E509" s="57"/>
      <c r="F509" s="57"/>
      <c r="G509" s="58"/>
      <c r="H509" s="58"/>
      <c r="I509" s="59"/>
      <c r="J509" s="59"/>
      <c r="K509" s="59"/>
      <c r="L509" s="5">
        <f t="shared" si="21"/>
        <v>0</v>
      </c>
    </row>
    <row r="510" spans="2:12" x14ac:dyDescent="0.3">
      <c r="B510" s="28" t="str">
        <f t="shared" ca="1" si="22"/>
        <v/>
      </c>
      <c r="C510" s="29" t="str">
        <f t="shared" ca="1" si="23"/>
        <v/>
      </c>
      <c r="D510" s="57"/>
      <c r="E510" s="57"/>
      <c r="F510" s="57"/>
      <c r="G510" s="58"/>
      <c r="H510" s="58"/>
      <c r="I510" s="59"/>
      <c r="J510" s="59"/>
      <c r="K510" s="59"/>
      <c r="L510" s="5">
        <f t="shared" si="21"/>
        <v>0</v>
      </c>
    </row>
    <row r="511" spans="2:12" x14ac:dyDescent="0.3">
      <c r="B511" s="28" t="str">
        <f t="shared" ca="1" si="22"/>
        <v/>
      </c>
      <c r="C511" s="29" t="str">
        <f t="shared" ca="1" si="23"/>
        <v/>
      </c>
      <c r="D511" s="57"/>
      <c r="E511" s="57"/>
      <c r="F511" s="57"/>
      <c r="G511" s="58"/>
      <c r="H511" s="58"/>
      <c r="I511" s="59"/>
      <c r="J511" s="59"/>
      <c r="K511" s="59"/>
      <c r="L511" s="5">
        <f t="shared" si="21"/>
        <v>0</v>
      </c>
    </row>
    <row r="512" spans="2:12" x14ac:dyDescent="0.3">
      <c r="B512" s="28" t="str">
        <f t="shared" ca="1" si="22"/>
        <v/>
      </c>
      <c r="C512" s="29" t="str">
        <f t="shared" ca="1" si="23"/>
        <v/>
      </c>
      <c r="D512" s="57"/>
      <c r="E512" s="57"/>
      <c r="F512" s="57"/>
      <c r="G512" s="58"/>
      <c r="H512" s="58"/>
      <c r="I512" s="59"/>
      <c r="J512" s="59"/>
      <c r="K512" s="59"/>
      <c r="L512" s="5">
        <f t="shared" si="21"/>
        <v>0</v>
      </c>
    </row>
    <row r="513" spans="2:12" x14ac:dyDescent="0.3">
      <c r="B513" s="28" t="str">
        <f t="shared" ca="1" si="22"/>
        <v/>
      </c>
      <c r="C513" s="29" t="str">
        <f t="shared" ca="1" si="23"/>
        <v/>
      </c>
      <c r="D513" s="57"/>
      <c r="E513" s="57"/>
      <c r="F513" s="57"/>
      <c r="G513" s="58"/>
      <c r="H513" s="58"/>
      <c r="I513" s="59"/>
      <c r="J513" s="59"/>
      <c r="K513" s="59"/>
      <c r="L513" s="5">
        <f t="shared" si="21"/>
        <v>0</v>
      </c>
    </row>
    <row r="514" spans="2:12" x14ac:dyDescent="0.3">
      <c r="B514" s="28" t="str">
        <f t="shared" ca="1" si="22"/>
        <v/>
      </c>
      <c r="C514" s="29" t="str">
        <f t="shared" ca="1" si="23"/>
        <v/>
      </c>
      <c r="D514" s="57"/>
      <c r="E514" s="57"/>
      <c r="F514" s="57"/>
      <c r="G514" s="58"/>
      <c r="H514" s="58"/>
      <c r="I514" s="59"/>
      <c r="J514" s="59"/>
      <c r="K514" s="59"/>
      <c r="L514" s="5">
        <f t="shared" si="21"/>
        <v>0</v>
      </c>
    </row>
    <row r="515" spans="2:12" x14ac:dyDescent="0.3">
      <c r="B515" s="28" t="str">
        <f t="shared" ca="1" si="22"/>
        <v/>
      </c>
      <c r="C515" s="29" t="str">
        <f t="shared" ca="1" si="23"/>
        <v/>
      </c>
      <c r="D515" s="57"/>
      <c r="E515" s="57"/>
      <c r="F515" s="57"/>
      <c r="G515" s="58"/>
      <c r="H515" s="58"/>
      <c r="I515" s="59"/>
      <c r="J515" s="59"/>
      <c r="K515" s="59"/>
      <c r="L515" s="5">
        <f t="shared" si="21"/>
        <v>0</v>
      </c>
    </row>
    <row r="516" spans="2:12" x14ac:dyDescent="0.3">
      <c r="B516" s="28" t="str">
        <f t="shared" ca="1" si="22"/>
        <v/>
      </c>
      <c r="C516" s="29" t="str">
        <f t="shared" ca="1" si="23"/>
        <v/>
      </c>
      <c r="D516" s="57"/>
      <c r="E516" s="57"/>
      <c r="F516" s="57"/>
      <c r="G516" s="58"/>
      <c r="H516" s="58"/>
      <c r="I516" s="59"/>
      <c r="J516" s="59"/>
      <c r="K516" s="59"/>
      <c r="L516" s="5">
        <f t="shared" si="21"/>
        <v>0</v>
      </c>
    </row>
    <row r="517" spans="2:12" x14ac:dyDescent="0.3">
      <c r="B517" s="28" t="str">
        <f t="shared" ca="1" si="22"/>
        <v/>
      </c>
      <c r="C517" s="29" t="str">
        <f t="shared" ca="1" si="23"/>
        <v/>
      </c>
      <c r="D517" s="57"/>
      <c r="E517" s="57"/>
      <c r="F517" s="57"/>
      <c r="G517" s="58"/>
      <c r="H517" s="58"/>
      <c r="I517" s="59"/>
      <c r="J517" s="59"/>
      <c r="K517" s="59"/>
      <c r="L517" s="5">
        <f t="shared" si="21"/>
        <v>0</v>
      </c>
    </row>
    <row r="518" spans="2:12" x14ac:dyDescent="0.3">
      <c r="B518" s="28" t="str">
        <f t="shared" ca="1" si="22"/>
        <v/>
      </c>
      <c r="C518" s="29" t="str">
        <f t="shared" ca="1" si="23"/>
        <v/>
      </c>
      <c r="D518" s="57"/>
      <c r="E518" s="57"/>
      <c r="F518" s="57"/>
      <c r="G518" s="58"/>
      <c r="H518" s="58"/>
      <c r="I518" s="59"/>
      <c r="J518" s="59"/>
      <c r="K518" s="59"/>
      <c r="L518" s="5">
        <f t="shared" si="21"/>
        <v>0</v>
      </c>
    </row>
    <row r="519" spans="2:12" x14ac:dyDescent="0.3">
      <c r="B519" s="28" t="str">
        <f t="shared" ca="1" si="22"/>
        <v/>
      </c>
      <c r="C519" s="29" t="str">
        <f t="shared" ca="1" si="23"/>
        <v/>
      </c>
      <c r="D519" s="57"/>
      <c r="E519" s="57"/>
      <c r="F519" s="57"/>
      <c r="G519" s="58"/>
      <c r="H519" s="58"/>
      <c r="I519" s="59"/>
      <c r="J519" s="59"/>
      <c r="K519" s="59"/>
      <c r="L519" s="5">
        <f t="shared" si="21"/>
        <v>0</v>
      </c>
    </row>
    <row r="520" spans="2:12" x14ac:dyDescent="0.3">
      <c r="B520" s="28" t="str">
        <f t="shared" ca="1" si="22"/>
        <v/>
      </c>
      <c r="C520" s="29" t="str">
        <f t="shared" ca="1" si="23"/>
        <v/>
      </c>
      <c r="D520" s="57"/>
      <c r="E520" s="57"/>
      <c r="F520" s="57"/>
      <c r="G520" s="58"/>
      <c r="H520" s="58"/>
      <c r="I520" s="59"/>
      <c r="J520" s="59"/>
      <c r="K520" s="59"/>
      <c r="L520" s="5">
        <f t="shared" si="21"/>
        <v>0</v>
      </c>
    </row>
    <row r="521" spans="2:12" x14ac:dyDescent="0.3">
      <c r="B521" s="28" t="str">
        <f t="shared" ca="1" si="22"/>
        <v/>
      </c>
      <c r="C521" s="29" t="str">
        <f t="shared" ca="1" si="23"/>
        <v/>
      </c>
      <c r="D521" s="57"/>
      <c r="E521" s="57"/>
      <c r="F521" s="57"/>
      <c r="G521" s="58"/>
      <c r="H521" s="58"/>
      <c r="I521" s="59"/>
      <c r="J521" s="59"/>
      <c r="K521" s="59"/>
      <c r="L521" s="5">
        <f t="shared" si="21"/>
        <v>0</v>
      </c>
    </row>
    <row r="522" spans="2:12" x14ac:dyDescent="0.3">
      <c r="B522" s="28" t="str">
        <f t="shared" ca="1" si="22"/>
        <v/>
      </c>
      <c r="C522" s="29" t="str">
        <f t="shared" ca="1" si="23"/>
        <v/>
      </c>
      <c r="D522" s="57"/>
      <c r="E522" s="57"/>
      <c r="F522" s="57"/>
      <c r="G522" s="58"/>
      <c r="H522" s="58"/>
      <c r="I522" s="59"/>
      <c r="J522" s="59"/>
      <c r="K522" s="59"/>
      <c r="L522" s="5">
        <f t="shared" ref="L522:L585" si="24">J522-I522-K522</f>
        <v>0</v>
      </c>
    </row>
    <row r="523" spans="2:12" x14ac:dyDescent="0.3">
      <c r="B523" s="28" t="str">
        <f t="shared" ref="B523:B586" ca="1" si="25">IF(D523&lt;&gt;"",DATE(Jahr,_xlfn.SHEET()-2,D523),"")</f>
        <v/>
      </c>
      <c r="C523" s="29" t="str">
        <f t="shared" ref="C523:C586" ca="1" si="26">B523</f>
        <v/>
      </c>
      <c r="D523" s="57"/>
      <c r="E523" s="57"/>
      <c r="F523" s="57"/>
      <c r="G523" s="58"/>
      <c r="H523" s="58"/>
      <c r="I523" s="59"/>
      <c r="J523" s="59"/>
      <c r="K523" s="59"/>
      <c r="L523" s="5">
        <f t="shared" si="24"/>
        <v>0</v>
      </c>
    </row>
    <row r="524" spans="2:12" x14ac:dyDescent="0.3">
      <c r="B524" s="28" t="str">
        <f t="shared" ca="1" si="25"/>
        <v/>
      </c>
      <c r="C524" s="29" t="str">
        <f t="shared" ca="1" si="26"/>
        <v/>
      </c>
      <c r="D524" s="57"/>
      <c r="E524" s="57"/>
      <c r="F524" s="57"/>
      <c r="G524" s="58"/>
      <c r="H524" s="58"/>
      <c r="I524" s="59"/>
      <c r="J524" s="59"/>
      <c r="K524" s="59"/>
      <c r="L524" s="5">
        <f t="shared" si="24"/>
        <v>0</v>
      </c>
    </row>
    <row r="525" spans="2:12" x14ac:dyDescent="0.3">
      <c r="B525" s="28" t="str">
        <f t="shared" ca="1" si="25"/>
        <v/>
      </c>
      <c r="C525" s="29" t="str">
        <f t="shared" ca="1" si="26"/>
        <v/>
      </c>
      <c r="D525" s="57"/>
      <c r="E525" s="57"/>
      <c r="F525" s="57"/>
      <c r="G525" s="58"/>
      <c r="H525" s="58"/>
      <c r="I525" s="59"/>
      <c r="J525" s="59"/>
      <c r="K525" s="59"/>
      <c r="L525" s="5">
        <f t="shared" si="24"/>
        <v>0</v>
      </c>
    </row>
    <row r="526" spans="2:12" x14ac:dyDescent="0.3">
      <c r="B526" s="28" t="str">
        <f t="shared" ca="1" si="25"/>
        <v/>
      </c>
      <c r="C526" s="29" t="str">
        <f t="shared" ca="1" si="26"/>
        <v/>
      </c>
      <c r="D526" s="57"/>
      <c r="E526" s="57"/>
      <c r="F526" s="57"/>
      <c r="G526" s="58"/>
      <c r="H526" s="58"/>
      <c r="I526" s="59"/>
      <c r="J526" s="59"/>
      <c r="K526" s="59"/>
      <c r="L526" s="5">
        <f t="shared" si="24"/>
        <v>0</v>
      </c>
    </row>
    <row r="527" spans="2:12" x14ac:dyDescent="0.3">
      <c r="B527" s="28" t="str">
        <f t="shared" ca="1" si="25"/>
        <v/>
      </c>
      <c r="C527" s="29" t="str">
        <f t="shared" ca="1" si="26"/>
        <v/>
      </c>
      <c r="D527" s="57"/>
      <c r="E527" s="57"/>
      <c r="F527" s="57"/>
      <c r="G527" s="58"/>
      <c r="H527" s="58"/>
      <c r="I527" s="59"/>
      <c r="J527" s="59"/>
      <c r="K527" s="59"/>
      <c r="L527" s="5">
        <f t="shared" si="24"/>
        <v>0</v>
      </c>
    </row>
    <row r="528" spans="2:12" x14ac:dyDescent="0.3">
      <c r="B528" s="28" t="str">
        <f t="shared" ca="1" si="25"/>
        <v/>
      </c>
      <c r="C528" s="29" t="str">
        <f t="shared" ca="1" si="26"/>
        <v/>
      </c>
      <c r="D528" s="57"/>
      <c r="E528" s="57"/>
      <c r="F528" s="57"/>
      <c r="G528" s="58"/>
      <c r="H528" s="58"/>
      <c r="I528" s="59"/>
      <c r="J528" s="59"/>
      <c r="K528" s="59"/>
      <c r="L528" s="5">
        <f t="shared" si="24"/>
        <v>0</v>
      </c>
    </row>
    <row r="529" spans="2:12" x14ac:dyDescent="0.3">
      <c r="B529" s="28" t="str">
        <f t="shared" ca="1" si="25"/>
        <v/>
      </c>
      <c r="C529" s="29" t="str">
        <f t="shared" ca="1" si="26"/>
        <v/>
      </c>
      <c r="D529" s="57"/>
      <c r="E529" s="57"/>
      <c r="F529" s="57"/>
      <c r="G529" s="58"/>
      <c r="H529" s="58"/>
      <c r="I529" s="59"/>
      <c r="J529" s="59"/>
      <c r="K529" s="59"/>
      <c r="L529" s="5">
        <f t="shared" si="24"/>
        <v>0</v>
      </c>
    </row>
    <row r="530" spans="2:12" x14ac:dyDescent="0.3">
      <c r="B530" s="28" t="str">
        <f t="shared" ca="1" si="25"/>
        <v/>
      </c>
      <c r="C530" s="29" t="str">
        <f t="shared" ca="1" si="26"/>
        <v/>
      </c>
      <c r="D530" s="57"/>
      <c r="E530" s="57"/>
      <c r="F530" s="57"/>
      <c r="G530" s="58"/>
      <c r="H530" s="58"/>
      <c r="I530" s="59"/>
      <c r="J530" s="59"/>
      <c r="K530" s="59"/>
      <c r="L530" s="5">
        <f t="shared" si="24"/>
        <v>0</v>
      </c>
    </row>
    <row r="531" spans="2:12" x14ac:dyDescent="0.3">
      <c r="B531" s="28" t="str">
        <f t="shared" ca="1" si="25"/>
        <v/>
      </c>
      <c r="C531" s="29" t="str">
        <f t="shared" ca="1" si="26"/>
        <v/>
      </c>
      <c r="D531" s="57"/>
      <c r="E531" s="57"/>
      <c r="F531" s="57"/>
      <c r="G531" s="58"/>
      <c r="H531" s="58"/>
      <c r="I531" s="59"/>
      <c r="J531" s="59"/>
      <c r="K531" s="59"/>
      <c r="L531" s="5">
        <f t="shared" si="24"/>
        <v>0</v>
      </c>
    </row>
    <row r="532" spans="2:12" x14ac:dyDescent="0.3">
      <c r="B532" s="28" t="str">
        <f t="shared" ca="1" si="25"/>
        <v/>
      </c>
      <c r="C532" s="29" t="str">
        <f t="shared" ca="1" si="26"/>
        <v/>
      </c>
      <c r="D532" s="57"/>
      <c r="E532" s="57"/>
      <c r="F532" s="57"/>
      <c r="G532" s="58"/>
      <c r="H532" s="58"/>
      <c r="I532" s="59"/>
      <c r="J532" s="59"/>
      <c r="K532" s="59"/>
      <c r="L532" s="5">
        <f t="shared" si="24"/>
        <v>0</v>
      </c>
    </row>
    <row r="533" spans="2:12" x14ac:dyDescent="0.3">
      <c r="B533" s="28" t="str">
        <f t="shared" ca="1" si="25"/>
        <v/>
      </c>
      <c r="C533" s="29" t="str">
        <f t="shared" ca="1" si="26"/>
        <v/>
      </c>
      <c r="D533" s="57"/>
      <c r="E533" s="57"/>
      <c r="F533" s="57"/>
      <c r="G533" s="58"/>
      <c r="H533" s="58"/>
      <c r="I533" s="59"/>
      <c r="J533" s="59"/>
      <c r="K533" s="59"/>
      <c r="L533" s="5">
        <f t="shared" si="24"/>
        <v>0</v>
      </c>
    </row>
    <row r="534" spans="2:12" x14ac:dyDescent="0.3">
      <c r="B534" s="28" t="str">
        <f t="shared" ca="1" si="25"/>
        <v/>
      </c>
      <c r="C534" s="29" t="str">
        <f t="shared" ca="1" si="26"/>
        <v/>
      </c>
      <c r="D534" s="57"/>
      <c r="E534" s="57"/>
      <c r="F534" s="57"/>
      <c r="G534" s="58"/>
      <c r="H534" s="58"/>
      <c r="I534" s="59"/>
      <c r="J534" s="59"/>
      <c r="K534" s="59"/>
      <c r="L534" s="5">
        <f t="shared" si="24"/>
        <v>0</v>
      </c>
    </row>
    <row r="535" spans="2:12" x14ac:dyDescent="0.3">
      <c r="B535" s="28" t="str">
        <f t="shared" ca="1" si="25"/>
        <v/>
      </c>
      <c r="C535" s="29" t="str">
        <f t="shared" ca="1" si="26"/>
        <v/>
      </c>
      <c r="D535" s="57"/>
      <c r="E535" s="57"/>
      <c r="F535" s="57"/>
      <c r="G535" s="58"/>
      <c r="H535" s="58"/>
      <c r="I535" s="59"/>
      <c r="J535" s="59"/>
      <c r="K535" s="59"/>
      <c r="L535" s="5">
        <f t="shared" si="24"/>
        <v>0</v>
      </c>
    </row>
    <row r="536" spans="2:12" x14ac:dyDescent="0.3">
      <c r="B536" s="28" t="str">
        <f t="shared" ca="1" si="25"/>
        <v/>
      </c>
      <c r="C536" s="29" t="str">
        <f t="shared" ca="1" si="26"/>
        <v/>
      </c>
      <c r="D536" s="57"/>
      <c r="E536" s="57"/>
      <c r="F536" s="57"/>
      <c r="G536" s="58"/>
      <c r="H536" s="58"/>
      <c r="I536" s="59"/>
      <c r="J536" s="59"/>
      <c r="K536" s="59"/>
      <c r="L536" s="5">
        <f t="shared" si="24"/>
        <v>0</v>
      </c>
    </row>
    <row r="537" spans="2:12" x14ac:dyDescent="0.3">
      <c r="B537" s="28" t="str">
        <f t="shared" ca="1" si="25"/>
        <v/>
      </c>
      <c r="C537" s="29" t="str">
        <f t="shared" ca="1" si="26"/>
        <v/>
      </c>
      <c r="D537" s="57"/>
      <c r="E537" s="57"/>
      <c r="F537" s="57"/>
      <c r="G537" s="58"/>
      <c r="H537" s="58"/>
      <c r="I537" s="59"/>
      <c r="J537" s="59"/>
      <c r="K537" s="59"/>
      <c r="L537" s="5">
        <f t="shared" si="24"/>
        <v>0</v>
      </c>
    </row>
    <row r="538" spans="2:12" x14ac:dyDescent="0.3">
      <c r="B538" s="28" t="str">
        <f t="shared" ca="1" si="25"/>
        <v/>
      </c>
      <c r="C538" s="29" t="str">
        <f t="shared" ca="1" si="26"/>
        <v/>
      </c>
      <c r="D538" s="57"/>
      <c r="E538" s="57"/>
      <c r="F538" s="57"/>
      <c r="G538" s="58"/>
      <c r="H538" s="58"/>
      <c r="I538" s="59"/>
      <c r="J538" s="59"/>
      <c r="K538" s="59"/>
      <c r="L538" s="5">
        <f t="shared" si="24"/>
        <v>0</v>
      </c>
    </row>
    <row r="539" spans="2:12" x14ac:dyDescent="0.3">
      <c r="B539" s="28" t="str">
        <f t="shared" ca="1" si="25"/>
        <v/>
      </c>
      <c r="C539" s="29" t="str">
        <f t="shared" ca="1" si="26"/>
        <v/>
      </c>
      <c r="D539" s="57"/>
      <c r="E539" s="57"/>
      <c r="F539" s="57"/>
      <c r="G539" s="58"/>
      <c r="H539" s="58"/>
      <c r="I539" s="59"/>
      <c r="J539" s="59"/>
      <c r="K539" s="59"/>
      <c r="L539" s="5">
        <f t="shared" si="24"/>
        <v>0</v>
      </c>
    </row>
    <row r="540" spans="2:12" x14ac:dyDescent="0.3">
      <c r="B540" s="28" t="str">
        <f t="shared" ca="1" si="25"/>
        <v/>
      </c>
      <c r="C540" s="29" t="str">
        <f t="shared" ca="1" si="26"/>
        <v/>
      </c>
      <c r="D540" s="57"/>
      <c r="E540" s="57"/>
      <c r="F540" s="57"/>
      <c r="G540" s="58"/>
      <c r="H540" s="58"/>
      <c r="I540" s="59"/>
      <c r="J540" s="59"/>
      <c r="K540" s="59"/>
      <c r="L540" s="5">
        <f t="shared" si="24"/>
        <v>0</v>
      </c>
    </row>
    <row r="541" spans="2:12" x14ac:dyDescent="0.3">
      <c r="B541" s="28" t="str">
        <f t="shared" ca="1" si="25"/>
        <v/>
      </c>
      <c r="C541" s="29" t="str">
        <f t="shared" ca="1" si="26"/>
        <v/>
      </c>
      <c r="D541" s="57"/>
      <c r="E541" s="57"/>
      <c r="F541" s="57"/>
      <c r="G541" s="58"/>
      <c r="H541" s="58"/>
      <c r="I541" s="59"/>
      <c r="J541" s="59"/>
      <c r="K541" s="59"/>
      <c r="L541" s="5">
        <f t="shared" si="24"/>
        <v>0</v>
      </c>
    </row>
    <row r="542" spans="2:12" x14ac:dyDescent="0.3">
      <c r="B542" s="28" t="str">
        <f t="shared" ca="1" si="25"/>
        <v/>
      </c>
      <c r="C542" s="29" t="str">
        <f t="shared" ca="1" si="26"/>
        <v/>
      </c>
      <c r="D542" s="57"/>
      <c r="E542" s="57"/>
      <c r="F542" s="57"/>
      <c r="G542" s="58"/>
      <c r="H542" s="58"/>
      <c r="I542" s="59"/>
      <c r="J542" s="59"/>
      <c r="K542" s="59"/>
      <c r="L542" s="5">
        <f t="shared" si="24"/>
        <v>0</v>
      </c>
    </row>
    <row r="543" spans="2:12" x14ac:dyDescent="0.3">
      <c r="B543" s="28" t="str">
        <f t="shared" ca="1" si="25"/>
        <v/>
      </c>
      <c r="C543" s="29" t="str">
        <f t="shared" ca="1" si="26"/>
        <v/>
      </c>
      <c r="D543" s="57"/>
      <c r="E543" s="57"/>
      <c r="F543" s="57"/>
      <c r="G543" s="58"/>
      <c r="H543" s="58"/>
      <c r="I543" s="59"/>
      <c r="J543" s="59"/>
      <c r="K543" s="59"/>
      <c r="L543" s="5">
        <f t="shared" si="24"/>
        <v>0</v>
      </c>
    </row>
    <row r="544" spans="2:12" x14ac:dyDescent="0.3">
      <c r="B544" s="28" t="str">
        <f t="shared" ca="1" si="25"/>
        <v/>
      </c>
      <c r="C544" s="29" t="str">
        <f t="shared" ca="1" si="26"/>
        <v/>
      </c>
      <c r="D544" s="57"/>
      <c r="E544" s="57"/>
      <c r="F544" s="57"/>
      <c r="G544" s="58"/>
      <c r="H544" s="58"/>
      <c r="I544" s="59"/>
      <c r="J544" s="59"/>
      <c r="K544" s="59"/>
      <c r="L544" s="5">
        <f t="shared" si="24"/>
        <v>0</v>
      </c>
    </row>
    <row r="545" spans="2:12" x14ac:dyDescent="0.3">
      <c r="B545" s="28" t="str">
        <f t="shared" ca="1" si="25"/>
        <v/>
      </c>
      <c r="C545" s="29" t="str">
        <f t="shared" ca="1" si="26"/>
        <v/>
      </c>
      <c r="D545" s="57"/>
      <c r="E545" s="57"/>
      <c r="F545" s="57"/>
      <c r="G545" s="58"/>
      <c r="H545" s="58"/>
      <c r="I545" s="59"/>
      <c r="J545" s="59"/>
      <c r="K545" s="59"/>
      <c r="L545" s="5">
        <f t="shared" si="24"/>
        <v>0</v>
      </c>
    </row>
    <row r="546" spans="2:12" x14ac:dyDescent="0.3">
      <c r="B546" s="28" t="str">
        <f t="shared" ca="1" si="25"/>
        <v/>
      </c>
      <c r="C546" s="29" t="str">
        <f t="shared" ca="1" si="26"/>
        <v/>
      </c>
      <c r="D546" s="57"/>
      <c r="E546" s="57"/>
      <c r="F546" s="57"/>
      <c r="G546" s="58"/>
      <c r="H546" s="58"/>
      <c r="I546" s="59"/>
      <c r="J546" s="59"/>
      <c r="K546" s="59"/>
      <c r="L546" s="5">
        <f t="shared" si="24"/>
        <v>0</v>
      </c>
    </row>
    <row r="547" spans="2:12" x14ac:dyDescent="0.3">
      <c r="B547" s="28" t="str">
        <f t="shared" ca="1" si="25"/>
        <v/>
      </c>
      <c r="C547" s="29" t="str">
        <f t="shared" ca="1" si="26"/>
        <v/>
      </c>
      <c r="D547" s="57"/>
      <c r="E547" s="57"/>
      <c r="F547" s="57"/>
      <c r="G547" s="58"/>
      <c r="H547" s="58"/>
      <c r="I547" s="59"/>
      <c r="J547" s="59"/>
      <c r="K547" s="59"/>
      <c r="L547" s="5">
        <f t="shared" si="24"/>
        <v>0</v>
      </c>
    </row>
    <row r="548" spans="2:12" x14ac:dyDescent="0.3">
      <c r="B548" s="28" t="str">
        <f t="shared" ca="1" si="25"/>
        <v/>
      </c>
      <c r="C548" s="29" t="str">
        <f t="shared" ca="1" si="26"/>
        <v/>
      </c>
      <c r="D548" s="57"/>
      <c r="E548" s="57"/>
      <c r="F548" s="57"/>
      <c r="G548" s="58"/>
      <c r="H548" s="58"/>
      <c r="I548" s="59"/>
      <c r="J548" s="59"/>
      <c r="K548" s="59"/>
      <c r="L548" s="5">
        <f t="shared" si="24"/>
        <v>0</v>
      </c>
    </row>
    <row r="549" spans="2:12" x14ac:dyDescent="0.3">
      <c r="B549" s="28" t="str">
        <f t="shared" ca="1" si="25"/>
        <v/>
      </c>
      <c r="C549" s="29" t="str">
        <f t="shared" ca="1" si="26"/>
        <v/>
      </c>
      <c r="D549" s="57"/>
      <c r="E549" s="57"/>
      <c r="F549" s="57"/>
      <c r="G549" s="58"/>
      <c r="H549" s="58"/>
      <c r="I549" s="59"/>
      <c r="J549" s="59"/>
      <c r="K549" s="59"/>
      <c r="L549" s="5">
        <f t="shared" si="24"/>
        <v>0</v>
      </c>
    </row>
    <row r="550" spans="2:12" x14ac:dyDescent="0.3">
      <c r="B550" s="28" t="str">
        <f t="shared" ca="1" si="25"/>
        <v/>
      </c>
      <c r="C550" s="29" t="str">
        <f t="shared" ca="1" si="26"/>
        <v/>
      </c>
      <c r="D550" s="57"/>
      <c r="E550" s="57"/>
      <c r="F550" s="57"/>
      <c r="G550" s="58"/>
      <c r="H550" s="58"/>
      <c r="I550" s="59"/>
      <c r="J550" s="59"/>
      <c r="K550" s="59"/>
      <c r="L550" s="5">
        <f t="shared" si="24"/>
        <v>0</v>
      </c>
    </row>
    <row r="551" spans="2:12" x14ac:dyDescent="0.3">
      <c r="B551" s="28" t="str">
        <f t="shared" ca="1" si="25"/>
        <v/>
      </c>
      <c r="C551" s="29" t="str">
        <f t="shared" ca="1" si="26"/>
        <v/>
      </c>
      <c r="D551" s="57"/>
      <c r="E551" s="57"/>
      <c r="F551" s="57"/>
      <c r="G551" s="58"/>
      <c r="H551" s="58"/>
      <c r="I551" s="59"/>
      <c r="J551" s="59"/>
      <c r="K551" s="59"/>
      <c r="L551" s="5">
        <f t="shared" si="24"/>
        <v>0</v>
      </c>
    </row>
    <row r="552" spans="2:12" x14ac:dyDescent="0.3">
      <c r="B552" s="28" t="str">
        <f t="shared" ca="1" si="25"/>
        <v/>
      </c>
      <c r="C552" s="29" t="str">
        <f t="shared" ca="1" si="26"/>
        <v/>
      </c>
      <c r="D552" s="57"/>
      <c r="E552" s="57"/>
      <c r="F552" s="57"/>
      <c r="G552" s="58"/>
      <c r="H552" s="58"/>
      <c r="I552" s="59"/>
      <c r="J552" s="59"/>
      <c r="K552" s="59"/>
      <c r="L552" s="5">
        <f t="shared" si="24"/>
        <v>0</v>
      </c>
    </row>
    <row r="553" spans="2:12" x14ac:dyDescent="0.3">
      <c r="B553" s="28" t="str">
        <f t="shared" ca="1" si="25"/>
        <v/>
      </c>
      <c r="C553" s="29" t="str">
        <f t="shared" ca="1" si="26"/>
        <v/>
      </c>
      <c r="D553" s="57"/>
      <c r="E553" s="57"/>
      <c r="F553" s="57"/>
      <c r="G553" s="58"/>
      <c r="H553" s="58"/>
      <c r="I553" s="59"/>
      <c r="J553" s="59"/>
      <c r="K553" s="59"/>
      <c r="L553" s="5">
        <f t="shared" si="24"/>
        <v>0</v>
      </c>
    </row>
    <row r="554" spans="2:12" x14ac:dyDescent="0.3">
      <c r="B554" s="28" t="str">
        <f t="shared" ca="1" si="25"/>
        <v/>
      </c>
      <c r="C554" s="29" t="str">
        <f t="shared" ca="1" si="26"/>
        <v/>
      </c>
      <c r="D554" s="57"/>
      <c r="E554" s="57"/>
      <c r="F554" s="57"/>
      <c r="G554" s="58"/>
      <c r="H554" s="58"/>
      <c r="I554" s="59"/>
      <c r="J554" s="59"/>
      <c r="K554" s="59"/>
      <c r="L554" s="5">
        <f t="shared" si="24"/>
        <v>0</v>
      </c>
    </row>
    <row r="555" spans="2:12" x14ac:dyDescent="0.3">
      <c r="B555" s="28" t="str">
        <f t="shared" ca="1" si="25"/>
        <v/>
      </c>
      <c r="C555" s="29" t="str">
        <f t="shared" ca="1" si="26"/>
        <v/>
      </c>
      <c r="D555" s="57"/>
      <c r="E555" s="57"/>
      <c r="F555" s="57"/>
      <c r="G555" s="58"/>
      <c r="H555" s="58"/>
      <c r="I555" s="59"/>
      <c r="J555" s="59"/>
      <c r="K555" s="59"/>
      <c r="L555" s="5">
        <f t="shared" si="24"/>
        <v>0</v>
      </c>
    </row>
    <row r="556" spans="2:12" x14ac:dyDescent="0.3">
      <c r="B556" s="28" t="str">
        <f t="shared" ca="1" si="25"/>
        <v/>
      </c>
      <c r="C556" s="29" t="str">
        <f t="shared" ca="1" si="26"/>
        <v/>
      </c>
      <c r="D556" s="57"/>
      <c r="E556" s="57"/>
      <c r="F556" s="57"/>
      <c r="G556" s="58"/>
      <c r="H556" s="58"/>
      <c r="I556" s="59"/>
      <c r="J556" s="59"/>
      <c r="K556" s="59"/>
      <c r="L556" s="5">
        <f t="shared" si="24"/>
        <v>0</v>
      </c>
    </row>
    <row r="557" spans="2:12" x14ac:dyDescent="0.3">
      <c r="B557" s="28" t="str">
        <f t="shared" ca="1" si="25"/>
        <v/>
      </c>
      <c r="C557" s="29" t="str">
        <f t="shared" ca="1" si="26"/>
        <v/>
      </c>
      <c r="D557" s="57"/>
      <c r="E557" s="57"/>
      <c r="F557" s="57"/>
      <c r="G557" s="58"/>
      <c r="H557" s="58"/>
      <c r="I557" s="59"/>
      <c r="J557" s="59"/>
      <c r="K557" s="59"/>
      <c r="L557" s="5">
        <f t="shared" si="24"/>
        <v>0</v>
      </c>
    </row>
    <row r="558" spans="2:12" x14ac:dyDescent="0.3">
      <c r="B558" s="28" t="str">
        <f t="shared" ca="1" si="25"/>
        <v/>
      </c>
      <c r="C558" s="29" t="str">
        <f t="shared" ca="1" si="26"/>
        <v/>
      </c>
      <c r="D558" s="57"/>
      <c r="E558" s="57"/>
      <c r="F558" s="57"/>
      <c r="G558" s="58"/>
      <c r="H558" s="58"/>
      <c r="I558" s="59"/>
      <c r="J558" s="59"/>
      <c r="K558" s="59"/>
      <c r="L558" s="5">
        <f t="shared" si="24"/>
        <v>0</v>
      </c>
    </row>
    <row r="559" spans="2:12" x14ac:dyDescent="0.3">
      <c r="B559" s="28" t="str">
        <f t="shared" ca="1" si="25"/>
        <v/>
      </c>
      <c r="C559" s="29" t="str">
        <f t="shared" ca="1" si="26"/>
        <v/>
      </c>
      <c r="D559" s="57"/>
      <c r="E559" s="57"/>
      <c r="F559" s="57"/>
      <c r="G559" s="58"/>
      <c r="H559" s="58"/>
      <c r="I559" s="59"/>
      <c r="J559" s="59"/>
      <c r="K559" s="59"/>
      <c r="L559" s="5">
        <f t="shared" si="24"/>
        <v>0</v>
      </c>
    </row>
    <row r="560" spans="2:12" x14ac:dyDescent="0.3">
      <c r="B560" s="28" t="str">
        <f t="shared" ca="1" si="25"/>
        <v/>
      </c>
      <c r="C560" s="29" t="str">
        <f t="shared" ca="1" si="26"/>
        <v/>
      </c>
      <c r="D560" s="57"/>
      <c r="E560" s="57"/>
      <c r="F560" s="57"/>
      <c r="G560" s="58"/>
      <c r="H560" s="58"/>
      <c r="I560" s="59"/>
      <c r="J560" s="59"/>
      <c r="K560" s="59"/>
      <c r="L560" s="5">
        <f t="shared" si="24"/>
        <v>0</v>
      </c>
    </row>
    <row r="561" spans="2:12" x14ac:dyDescent="0.3">
      <c r="B561" s="28" t="str">
        <f t="shared" ca="1" si="25"/>
        <v/>
      </c>
      <c r="C561" s="29" t="str">
        <f t="shared" ca="1" si="26"/>
        <v/>
      </c>
      <c r="D561" s="57"/>
      <c r="E561" s="57"/>
      <c r="F561" s="57"/>
      <c r="G561" s="58"/>
      <c r="H561" s="58"/>
      <c r="I561" s="59"/>
      <c r="J561" s="59"/>
      <c r="K561" s="59"/>
      <c r="L561" s="5">
        <f t="shared" si="24"/>
        <v>0</v>
      </c>
    </row>
    <row r="562" spans="2:12" x14ac:dyDescent="0.3">
      <c r="B562" s="28" t="str">
        <f t="shared" ca="1" si="25"/>
        <v/>
      </c>
      <c r="C562" s="29" t="str">
        <f t="shared" ca="1" si="26"/>
        <v/>
      </c>
      <c r="D562" s="57"/>
      <c r="E562" s="57"/>
      <c r="F562" s="57"/>
      <c r="G562" s="58"/>
      <c r="H562" s="58"/>
      <c r="I562" s="59"/>
      <c r="J562" s="59"/>
      <c r="K562" s="59"/>
      <c r="L562" s="5">
        <f t="shared" si="24"/>
        <v>0</v>
      </c>
    </row>
    <row r="563" spans="2:12" x14ac:dyDescent="0.3">
      <c r="B563" s="28" t="str">
        <f t="shared" ca="1" si="25"/>
        <v/>
      </c>
      <c r="C563" s="29" t="str">
        <f t="shared" ca="1" si="26"/>
        <v/>
      </c>
      <c r="D563" s="57"/>
      <c r="E563" s="57"/>
      <c r="F563" s="57"/>
      <c r="G563" s="58"/>
      <c r="H563" s="58"/>
      <c r="I563" s="59"/>
      <c r="J563" s="59"/>
      <c r="K563" s="59"/>
      <c r="L563" s="5">
        <f t="shared" si="24"/>
        <v>0</v>
      </c>
    </row>
    <row r="564" spans="2:12" x14ac:dyDescent="0.3">
      <c r="B564" s="28" t="str">
        <f t="shared" ca="1" si="25"/>
        <v/>
      </c>
      <c r="C564" s="29" t="str">
        <f t="shared" ca="1" si="26"/>
        <v/>
      </c>
      <c r="D564" s="57"/>
      <c r="E564" s="57"/>
      <c r="F564" s="57"/>
      <c r="G564" s="58"/>
      <c r="H564" s="58"/>
      <c r="I564" s="59"/>
      <c r="J564" s="59"/>
      <c r="K564" s="59"/>
      <c r="L564" s="5">
        <f t="shared" si="24"/>
        <v>0</v>
      </c>
    </row>
    <row r="565" spans="2:12" x14ac:dyDescent="0.3">
      <c r="B565" s="28" t="str">
        <f t="shared" ca="1" si="25"/>
        <v/>
      </c>
      <c r="C565" s="29" t="str">
        <f t="shared" ca="1" si="26"/>
        <v/>
      </c>
      <c r="D565" s="57"/>
      <c r="E565" s="57"/>
      <c r="F565" s="57"/>
      <c r="G565" s="58"/>
      <c r="H565" s="58"/>
      <c r="I565" s="59"/>
      <c r="J565" s="59"/>
      <c r="K565" s="59"/>
      <c r="L565" s="5">
        <f t="shared" si="24"/>
        <v>0</v>
      </c>
    </row>
    <row r="566" spans="2:12" x14ac:dyDescent="0.3">
      <c r="B566" s="28" t="str">
        <f t="shared" ca="1" si="25"/>
        <v/>
      </c>
      <c r="C566" s="29" t="str">
        <f t="shared" ca="1" si="26"/>
        <v/>
      </c>
      <c r="D566" s="57"/>
      <c r="E566" s="57"/>
      <c r="F566" s="57"/>
      <c r="G566" s="58"/>
      <c r="H566" s="58"/>
      <c r="I566" s="59"/>
      <c r="J566" s="59"/>
      <c r="K566" s="59"/>
      <c r="L566" s="5">
        <f t="shared" si="24"/>
        <v>0</v>
      </c>
    </row>
    <row r="567" spans="2:12" x14ac:dyDescent="0.3">
      <c r="B567" s="28" t="str">
        <f t="shared" ca="1" si="25"/>
        <v/>
      </c>
      <c r="C567" s="29" t="str">
        <f t="shared" ca="1" si="26"/>
        <v/>
      </c>
      <c r="D567" s="57"/>
      <c r="E567" s="57"/>
      <c r="F567" s="57"/>
      <c r="G567" s="58"/>
      <c r="H567" s="58"/>
      <c r="I567" s="59"/>
      <c r="J567" s="59"/>
      <c r="K567" s="59"/>
      <c r="L567" s="5">
        <f t="shared" si="24"/>
        <v>0</v>
      </c>
    </row>
    <row r="568" spans="2:12" x14ac:dyDescent="0.3">
      <c r="B568" s="28" t="str">
        <f t="shared" ca="1" si="25"/>
        <v/>
      </c>
      <c r="C568" s="29" t="str">
        <f t="shared" ca="1" si="26"/>
        <v/>
      </c>
      <c r="D568" s="57"/>
      <c r="E568" s="57"/>
      <c r="F568" s="57"/>
      <c r="G568" s="58"/>
      <c r="H568" s="58"/>
      <c r="I568" s="59"/>
      <c r="J568" s="59"/>
      <c r="K568" s="59"/>
      <c r="L568" s="5">
        <f t="shared" si="24"/>
        <v>0</v>
      </c>
    </row>
    <row r="569" spans="2:12" x14ac:dyDescent="0.3">
      <c r="B569" s="28" t="str">
        <f t="shared" ca="1" si="25"/>
        <v/>
      </c>
      <c r="C569" s="29" t="str">
        <f t="shared" ca="1" si="26"/>
        <v/>
      </c>
      <c r="D569" s="57"/>
      <c r="E569" s="57"/>
      <c r="F569" s="57"/>
      <c r="G569" s="58"/>
      <c r="H569" s="58"/>
      <c r="I569" s="59"/>
      <c r="J569" s="59"/>
      <c r="K569" s="59"/>
      <c r="L569" s="5">
        <f t="shared" si="24"/>
        <v>0</v>
      </c>
    </row>
    <row r="570" spans="2:12" x14ac:dyDescent="0.3">
      <c r="B570" s="28" t="str">
        <f t="shared" ca="1" si="25"/>
        <v/>
      </c>
      <c r="C570" s="29" t="str">
        <f t="shared" ca="1" si="26"/>
        <v/>
      </c>
      <c r="D570" s="57"/>
      <c r="E570" s="57"/>
      <c r="F570" s="57"/>
      <c r="G570" s="58"/>
      <c r="H570" s="58"/>
      <c r="I570" s="59"/>
      <c r="J570" s="59"/>
      <c r="K570" s="59"/>
      <c r="L570" s="5">
        <f t="shared" si="24"/>
        <v>0</v>
      </c>
    </row>
    <row r="571" spans="2:12" x14ac:dyDescent="0.3">
      <c r="B571" s="28" t="str">
        <f t="shared" ca="1" si="25"/>
        <v/>
      </c>
      <c r="C571" s="29" t="str">
        <f t="shared" ca="1" si="26"/>
        <v/>
      </c>
      <c r="D571" s="57"/>
      <c r="E571" s="57"/>
      <c r="F571" s="57"/>
      <c r="G571" s="58"/>
      <c r="H571" s="58"/>
      <c r="I571" s="59"/>
      <c r="J571" s="59"/>
      <c r="K571" s="59"/>
      <c r="L571" s="5">
        <f t="shared" si="24"/>
        <v>0</v>
      </c>
    </row>
    <row r="572" spans="2:12" x14ac:dyDescent="0.3">
      <c r="B572" s="28" t="str">
        <f t="shared" ca="1" si="25"/>
        <v/>
      </c>
      <c r="C572" s="29" t="str">
        <f t="shared" ca="1" si="26"/>
        <v/>
      </c>
      <c r="D572" s="57"/>
      <c r="E572" s="57"/>
      <c r="F572" s="57"/>
      <c r="G572" s="58"/>
      <c r="H572" s="58"/>
      <c r="I572" s="59"/>
      <c r="J572" s="59"/>
      <c r="K572" s="59"/>
      <c r="L572" s="5">
        <f t="shared" si="24"/>
        <v>0</v>
      </c>
    </row>
    <row r="573" spans="2:12" x14ac:dyDescent="0.3">
      <c r="B573" s="28" t="str">
        <f t="shared" ca="1" si="25"/>
        <v/>
      </c>
      <c r="C573" s="29" t="str">
        <f t="shared" ca="1" si="26"/>
        <v/>
      </c>
      <c r="D573" s="57"/>
      <c r="E573" s="57"/>
      <c r="F573" s="57"/>
      <c r="G573" s="58"/>
      <c r="H573" s="58"/>
      <c r="I573" s="59"/>
      <c r="J573" s="59"/>
      <c r="K573" s="59"/>
      <c r="L573" s="5">
        <f t="shared" si="24"/>
        <v>0</v>
      </c>
    </row>
    <row r="574" spans="2:12" x14ac:dyDescent="0.3">
      <c r="B574" s="28" t="str">
        <f t="shared" ca="1" si="25"/>
        <v/>
      </c>
      <c r="C574" s="29" t="str">
        <f t="shared" ca="1" si="26"/>
        <v/>
      </c>
      <c r="D574" s="57"/>
      <c r="E574" s="57"/>
      <c r="F574" s="57"/>
      <c r="G574" s="58"/>
      <c r="H574" s="58"/>
      <c r="I574" s="59"/>
      <c r="J574" s="59"/>
      <c r="K574" s="59"/>
      <c r="L574" s="5">
        <f t="shared" si="24"/>
        <v>0</v>
      </c>
    </row>
    <row r="575" spans="2:12" x14ac:dyDescent="0.3">
      <c r="B575" s="28" t="str">
        <f t="shared" ca="1" si="25"/>
        <v/>
      </c>
      <c r="C575" s="29" t="str">
        <f t="shared" ca="1" si="26"/>
        <v/>
      </c>
      <c r="D575" s="57"/>
      <c r="E575" s="57"/>
      <c r="F575" s="57"/>
      <c r="G575" s="58"/>
      <c r="H575" s="58"/>
      <c r="I575" s="59"/>
      <c r="J575" s="59"/>
      <c r="K575" s="59"/>
      <c r="L575" s="5">
        <f t="shared" si="24"/>
        <v>0</v>
      </c>
    </row>
    <row r="576" spans="2:12" x14ac:dyDescent="0.3">
      <c r="B576" s="28" t="str">
        <f t="shared" ca="1" si="25"/>
        <v/>
      </c>
      <c r="C576" s="29" t="str">
        <f t="shared" ca="1" si="26"/>
        <v/>
      </c>
      <c r="D576" s="57"/>
      <c r="E576" s="57"/>
      <c r="F576" s="57"/>
      <c r="G576" s="58"/>
      <c r="H576" s="58"/>
      <c r="I576" s="59"/>
      <c r="J576" s="59"/>
      <c r="K576" s="59"/>
      <c r="L576" s="5">
        <f t="shared" si="24"/>
        <v>0</v>
      </c>
    </row>
    <row r="577" spans="2:12" x14ac:dyDescent="0.3">
      <c r="B577" s="28" t="str">
        <f t="shared" ca="1" si="25"/>
        <v/>
      </c>
      <c r="C577" s="29" t="str">
        <f t="shared" ca="1" si="26"/>
        <v/>
      </c>
      <c r="D577" s="57"/>
      <c r="E577" s="57"/>
      <c r="F577" s="57"/>
      <c r="G577" s="58"/>
      <c r="H577" s="58"/>
      <c r="I577" s="59"/>
      <c r="J577" s="59"/>
      <c r="K577" s="59"/>
      <c r="L577" s="5">
        <f t="shared" si="24"/>
        <v>0</v>
      </c>
    </row>
    <row r="578" spans="2:12" x14ac:dyDescent="0.3">
      <c r="B578" s="28" t="str">
        <f t="shared" ca="1" si="25"/>
        <v/>
      </c>
      <c r="C578" s="29" t="str">
        <f t="shared" ca="1" si="26"/>
        <v/>
      </c>
      <c r="D578" s="57"/>
      <c r="E578" s="57"/>
      <c r="F578" s="57"/>
      <c r="G578" s="58"/>
      <c r="H578" s="58"/>
      <c r="I578" s="59"/>
      <c r="J578" s="59"/>
      <c r="K578" s="59"/>
      <c r="L578" s="5">
        <f t="shared" si="24"/>
        <v>0</v>
      </c>
    </row>
    <row r="579" spans="2:12" x14ac:dyDescent="0.3">
      <c r="B579" s="28" t="str">
        <f t="shared" ca="1" si="25"/>
        <v/>
      </c>
      <c r="C579" s="29" t="str">
        <f t="shared" ca="1" si="26"/>
        <v/>
      </c>
      <c r="D579" s="57"/>
      <c r="E579" s="57"/>
      <c r="F579" s="57"/>
      <c r="G579" s="58"/>
      <c r="H579" s="58"/>
      <c r="I579" s="59"/>
      <c r="J579" s="59"/>
      <c r="K579" s="59"/>
      <c r="L579" s="5">
        <f t="shared" si="24"/>
        <v>0</v>
      </c>
    </row>
    <row r="580" spans="2:12" x14ac:dyDescent="0.3">
      <c r="B580" s="28" t="str">
        <f t="shared" ca="1" si="25"/>
        <v/>
      </c>
      <c r="C580" s="29" t="str">
        <f t="shared" ca="1" si="26"/>
        <v/>
      </c>
      <c r="D580" s="57"/>
      <c r="E580" s="57"/>
      <c r="F580" s="57"/>
      <c r="G580" s="58"/>
      <c r="H580" s="58"/>
      <c r="I580" s="59"/>
      <c r="J580" s="59"/>
      <c r="K580" s="59"/>
      <c r="L580" s="5">
        <f t="shared" si="24"/>
        <v>0</v>
      </c>
    </row>
    <row r="581" spans="2:12" x14ac:dyDescent="0.3">
      <c r="B581" s="28" t="str">
        <f t="shared" ca="1" si="25"/>
        <v/>
      </c>
      <c r="C581" s="29" t="str">
        <f t="shared" ca="1" si="26"/>
        <v/>
      </c>
      <c r="D581" s="57"/>
      <c r="E581" s="57"/>
      <c r="F581" s="57"/>
      <c r="G581" s="58"/>
      <c r="H581" s="58"/>
      <c r="I581" s="59"/>
      <c r="J581" s="59"/>
      <c r="K581" s="59"/>
      <c r="L581" s="5">
        <f t="shared" si="24"/>
        <v>0</v>
      </c>
    </row>
    <row r="582" spans="2:12" x14ac:dyDescent="0.3">
      <c r="B582" s="28" t="str">
        <f t="shared" ca="1" si="25"/>
        <v/>
      </c>
      <c r="C582" s="29" t="str">
        <f t="shared" ca="1" si="26"/>
        <v/>
      </c>
      <c r="D582" s="57"/>
      <c r="E582" s="57"/>
      <c r="F582" s="57"/>
      <c r="G582" s="58"/>
      <c r="H582" s="58"/>
      <c r="I582" s="59"/>
      <c r="J582" s="59"/>
      <c r="K582" s="59"/>
      <c r="L582" s="5">
        <f t="shared" si="24"/>
        <v>0</v>
      </c>
    </row>
    <row r="583" spans="2:12" x14ac:dyDescent="0.3">
      <c r="B583" s="28" t="str">
        <f t="shared" ca="1" si="25"/>
        <v/>
      </c>
      <c r="C583" s="29" t="str">
        <f t="shared" ca="1" si="26"/>
        <v/>
      </c>
      <c r="D583" s="57"/>
      <c r="E583" s="57"/>
      <c r="F583" s="57"/>
      <c r="G583" s="58"/>
      <c r="H583" s="58"/>
      <c r="I583" s="59"/>
      <c r="J583" s="59"/>
      <c r="K583" s="59"/>
      <c r="L583" s="5">
        <f t="shared" si="24"/>
        <v>0</v>
      </c>
    </row>
    <row r="584" spans="2:12" x14ac:dyDescent="0.3">
      <c r="B584" s="28" t="str">
        <f t="shared" ca="1" si="25"/>
        <v/>
      </c>
      <c r="C584" s="29" t="str">
        <f t="shared" ca="1" si="26"/>
        <v/>
      </c>
      <c r="D584" s="57"/>
      <c r="E584" s="57"/>
      <c r="F584" s="57"/>
      <c r="G584" s="58"/>
      <c r="H584" s="58"/>
      <c r="I584" s="59"/>
      <c r="J584" s="59"/>
      <c r="K584" s="59"/>
      <c r="L584" s="5">
        <f t="shared" si="24"/>
        <v>0</v>
      </c>
    </row>
    <row r="585" spans="2:12" x14ac:dyDescent="0.3">
      <c r="B585" s="28" t="str">
        <f t="shared" ca="1" si="25"/>
        <v/>
      </c>
      <c r="C585" s="29" t="str">
        <f t="shared" ca="1" si="26"/>
        <v/>
      </c>
      <c r="D585" s="57"/>
      <c r="E585" s="57"/>
      <c r="F585" s="57"/>
      <c r="G585" s="58"/>
      <c r="H585" s="58"/>
      <c r="I585" s="59"/>
      <c r="J585" s="59"/>
      <c r="K585" s="59"/>
      <c r="L585" s="5">
        <f t="shared" si="24"/>
        <v>0</v>
      </c>
    </row>
    <row r="586" spans="2:12" x14ac:dyDescent="0.3">
      <c r="B586" s="28" t="str">
        <f t="shared" ca="1" si="25"/>
        <v/>
      </c>
      <c r="C586" s="29" t="str">
        <f t="shared" ca="1" si="26"/>
        <v/>
      </c>
      <c r="D586" s="57"/>
      <c r="E586" s="57"/>
      <c r="F586" s="57"/>
      <c r="G586" s="58"/>
      <c r="H586" s="58"/>
      <c r="I586" s="59"/>
      <c r="J586" s="59"/>
      <c r="K586" s="59"/>
      <c r="L586" s="5">
        <f t="shared" ref="L586:L649" si="27">J586-I586-K586</f>
        <v>0</v>
      </c>
    </row>
    <row r="587" spans="2:12" x14ac:dyDescent="0.3">
      <c r="B587" s="28" t="str">
        <f t="shared" ref="B587:B650" ca="1" si="28">IF(D587&lt;&gt;"",DATE(Jahr,_xlfn.SHEET()-2,D587),"")</f>
        <v/>
      </c>
      <c r="C587" s="29" t="str">
        <f t="shared" ref="C587:C650" ca="1" si="29">B587</f>
        <v/>
      </c>
      <c r="D587" s="57"/>
      <c r="E587" s="57"/>
      <c r="F587" s="57"/>
      <c r="G587" s="58"/>
      <c r="H587" s="58"/>
      <c r="I587" s="59"/>
      <c r="J587" s="59"/>
      <c r="K587" s="59"/>
      <c r="L587" s="5">
        <f t="shared" si="27"/>
        <v>0</v>
      </c>
    </row>
    <row r="588" spans="2:12" x14ac:dyDescent="0.3">
      <c r="B588" s="28" t="str">
        <f t="shared" ca="1" si="28"/>
        <v/>
      </c>
      <c r="C588" s="29" t="str">
        <f t="shared" ca="1" si="29"/>
        <v/>
      </c>
      <c r="D588" s="57"/>
      <c r="E588" s="57"/>
      <c r="F588" s="57"/>
      <c r="G588" s="58"/>
      <c r="H588" s="58"/>
      <c r="I588" s="59"/>
      <c r="J588" s="59"/>
      <c r="K588" s="59"/>
      <c r="L588" s="5">
        <f t="shared" si="27"/>
        <v>0</v>
      </c>
    </row>
    <row r="589" spans="2:12" x14ac:dyDescent="0.3">
      <c r="B589" s="28" t="str">
        <f t="shared" ca="1" si="28"/>
        <v/>
      </c>
      <c r="C589" s="29" t="str">
        <f t="shared" ca="1" si="29"/>
        <v/>
      </c>
      <c r="D589" s="57"/>
      <c r="E589" s="57"/>
      <c r="F589" s="57"/>
      <c r="G589" s="58"/>
      <c r="H589" s="58"/>
      <c r="I589" s="59"/>
      <c r="J589" s="59"/>
      <c r="K589" s="59"/>
      <c r="L589" s="5">
        <f t="shared" si="27"/>
        <v>0</v>
      </c>
    </row>
    <row r="590" spans="2:12" x14ac:dyDescent="0.3">
      <c r="B590" s="28" t="str">
        <f t="shared" ca="1" si="28"/>
        <v/>
      </c>
      <c r="C590" s="29" t="str">
        <f t="shared" ca="1" si="29"/>
        <v/>
      </c>
      <c r="D590" s="57"/>
      <c r="E590" s="57"/>
      <c r="F590" s="57"/>
      <c r="G590" s="58"/>
      <c r="H590" s="58"/>
      <c r="I590" s="59"/>
      <c r="J590" s="59"/>
      <c r="K590" s="59"/>
      <c r="L590" s="5">
        <f t="shared" si="27"/>
        <v>0</v>
      </c>
    </row>
    <row r="591" spans="2:12" x14ac:dyDescent="0.3">
      <c r="B591" s="28" t="str">
        <f t="shared" ca="1" si="28"/>
        <v/>
      </c>
      <c r="C591" s="29" t="str">
        <f t="shared" ca="1" si="29"/>
        <v/>
      </c>
      <c r="D591" s="57"/>
      <c r="E591" s="57"/>
      <c r="F591" s="57"/>
      <c r="G591" s="58"/>
      <c r="H591" s="58"/>
      <c r="I591" s="59"/>
      <c r="J591" s="59"/>
      <c r="K591" s="59"/>
      <c r="L591" s="5">
        <f t="shared" si="27"/>
        <v>0</v>
      </c>
    </row>
    <row r="592" spans="2:12" x14ac:dyDescent="0.3">
      <c r="B592" s="28" t="str">
        <f t="shared" ca="1" si="28"/>
        <v/>
      </c>
      <c r="C592" s="29" t="str">
        <f t="shared" ca="1" si="29"/>
        <v/>
      </c>
      <c r="D592" s="57"/>
      <c r="E592" s="57"/>
      <c r="F592" s="57"/>
      <c r="G592" s="58"/>
      <c r="H592" s="58"/>
      <c r="I592" s="59"/>
      <c r="J592" s="59"/>
      <c r="K592" s="59"/>
      <c r="L592" s="5">
        <f t="shared" si="27"/>
        <v>0</v>
      </c>
    </row>
    <row r="593" spans="2:12" x14ac:dyDescent="0.3">
      <c r="B593" s="28" t="str">
        <f t="shared" ca="1" si="28"/>
        <v/>
      </c>
      <c r="C593" s="29" t="str">
        <f t="shared" ca="1" si="29"/>
        <v/>
      </c>
      <c r="D593" s="57"/>
      <c r="E593" s="57"/>
      <c r="F593" s="57"/>
      <c r="G593" s="58"/>
      <c r="H593" s="58"/>
      <c r="I593" s="59"/>
      <c r="J593" s="59"/>
      <c r="K593" s="59"/>
      <c r="L593" s="5">
        <f t="shared" si="27"/>
        <v>0</v>
      </c>
    </row>
    <row r="594" spans="2:12" x14ac:dyDescent="0.3">
      <c r="B594" s="28" t="str">
        <f t="shared" ca="1" si="28"/>
        <v/>
      </c>
      <c r="C594" s="29" t="str">
        <f t="shared" ca="1" si="29"/>
        <v/>
      </c>
      <c r="D594" s="57"/>
      <c r="E594" s="57"/>
      <c r="F594" s="57"/>
      <c r="G594" s="58"/>
      <c r="H594" s="58"/>
      <c r="I594" s="59"/>
      <c r="J594" s="59"/>
      <c r="K594" s="59"/>
      <c r="L594" s="5">
        <f t="shared" si="27"/>
        <v>0</v>
      </c>
    </row>
    <row r="595" spans="2:12" x14ac:dyDescent="0.3">
      <c r="B595" s="28" t="str">
        <f t="shared" ca="1" si="28"/>
        <v/>
      </c>
      <c r="C595" s="29" t="str">
        <f t="shared" ca="1" si="29"/>
        <v/>
      </c>
      <c r="D595" s="57"/>
      <c r="E595" s="57"/>
      <c r="F595" s="57"/>
      <c r="G595" s="58"/>
      <c r="H595" s="58"/>
      <c r="I595" s="59"/>
      <c r="J595" s="59"/>
      <c r="K595" s="59"/>
      <c r="L595" s="5">
        <f t="shared" si="27"/>
        <v>0</v>
      </c>
    </row>
    <row r="596" spans="2:12" x14ac:dyDescent="0.3">
      <c r="B596" s="28" t="str">
        <f t="shared" ca="1" si="28"/>
        <v/>
      </c>
      <c r="C596" s="29" t="str">
        <f t="shared" ca="1" si="29"/>
        <v/>
      </c>
      <c r="D596" s="57"/>
      <c r="E596" s="57"/>
      <c r="F596" s="57"/>
      <c r="G596" s="58"/>
      <c r="H596" s="58"/>
      <c r="I596" s="59"/>
      <c r="J596" s="59"/>
      <c r="K596" s="59"/>
      <c r="L596" s="5">
        <f t="shared" si="27"/>
        <v>0</v>
      </c>
    </row>
    <row r="597" spans="2:12" x14ac:dyDescent="0.3">
      <c r="B597" s="28" t="str">
        <f t="shared" ca="1" si="28"/>
        <v/>
      </c>
      <c r="C597" s="29" t="str">
        <f t="shared" ca="1" si="29"/>
        <v/>
      </c>
      <c r="D597" s="57"/>
      <c r="E597" s="57"/>
      <c r="F597" s="57"/>
      <c r="G597" s="58"/>
      <c r="H597" s="58"/>
      <c r="I597" s="59"/>
      <c r="J597" s="59"/>
      <c r="K597" s="59"/>
      <c r="L597" s="5">
        <f t="shared" si="27"/>
        <v>0</v>
      </c>
    </row>
    <row r="598" spans="2:12" x14ac:dyDescent="0.3">
      <c r="B598" s="28" t="str">
        <f t="shared" ca="1" si="28"/>
        <v/>
      </c>
      <c r="C598" s="29" t="str">
        <f t="shared" ca="1" si="29"/>
        <v/>
      </c>
      <c r="D598" s="57"/>
      <c r="E598" s="57"/>
      <c r="F598" s="57"/>
      <c r="G598" s="58"/>
      <c r="H598" s="58"/>
      <c r="I598" s="59"/>
      <c r="J598" s="59"/>
      <c r="K598" s="59"/>
      <c r="L598" s="5">
        <f t="shared" si="27"/>
        <v>0</v>
      </c>
    </row>
    <row r="599" spans="2:12" x14ac:dyDescent="0.3">
      <c r="B599" s="28" t="str">
        <f t="shared" ca="1" si="28"/>
        <v/>
      </c>
      <c r="C599" s="29" t="str">
        <f t="shared" ca="1" si="29"/>
        <v/>
      </c>
      <c r="D599" s="57"/>
      <c r="E599" s="57"/>
      <c r="F599" s="57"/>
      <c r="G599" s="58"/>
      <c r="H599" s="58"/>
      <c r="I599" s="59"/>
      <c r="J599" s="59"/>
      <c r="K599" s="59"/>
      <c r="L599" s="5">
        <f t="shared" si="27"/>
        <v>0</v>
      </c>
    </row>
    <row r="600" spans="2:12" x14ac:dyDescent="0.3">
      <c r="B600" s="28" t="str">
        <f t="shared" ca="1" si="28"/>
        <v/>
      </c>
      <c r="C600" s="29" t="str">
        <f t="shared" ca="1" si="29"/>
        <v/>
      </c>
      <c r="D600" s="57"/>
      <c r="E600" s="57"/>
      <c r="F600" s="57"/>
      <c r="G600" s="58"/>
      <c r="H600" s="58"/>
      <c r="I600" s="59"/>
      <c r="J600" s="59"/>
      <c r="K600" s="59"/>
      <c r="L600" s="5">
        <f t="shared" si="27"/>
        <v>0</v>
      </c>
    </row>
    <row r="601" spans="2:12" x14ac:dyDescent="0.3">
      <c r="B601" s="28" t="str">
        <f t="shared" ca="1" si="28"/>
        <v/>
      </c>
      <c r="C601" s="29" t="str">
        <f t="shared" ca="1" si="29"/>
        <v/>
      </c>
      <c r="D601" s="57"/>
      <c r="E601" s="57"/>
      <c r="F601" s="57"/>
      <c r="G601" s="58"/>
      <c r="H601" s="58"/>
      <c r="I601" s="59"/>
      <c r="J601" s="59"/>
      <c r="K601" s="59"/>
      <c r="L601" s="5">
        <f t="shared" si="27"/>
        <v>0</v>
      </c>
    </row>
    <row r="602" spans="2:12" x14ac:dyDescent="0.3">
      <c r="B602" s="28" t="str">
        <f t="shared" ca="1" si="28"/>
        <v/>
      </c>
      <c r="C602" s="29" t="str">
        <f t="shared" ca="1" si="29"/>
        <v/>
      </c>
      <c r="D602" s="57"/>
      <c r="E602" s="57"/>
      <c r="F602" s="57"/>
      <c r="G602" s="58"/>
      <c r="H602" s="58"/>
      <c r="I602" s="59"/>
      <c r="J602" s="59"/>
      <c r="K602" s="59"/>
      <c r="L602" s="5">
        <f t="shared" si="27"/>
        <v>0</v>
      </c>
    </row>
    <row r="603" spans="2:12" x14ac:dyDescent="0.3">
      <c r="B603" s="28" t="str">
        <f t="shared" ca="1" si="28"/>
        <v/>
      </c>
      <c r="C603" s="29" t="str">
        <f t="shared" ca="1" si="29"/>
        <v/>
      </c>
      <c r="D603" s="57"/>
      <c r="E603" s="57"/>
      <c r="F603" s="57"/>
      <c r="G603" s="58"/>
      <c r="H603" s="58"/>
      <c r="I603" s="59"/>
      <c r="J603" s="59"/>
      <c r="K603" s="59"/>
      <c r="L603" s="5">
        <f t="shared" si="27"/>
        <v>0</v>
      </c>
    </row>
    <row r="604" spans="2:12" x14ac:dyDescent="0.3">
      <c r="B604" s="28" t="str">
        <f t="shared" ca="1" si="28"/>
        <v/>
      </c>
      <c r="C604" s="29" t="str">
        <f t="shared" ca="1" si="29"/>
        <v/>
      </c>
      <c r="D604" s="57"/>
      <c r="E604" s="57"/>
      <c r="F604" s="57"/>
      <c r="G604" s="58"/>
      <c r="H604" s="58"/>
      <c r="I604" s="59"/>
      <c r="J604" s="59"/>
      <c r="K604" s="59"/>
      <c r="L604" s="5">
        <f t="shared" si="27"/>
        <v>0</v>
      </c>
    </row>
    <row r="605" spans="2:12" x14ac:dyDescent="0.3">
      <c r="B605" s="28" t="str">
        <f t="shared" ca="1" si="28"/>
        <v/>
      </c>
      <c r="C605" s="29" t="str">
        <f t="shared" ca="1" si="29"/>
        <v/>
      </c>
      <c r="D605" s="57"/>
      <c r="E605" s="57"/>
      <c r="F605" s="57"/>
      <c r="G605" s="58"/>
      <c r="H605" s="58"/>
      <c r="I605" s="59"/>
      <c r="J605" s="59"/>
      <c r="K605" s="59"/>
      <c r="L605" s="5">
        <f t="shared" si="27"/>
        <v>0</v>
      </c>
    </row>
    <row r="606" spans="2:12" x14ac:dyDescent="0.3">
      <c r="B606" s="28" t="str">
        <f t="shared" ca="1" si="28"/>
        <v/>
      </c>
      <c r="C606" s="29" t="str">
        <f t="shared" ca="1" si="29"/>
        <v/>
      </c>
      <c r="D606" s="57"/>
      <c r="E606" s="57"/>
      <c r="F606" s="57"/>
      <c r="G606" s="58"/>
      <c r="H606" s="58"/>
      <c r="I606" s="59"/>
      <c r="J606" s="59"/>
      <c r="K606" s="59"/>
      <c r="L606" s="5">
        <f t="shared" si="27"/>
        <v>0</v>
      </c>
    </row>
    <row r="607" spans="2:12" x14ac:dyDescent="0.3">
      <c r="B607" s="28" t="str">
        <f t="shared" ca="1" si="28"/>
        <v/>
      </c>
      <c r="C607" s="29" t="str">
        <f t="shared" ca="1" si="29"/>
        <v/>
      </c>
      <c r="D607" s="57"/>
      <c r="E607" s="57"/>
      <c r="F607" s="57"/>
      <c r="G607" s="58"/>
      <c r="H607" s="58"/>
      <c r="I607" s="59"/>
      <c r="J607" s="59"/>
      <c r="K607" s="59"/>
      <c r="L607" s="5">
        <f t="shared" si="27"/>
        <v>0</v>
      </c>
    </row>
    <row r="608" spans="2:12" x14ac:dyDescent="0.3">
      <c r="B608" s="28" t="str">
        <f t="shared" ca="1" si="28"/>
        <v/>
      </c>
      <c r="C608" s="29" t="str">
        <f t="shared" ca="1" si="29"/>
        <v/>
      </c>
      <c r="D608" s="57"/>
      <c r="E608" s="57"/>
      <c r="F608" s="57"/>
      <c r="G608" s="58"/>
      <c r="H608" s="58"/>
      <c r="I608" s="59"/>
      <c r="J608" s="59"/>
      <c r="K608" s="59"/>
      <c r="L608" s="5">
        <f t="shared" si="27"/>
        <v>0</v>
      </c>
    </row>
    <row r="609" spans="2:12" x14ac:dyDescent="0.3">
      <c r="B609" s="28" t="str">
        <f t="shared" ca="1" si="28"/>
        <v/>
      </c>
      <c r="C609" s="29" t="str">
        <f t="shared" ca="1" si="29"/>
        <v/>
      </c>
      <c r="D609" s="57"/>
      <c r="E609" s="57"/>
      <c r="F609" s="57"/>
      <c r="G609" s="58"/>
      <c r="H609" s="58"/>
      <c r="I609" s="59"/>
      <c r="J609" s="59"/>
      <c r="K609" s="59"/>
      <c r="L609" s="5">
        <f t="shared" si="27"/>
        <v>0</v>
      </c>
    </row>
    <row r="610" spans="2:12" x14ac:dyDescent="0.3">
      <c r="B610" s="28" t="str">
        <f t="shared" ca="1" si="28"/>
        <v/>
      </c>
      <c r="C610" s="29" t="str">
        <f t="shared" ca="1" si="29"/>
        <v/>
      </c>
      <c r="D610" s="57"/>
      <c r="E610" s="57"/>
      <c r="F610" s="57"/>
      <c r="G610" s="58"/>
      <c r="H610" s="58"/>
      <c r="I610" s="59"/>
      <c r="J610" s="59"/>
      <c r="K610" s="59"/>
      <c r="L610" s="5">
        <f t="shared" si="27"/>
        <v>0</v>
      </c>
    </row>
    <row r="611" spans="2:12" x14ac:dyDescent="0.3">
      <c r="B611" s="28" t="str">
        <f t="shared" ca="1" si="28"/>
        <v/>
      </c>
      <c r="C611" s="29" t="str">
        <f t="shared" ca="1" si="29"/>
        <v/>
      </c>
      <c r="D611" s="57"/>
      <c r="E611" s="57"/>
      <c r="F611" s="57"/>
      <c r="G611" s="58"/>
      <c r="H611" s="58"/>
      <c r="I611" s="59"/>
      <c r="J611" s="59"/>
      <c r="K611" s="59"/>
      <c r="L611" s="5">
        <f t="shared" si="27"/>
        <v>0</v>
      </c>
    </row>
    <row r="612" spans="2:12" x14ac:dyDescent="0.3">
      <c r="B612" s="28" t="str">
        <f t="shared" ca="1" si="28"/>
        <v/>
      </c>
      <c r="C612" s="29" t="str">
        <f t="shared" ca="1" si="29"/>
        <v/>
      </c>
      <c r="D612" s="57"/>
      <c r="E612" s="57"/>
      <c r="F612" s="57"/>
      <c r="G612" s="58"/>
      <c r="H612" s="58"/>
      <c r="I612" s="59"/>
      <c r="J612" s="59"/>
      <c r="K612" s="59"/>
      <c r="L612" s="5">
        <f t="shared" si="27"/>
        <v>0</v>
      </c>
    </row>
    <row r="613" spans="2:12" x14ac:dyDescent="0.3">
      <c r="B613" s="28" t="str">
        <f t="shared" ca="1" si="28"/>
        <v/>
      </c>
      <c r="C613" s="29" t="str">
        <f t="shared" ca="1" si="29"/>
        <v/>
      </c>
      <c r="D613" s="57"/>
      <c r="E613" s="57"/>
      <c r="F613" s="57"/>
      <c r="G613" s="58"/>
      <c r="H613" s="58"/>
      <c r="I613" s="59"/>
      <c r="J613" s="59"/>
      <c r="K613" s="59"/>
      <c r="L613" s="5">
        <f t="shared" si="27"/>
        <v>0</v>
      </c>
    </row>
    <row r="614" spans="2:12" x14ac:dyDescent="0.3">
      <c r="B614" s="28" t="str">
        <f t="shared" ca="1" si="28"/>
        <v/>
      </c>
      <c r="C614" s="29" t="str">
        <f t="shared" ca="1" si="29"/>
        <v/>
      </c>
      <c r="D614" s="57"/>
      <c r="E614" s="57"/>
      <c r="F614" s="57"/>
      <c r="G614" s="58"/>
      <c r="H614" s="58"/>
      <c r="I614" s="59"/>
      <c r="J614" s="59"/>
      <c r="K614" s="59"/>
      <c r="L614" s="5">
        <f t="shared" si="27"/>
        <v>0</v>
      </c>
    </row>
    <row r="615" spans="2:12" x14ac:dyDescent="0.3">
      <c r="B615" s="28" t="str">
        <f t="shared" ca="1" si="28"/>
        <v/>
      </c>
      <c r="C615" s="29" t="str">
        <f t="shared" ca="1" si="29"/>
        <v/>
      </c>
      <c r="D615" s="57"/>
      <c r="E615" s="57"/>
      <c r="F615" s="57"/>
      <c r="G615" s="58"/>
      <c r="H615" s="58"/>
      <c r="I615" s="59"/>
      <c r="J615" s="59"/>
      <c r="K615" s="59"/>
      <c r="L615" s="5">
        <f t="shared" si="27"/>
        <v>0</v>
      </c>
    </row>
    <row r="616" spans="2:12" x14ac:dyDescent="0.3">
      <c r="B616" s="28" t="str">
        <f t="shared" ca="1" si="28"/>
        <v/>
      </c>
      <c r="C616" s="29" t="str">
        <f t="shared" ca="1" si="29"/>
        <v/>
      </c>
      <c r="D616" s="57"/>
      <c r="E616" s="57"/>
      <c r="F616" s="57"/>
      <c r="G616" s="58"/>
      <c r="H616" s="58"/>
      <c r="I616" s="59"/>
      <c r="J616" s="59"/>
      <c r="K616" s="59"/>
      <c r="L616" s="5">
        <f t="shared" si="27"/>
        <v>0</v>
      </c>
    </row>
    <row r="617" spans="2:12" x14ac:dyDescent="0.3">
      <c r="B617" s="28" t="str">
        <f t="shared" ca="1" si="28"/>
        <v/>
      </c>
      <c r="C617" s="29" t="str">
        <f t="shared" ca="1" si="29"/>
        <v/>
      </c>
      <c r="D617" s="57"/>
      <c r="E617" s="57"/>
      <c r="F617" s="57"/>
      <c r="G617" s="58"/>
      <c r="H617" s="58"/>
      <c r="I617" s="59"/>
      <c r="J617" s="59"/>
      <c r="K617" s="59"/>
      <c r="L617" s="5">
        <f t="shared" si="27"/>
        <v>0</v>
      </c>
    </row>
    <row r="618" spans="2:12" x14ac:dyDescent="0.3">
      <c r="B618" s="28" t="str">
        <f t="shared" ca="1" si="28"/>
        <v/>
      </c>
      <c r="C618" s="29" t="str">
        <f t="shared" ca="1" si="29"/>
        <v/>
      </c>
      <c r="D618" s="57"/>
      <c r="E618" s="57"/>
      <c r="F618" s="57"/>
      <c r="G618" s="58"/>
      <c r="H618" s="58"/>
      <c r="I618" s="59"/>
      <c r="J618" s="59"/>
      <c r="K618" s="59"/>
      <c r="L618" s="5">
        <f t="shared" si="27"/>
        <v>0</v>
      </c>
    </row>
    <row r="619" spans="2:12" x14ac:dyDescent="0.3">
      <c r="B619" s="28" t="str">
        <f t="shared" ca="1" si="28"/>
        <v/>
      </c>
      <c r="C619" s="29" t="str">
        <f t="shared" ca="1" si="29"/>
        <v/>
      </c>
      <c r="D619" s="57"/>
      <c r="E619" s="57"/>
      <c r="F619" s="57"/>
      <c r="G619" s="58"/>
      <c r="H619" s="58"/>
      <c r="I619" s="59"/>
      <c r="J619" s="59"/>
      <c r="K619" s="59"/>
      <c r="L619" s="5">
        <f t="shared" si="27"/>
        <v>0</v>
      </c>
    </row>
    <row r="620" spans="2:12" x14ac:dyDescent="0.3">
      <c r="B620" s="28" t="str">
        <f t="shared" ca="1" si="28"/>
        <v/>
      </c>
      <c r="C620" s="29" t="str">
        <f t="shared" ca="1" si="29"/>
        <v/>
      </c>
      <c r="D620" s="57"/>
      <c r="E620" s="57"/>
      <c r="F620" s="57"/>
      <c r="G620" s="58"/>
      <c r="H620" s="58"/>
      <c r="I620" s="59"/>
      <c r="J620" s="59"/>
      <c r="K620" s="59"/>
      <c r="L620" s="5">
        <f t="shared" si="27"/>
        <v>0</v>
      </c>
    </row>
    <row r="621" spans="2:12" x14ac:dyDescent="0.3">
      <c r="B621" s="28" t="str">
        <f t="shared" ca="1" si="28"/>
        <v/>
      </c>
      <c r="C621" s="29" t="str">
        <f t="shared" ca="1" si="29"/>
        <v/>
      </c>
      <c r="D621" s="57"/>
      <c r="E621" s="57"/>
      <c r="F621" s="57"/>
      <c r="G621" s="58"/>
      <c r="H621" s="58"/>
      <c r="I621" s="59"/>
      <c r="J621" s="59"/>
      <c r="K621" s="59"/>
      <c r="L621" s="5">
        <f t="shared" si="27"/>
        <v>0</v>
      </c>
    </row>
    <row r="622" spans="2:12" x14ac:dyDescent="0.3">
      <c r="B622" s="28" t="str">
        <f t="shared" ca="1" si="28"/>
        <v/>
      </c>
      <c r="C622" s="29" t="str">
        <f t="shared" ca="1" si="29"/>
        <v/>
      </c>
      <c r="D622" s="57"/>
      <c r="E622" s="57"/>
      <c r="F622" s="57"/>
      <c r="G622" s="58"/>
      <c r="H622" s="58"/>
      <c r="I622" s="59"/>
      <c r="J622" s="59"/>
      <c r="K622" s="59"/>
      <c r="L622" s="5">
        <f t="shared" si="27"/>
        <v>0</v>
      </c>
    </row>
    <row r="623" spans="2:12" x14ac:dyDescent="0.3">
      <c r="B623" s="28" t="str">
        <f t="shared" ca="1" si="28"/>
        <v/>
      </c>
      <c r="C623" s="29" t="str">
        <f t="shared" ca="1" si="29"/>
        <v/>
      </c>
      <c r="D623" s="57"/>
      <c r="E623" s="57"/>
      <c r="F623" s="57"/>
      <c r="G623" s="58"/>
      <c r="H623" s="58"/>
      <c r="I623" s="59"/>
      <c r="J623" s="59"/>
      <c r="K623" s="59"/>
      <c r="L623" s="5">
        <f t="shared" si="27"/>
        <v>0</v>
      </c>
    </row>
    <row r="624" spans="2:12" x14ac:dyDescent="0.3">
      <c r="B624" s="28" t="str">
        <f t="shared" ca="1" si="28"/>
        <v/>
      </c>
      <c r="C624" s="29" t="str">
        <f t="shared" ca="1" si="29"/>
        <v/>
      </c>
      <c r="D624" s="57"/>
      <c r="E624" s="57"/>
      <c r="F624" s="57"/>
      <c r="G624" s="58"/>
      <c r="H624" s="58"/>
      <c r="I624" s="59"/>
      <c r="J624" s="59"/>
      <c r="K624" s="59"/>
      <c r="L624" s="5">
        <f t="shared" si="27"/>
        <v>0</v>
      </c>
    </row>
    <row r="625" spans="2:12" x14ac:dyDescent="0.3">
      <c r="B625" s="28" t="str">
        <f t="shared" ca="1" si="28"/>
        <v/>
      </c>
      <c r="C625" s="29" t="str">
        <f t="shared" ca="1" si="29"/>
        <v/>
      </c>
      <c r="D625" s="57"/>
      <c r="E625" s="57"/>
      <c r="F625" s="57"/>
      <c r="G625" s="58"/>
      <c r="H625" s="58"/>
      <c r="I625" s="59"/>
      <c r="J625" s="59"/>
      <c r="K625" s="59"/>
      <c r="L625" s="5">
        <f t="shared" si="27"/>
        <v>0</v>
      </c>
    </row>
    <row r="626" spans="2:12" x14ac:dyDescent="0.3">
      <c r="B626" s="28" t="str">
        <f t="shared" ca="1" si="28"/>
        <v/>
      </c>
      <c r="C626" s="29" t="str">
        <f t="shared" ca="1" si="29"/>
        <v/>
      </c>
      <c r="D626" s="57"/>
      <c r="E626" s="57"/>
      <c r="F626" s="57"/>
      <c r="G626" s="58"/>
      <c r="H626" s="58"/>
      <c r="I626" s="59"/>
      <c r="J626" s="59"/>
      <c r="K626" s="59"/>
      <c r="L626" s="5">
        <f t="shared" si="27"/>
        <v>0</v>
      </c>
    </row>
    <row r="627" spans="2:12" x14ac:dyDescent="0.3">
      <c r="B627" s="28" t="str">
        <f t="shared" ca="1" si="28"/>
        <v/>
      </c>
      <c r="C627" s="29" t="str">
        <f t="shared" ca="1" si="29"/>
        <v/>
      </c>
      <c r="D627" s="57"/>
      <c r="E627" s="57"/>
      <c r="F627" s="57"/>
      <c r="G627" s="58"/>
      <c r="H627" s="58"/>
      <c r="I627" s="59"/>
      <c r="J627" s="59"/>
      <c r="K627" s="59"/>
      <c r="L627" s="5">
        <f t="shared" si="27"/>
        <v>0</v>
      </c>
    </row>
    <row r="628" spans="2:12" x14ac:dyDescent="0.3">
      <c r="B628" s="28" t="str">
        <f t="shared" ca="1" si="28"/>
        <v/>
      </c>
      <c r="C628" s="29" t="str">
        <f t="shared" ca="1" si="29"/>
        <v/>
      </c>
      <c r="D628" s="57"/>
      <c r="E628" s="57"/>
      <c r="F628" s="57"/>
      <c r="G628" s="58"/>
      <c r="H628" s="58"/>
      <c r="I628" s="59"/>
      <c r="J628" s="59"/>
      <c r="K628" s="59"/>
      <c r="L628" s="5">
        <f t="shared" si="27"/>
        <v>0</v>
      </c>
    </row>
    <row r="629" spans="2:12" x14ac:dyDescent="0.3">
      <c r="B629" s="28" t="str">
        <f t="shared" ca="1" si="28"/>
        <v/>
      </c>
      <c r="C629" s="29" t="str">
        <f t="shared" ca="1" si="29"/>
        <v/>
      </c>
      <c r="D629" s="57"/>
      <c r="E629" s="57"/>
      <c r="F629" s="57"/>
      <c r="G629" s="58"/>
      <c r="H629" s="58"/>
      <c r="I629" s="59"/>
      <c r="J629" s="59"/>
      <c r="K629" s="59"/>
      <c r="L629" s="5">
        <f t="shared" si="27"/>
        <v>0</v>
      </c>
    </row>
    <row r="630" spans="2:12" x14ac:dyDescent="0.3">
      <c r="B630" s="28" t="str">
        <f t="shared" ca="1" si="28"/>
        <v/>
      </c>
      <c r="C630" s="29" t="str">
        <f t="shared" ca="1" si="29"/>
        <v/>
      </c>
      <c r="D630" s="57"/>
      <c r="E630" s="57"/>
      <c r="F630" s="57"/>
      <c r="G630" s="58"/>
      <c r="H630" s="58"/>
      <c r="I630" s="59"/>
      <c r="J630" s="59"/>
      <c r="K630" s="59"/>
      <c r="L630" s="5">
        <f t="shared" si="27"/>
        <v>0</v>
      </c>
    </row>
    <row r="631" spans="2:12" x14ac:dyDescent="0.3">
      <c r="B631" s="28" t="str">
        <f t="shared" ca="1" si="28"/>
        <v/>
      </c>
      <c r="C631" s="29" t="str">
        <f t="shared" ca="1" si="29"/>
        <v/>
      </c>
      <c r="D631" s="57"/>
      <c r="E631" s="57"/>
      <c r="F631" s="57"/>
      <c r="G631" s="58"/>
      <c r="H631" s="58"/>
      <c r="I631" s="59"/>
      <c r="J631" s="59"/>
      <c r="K631" s="59"/>
      <c r="L631" s="5">
        <f t="shared" si="27"/>
        <v>0</v>
      </c>
    </row>
    <row r="632" spans="2:12" x14ac:dyDescent="0.3">
      <c r="B632" s="28" t="str">
        <f t="shared" ca="1" si="28"/>
        <v/>
      </c>
      <c r="C632" s="29" t="str">
        <f t="shared" ca="1" si="29"/>
        <v/>
      </c>
      <c r="D632" s="57"/>
      <c r="E632" s="57"/>
      <c r="F632" s="57"/>
      <c r="G632" s="58"/>
      <c r="H632" s="58"/>
      <c r="I632" s="59"/>
      <c r="J632" s="59"/>
      <c r="K632" s="59"/>
      <c r="L632" s="5">
        <f t="shared" si="27"/>
        <v>0</v>
      </c>
    </row>
    <row r="633" spans="2:12" x14ac:dyDescent="0.3">
      <c r="B633" s="28" t="str">
        <f t="shared" ca="1" si="28"/>
        <v/>
      </c>
      <c r="C633" s="29" t="str">
        <f t="shared" ca="1" si="29"/>
        <v/>
      </c>
      <c r="D633" s="57"/>
      <c r="E633" s="57"/>
      <c r="F633" s="57"/>
      <c r="G633" s="58"/>
      <c r="H633" s="58"/>
      <c r="I633" s="59"/>
      <c r="J633" s="59"/>
      <c r="K633" s="59"/>
      <c r="L633" s="5">
        <f t="shared" si="27"/>
        <v>0</v>
      </c>
    </row>
    <row r="634" spans="2:12" x14ac:dyDescent="0.3">
      <c r="B634" s="28" t="str">
        <f t="shared" ca="1" si="28"/>
        <v/>
      </c>
      <c r="C634" s="29" t="str">
        <f t="shared" ca="1" si="29"/>
        <v/>
      </c>
      <c r="D634" s="57"/>
      <c r="E634" s="57"/>
      <c r="F634" s="57"/>
      <c r="G634" s="58"/>
      <c r="H634" s="58"/>
      <c r="I634" s="59"/>
      <c r="J634" s="59"/>
      <c r="K634" s="59"/>
      <c r="L634" s="5">
        <f t="shared" si="27"/>
        <v>0</v>
      </c>
    </row>
    <row r="635" spans="2:12" x14ac:dyDescent="0.3">
      <c r="B635" s="28" t="str">
        <f t="shared" ca="1" si="28"/>
        <v/>
      </c>
      <c r="C635" s="29" t="str">
        <f t="shared" ca="1" si="29"/>
        <v/>
      </c>
      <c r="D635" s="57"/>
      <c r="E635" s="57"/>
      <c r="F635" s="57"/>
      <c r="G635" s="58"/>
      <c r="H635" s="58"/>
      <c r="I635" s="59"/>
      <c r="J635" s="59"/>
      <c r="K635" s="59"/>
      <c r="L635" s="5">
        <f t="shared" si="27"/>
        <v>0</v>
      </c>
    </row>
    <row r="636" spans="2:12" x14ac:dyDescent="0.3">
      <c r="B636" s="28" t="str">
        <f t="shared" ca="1" si="28"/>
        <v/>
      </c>
      <c r="C636" s="29" t="str">
        <f t="shared" ca="1" si="29"/>
        <v/>
      </c>
      <c r="D636" s="57"/>
      <c r="E636" s="57"/>
      <c r="F636" s="57"/>
      <c r="G636" s="58"/>
      <c r="H636" s="58"/>
      <c r="I636" s="59"/>
      <c r="J636" s="59"/>
      <c r="K636" s="59"/>
      <c r="L636" s="5">
        <f t="shared" si="27"/>
        <v>0</v>
      </c>
    </row>
    <row r="637" spans="2:12" x14ac:dyDescent="0.3">
      <c r="B637" s="28" t="str">
        <f t="shared" ca="1" si="28"/>
        <v/>
      </c>
      <c r="C637" s="29" t="str">
        <f t="shared" ca="1" si="29"/>
        <v/>
      </c>
      <c r="D637" s="57"/>
      <c r="E637" s="57"/>
      <c r="F637" s="57"/>
      <c r="G637" s="58"/>
      <c r="H637" s="58"/>
      <c r="I637" s="59"/>
      <c r="J637" s="59"/>
      <c r="K637" s="59"/>
      <c r="L637" s="5">
        <f t="shared" si="27"/>
        <v>0</v>
      </c>
    </row>
    <row r="638" spans="2:12" x14ac:dyDescent="0.3">
      <c r="B638" s="28" t="str">
        <f t="shared" ca="1" si="28"/>
        <v/>
      </c>
      <c r="C638" s="29" t="str">
        <f t="shared" ca="1" si="29"/>
        <v/>
      </c>
      <c r="D638" s="57"/>
      <c r="E638" s="57"/>
      <c r="F638" s="57"/>
      <c r="G638" s="58"/>
      <c r="H638" s="58"/>
      <c r="I638" s="59"/>
      <c r="J638" s="59"/>
      <c r="K638" s="59"/>
      <c r="L638" s="5">
        <f t="shared" si="27"/>
        <v>0</v>
      </c>
    </row>
    <row r="639" spans="2:12" x14ac:dyDescent="0.3">
      <c r="B639" s="28" t="str">
        <f t="shared" ca="1" si="28"/>
        <v/>
      </c>
      <c r="C639" s="29" t="str">
        <f t="shared" ca="1" si="29"/>
        <v/>
      </c>
      <c r="D639" s="57"/>
      <c r="E639" s="57"/>
      <c r="F639" s="57"/>
      <c r="G639" s="58"/>
      <c r="H639" s="58"/>
      <c r="I639" s="59"/>
      <c r="J639" s="59"/>
      <c r="K639" s="59"/>
      <c r="L639" s="5">
        <f t="shared" si="27"/>
        <v>0</v>
      </c>
    </row>
    <row r="640" spans="2:12" x14ac:dyDescent="0.3">
      <c r="B640" s="28" t="str">
        <f t="shared" ca="1" si="28"/>
        <v/>
      </c>
      <c r="C640" s="29" t="str">
        <f t="shared" ca="1" si="29"/>
        <v/>
      </c>
      <c r="D640" s="57"/>
      <c r="E640" s="57"/>
      <c r="F640" s="57"/>
      <c r="G640" s="58"/>
      <c r="H640" s="58"/>
      <c r="I640" s="59"/>
      <c r="J640" s="59"/>
      <c r="K640" s="59"/>
      <c r="L640" s="5">
        <f t="shared" si="27"/>
        <v>0</v>
      </c>
    </row>
    <row r="641" spans="2:12" x14ac:dyDescent="0.3">
      <c r="B641" s="28" t="str">
        <f t="shared" ca="1" si="28"/>
        <v/>
      </c>
      <c r="C641" s="29" t="str">
        <f t="shared" ca="1" si="29"/>
        <v/>
      </c>
      <c r="D641" s="57"/>
      <c r="E641" s="57"/>
      <c r="F641" s="57"/>
      <c r="G641" s="58"/>
      <c r="H641" s="58"/>
      <c r="I641" s="59"/>
      <c r="J641" s="59"/>
      <c r="K641" s="59"/>
      <c r="L641" s="5">
        <f t="shared" si="27"/>
        <v>0</v>
      </c>
    </row>
    <row r="642" spans="2:12" x14ac:dyDescent="0.3">
      <c r="B642" s="28" t="str">
        <f t="shared" ca="1" si="28"/>
        <v/>
      </c>
      <c r="C642" s="29" t="str">
        <f t="shared" ca="1" si="29"/>
        <v/>
      </c>
      <c r="D642" s="57"/>
      <c r="E642" s="57"/>
      <c r="F642" s="57"/>
      <c r="G642" s="58"/>
      <c r="H642" s="58"/>
      <c r="I642" s="59"/>
      <c r="J642" s="59"/>
      <c r="K642" s="59"/>
      <c r="L642" s="5">
        <f t="shared" si="27"/>
        <v>0</v>
      </c>
    </row>
    <row r="643" spans="2:12" x14ac:dyDescent="0.3">
      <c r="B643" s="28" t="str">
        <f t="shared" ca="1" si="28"/>
        <v/>
      </c>
      <c r="C643" s="29" t="str">
        <f t="shared" ca="1" si="29"/>
        <v/>
      </c>
      <c r="D643" s="57"/>
      <c r="E643" s="57"/>
      <c r="F643" s="57"/>
      <c r="G643" s="58"/>
      <c r="H643" s="58"/>
      <c r="I643" s="59"/>
      <c r="J643" s="59"/>
      <c r="K643" s="59"/>
      <c r="L643" s="5">
        <f t="shared" si="27"/>
        <v>0</v>
      </c>
    </row>
    <row r="644" spans="2:12" x14ac:dyDescent="0.3">
      <c r="B644" s="28" t="str">
        <f t="shared" ca="1" si="28"/>
        <v/>
      </c>
      <c r="C644" s="29" t="str">
        <f t="shared" ca="1" si="29"/>
        <v/>
      </c>
      <c r="D644" s="57"/>
      <c r="E644" s="57"/>
      <c r="F644" s="57"/>
      <c r="G644" s="58"/>
      <c r="H644" s="58"/>
      <c r="I644" s="59"/>
      <c r="J644" s="59"/>
      <c r="K644" s="59"/>
      <c r="L644" s="5">
        <f t="shared" si="27"/>
        <v>0</v>
      </c>
    </row>
    <row r="645" spans="2:12" x14ac:dyDescent="0.3">
      <c r="B645" s="28" t="str">
        <f t="shared" ca="1" si="28"/>
        <v/>
      </c>
      <c r="C645" s="29" t="str">
        <f t="shared" ca="1" si="29"/>
        <v/>
      </c>
      <c r="D645" s="57"/>
      <c r="E645" s="57"/>
      <c r="F645" s="57"/>
      <c r="G645" s="58"/>
      <c r="H645" s="58"/>
      <c r="I645" s="59"/>
      <c r="J645" s="59"/>
      <c r="K645" s="59"/>
      <c r="L645" s="5">
        <f t="shared" si="27"/>
        <v>0</v>
      </c>
    </row>
    <row r="646" spans="2:12" x14ac:dyDescent="0.3">
      <c r="B646" s="28" t="str">
        <f t="shared" ca="1" si="28"/>
        <v/>
      </c>
      <c r="C646" s="29" t="str">
        <f t="shared" ca="1" si="29"/>
        <v/>
      </c>
      <c r="D646" s="57"/>
      <c r="E646" s="57"/>
      <c r="F646" s="57"/>
      <c r="G646" s="58"/>
      <c r="H646" s="58"/>
      <c r="I646" s="59"/>
      <c r="J646" s="59"/>
      <c r="K646" s="59"/>
      <c r="L646" s="5">
        <f t="shared" si="27"/>
        <v>0</v>
      </c>
    </row>
    <row r="647" spans="2:12" x14ac:dyDescent="0.3">
      <c r="B647" s="28" t="str">
        <f t="shared" ca="1" si="28"/>
        <v/>
      </c>
      <c r="C647" s="29" t="str">
        <f t="shared" ca="1" si="29"/>
        <v/>
      </c>
      <c r="D647" s="57"/>
      <c r="E647" s="57"/>
      <c r="F647" s="57"/>
      <c r="G647" s="58"/>
      <c r="H647" s="58"/>
      <c r="I647" s="59"/>
      <c r="J647" s="59"/>
      <c r="K647" s="59"/>
      <c r="L647" s="5">
        <f t="shared" si="27"/>
        <v>0</v>
      </c>
    </row>
    <row r="648" spans="2:12" x14ac:dyDescent="0.3">
      <c r="B648" s="28" t="str">
        <f t="shared" ca="1" si="28"/>
        <v/>
      </c>
      <c r="C648" s="29" t="str">
        <f t="shared" ca="1" si="29"/>
        <v/>
      </c>
      <c r="D648" s="57"/>
      <c r="E648" s="57"/>
      <c r="F648" s="57"/>
      <c r="G648" s="58"/>
      <c r="H648" s="58"/>
      <c r="I648" s="59"/>
      <c r="J648" s="59"/>
      <c r="K648" s="59"/>
      <c r="L648" s="5">
        <f t="shared" si="27"/>
        <v>0</v>
      </c>
    </row>
    <row r="649" spans="2:12" x14ac:dyDescent="0.3">
      <c r="B649" s="28" t="str">
        <f t="shared" ca="1" si="28"/>
        <v/>
      </c>
      <c r="C649" s="29" t="str">
        <f t="shared" ca="1" si="29"/>
        <v/>
      </c>
      <c r="D649" s="57"/>
      <c r="E649" s="57"/>
      <c r="F649" s="57"/>
      <c r="G649" s="58"/>
      <c r="H649" s="58"/>
      <c r="I649" s="59"/>
      <c r="J649" s="59"/>
      <c r="K649" s="59"/>
      <c r="L649" s="5">
        <f t="shared" si="27"/>
        <v>0</v>
      </c>
    </row>
    <row r="650" spans="2:12" x14ac:dyDescent="0.3">
      <c r="B650" s="28" t="str">
        <f t="shared" ca="1" si="28"/>
        <v/>
      </c>
      <c r="C650" s="29" t="str">
        <f t="shared" ca="1" si="29"/>
        <v/>
      </c>
      <c r="D650" s="57"/>
      <c r="E650" s="57"/>
      <c r="F650" s="57"/>
      <c r="G650" s="58"/>
      <c r="H650" s="58"/>
      <c r="I650" s="59"/>
      <c r="J650" s="59"/>
      <c r="K650" s="59"/>
      <c r="L650" s="5">
        <f t="shared" ref="L650:L713" si="30">J650-I650-K650</f>
        <v>0</v>
      </c>
    </row>
    <row r="651" spans="2:12" x14ac:dyDescent="0.3">
      <c r="B651" s="28" t="str">
        <f t="shared" ref="B651:B714" ca="1" si="31">IF(D651&lt;&gt;"",DATE(Jahr,_xlfn.SHEET()-2,D651),"")</f>
        <v/>
      </c>
      <c r="C651" s="29" t="str">
        <f t="shared" ref="C651:C714" ca="1" si="32">B651</f>
        <v/>
      </c>
      <c r="D651" s="57"/>
      <c r="E651" s="57"/>
      <c r="F651" s="57"/>
      <c r="G651" s="58"/>
      <c r="H651" s="58"/>
      <c r="I651" s="59"/>
      <c r="J651" s="59"/>
      <c r="K651" s="59"/>
      <c r="L651" s="5">
        <f t="shared" si="30"/>
        <v>0</v>
      </c>
    </row>
    <row r="652" spans="2:12" x14ac:dyDescent="0.3">
      <c r="B652" s="28" t="str">
        <f t="shared" ca="1" si="31"/>
        <v/>
      </c>
      <c r="C652" s="29" t="str">
        <f t="shared" ca="1" si="32"/>
        <v/>
      </c>
      <c r="D652" s="57"/>
      <c r="E652" s="57"/>
      <c r="F652" s="57"/>
      <c r="G652" s="58"/>
      <c r="H652" s="58"/>
      <c r="I652" s="59"/>
      <c r="J652" s="59"/>
      <c r="K652" s="59"/>
      <c r="L652" s="5">
        <f t="shared" si="30"/>
        <v>0</v>
      </c>
    </row>
    <row r="653" spans="2:12" x14ac:dyDescent="0.3">
      <c r="B653" s="28" t="str">
        <f t="shared" ca="1" si="31"/>
        <v/>
      </c>
      <c r="C653" s="29" t="str">
        <f t="shared" ca="1" si="32"/>
        <v/>
      </c>
      <c r="D653" s="57"/>
      <c r="E653" s="57"/>
      <c r="F653" s="57"/>
      <c r="G653" s="58"/>
      <c r="H653" s="58"/>
      <c r="I653" s="59"/>
      <c r="J653" s="59"/>
      <c r="K653" s="59"/>
      <c r="L653" s="5">
        <f t="shared" si="30"/>
        <v>0</v>
      </c>
    </row>
    <row r="654" spans="2:12" x14ac:dyDescent="0.3">
      <c r="B654" s="28" t="str">
        <f t="shared" ca="1" si="31"/>
        <v/>
      </c>
      <c r="C654" s="29" t="str">
        <f t="shared" ca="1" si="32"/>
        <v/>
      </c>
      <c r="D654" s="57"/>
      <c r="E654" s="57"/>
      <c r="F654" s="57"/>
      <c r="G654" s="58"/>
      <c r="H654" s="58"/>
      <c r="I654" s="59"/>
      <c r="J654" s="59"/>
      <c r="K654" s="59"/>
      <c r="L654" s="5">
        <f t="shared" si="30"/>
        <v>0</v>
      </c>
    </row>
    <row r="655" spans="2:12" x14ac:dyDescent="0.3">
      <c r="B655" s="28" t="str">
        <f t="shared" ca="1" si="31"/>
        <v/>
      </c>
      <c r="C655" s="29" t="str">
        <f t="shared" ca="1" si="32"/>
        <v/>
      </c>
      <c r="D655" s="57"/>
      <c r="E655" s="57"/>
      <c r="F655" s="57"/>
      <c r="G655" s="58"/>
      <c r="H655" s="58"/>
      <c r="I655" s="59"/>
      <c r="J655" s="59"/>
      <c r="K655" s="59"/>
      <c r="L655" s="5">
        <f t="shared" si="30"/>
        <v>0</v>
      </c>
    </row>
    <row r="656" spans="2:12" x14ac:dyDescent="0.3">
      <c r="B656" s="28" t="str">
        <f t="shared" ca="1" si="31"/>
        <v/>
      </c>
      <c r="C656" s="29" t="str">
        <f t="shared" ca="1" si="32"/>
        <v/>
      </c>
      <c r="D656" s="57"/>
      <c r="E656" s="57"/>
      <c r="F656" s="57"/>
      <c r="G656" s="58"/>
      <c r="H656" s="58"/>
      <c r="I656" s="59"/>
      <c r="J656" s="59"/>
      <c r="K656" s="59"/>
      <c r="L656" s="5">
        <f t="shared" si="30"/>
        <v>0</v>
      </c>
    </row>
    <row r="657" spans="2:12" x14ac:dyDescent="0.3">
      <c r="B657" s="28" t="str">
        <f t="shared" ca="1" si="31"/>
        <v/>
      </c>
      <c r="C657" s="29" t="str">
        <f t="shared" ca="1" si="32"/>
        <v/>
      </c>
      <c r="D657" s="57"/>
      <c r="E657" s="57"/>
      <c r="F657" s="57"/>
      <c r="G657" s="58"/>
      <c r="H657" s="58"/>
      <c r="I657" s="59"/>
      <c r="J657" s="59"/>
      <c r="K657" s="59"/>
      <c r="L657" s="5">
        <f t="shared" si="30"/>
        <v>0</v>
      </c>
    </row>
    <row r="658" spans="2:12" x14ac:dyDescent="0.3">
      <c r="B658" s="28" t="str">
        <f t="shared" ca="1" si="31"/>
        <v/>
      </c>
      <c r="C658" s="29" t="str">
        <f t="shared" ca="1" si="32"/>
        <v/>
      </c>
      <c r="D658" s="57"/>
      <c r="E658" s="57"/>
      <c r="F658" s="57"/>
      <c r="G658" s="58"/>
      <c r="H658" s="58"/>
      <c r="I658" s="59"/>
      <c r="J658" s="59"/>
      <c r="K658" s="59"/>
      <c r="L658" s="5">
        <f t="shared" si="30"/>
        <v>0</v>
      </c>
    </row>
    <row r="659" spans="2:12" x14ac:dyDescent="0.3">
      <c r="B659" s="28" t="str">
        <f t="shared" ca="1" si="31"/>
        <v/>
      </c>
      <c r="C659" s="29" t="str">
        <f t="shared" ca="1" si="32"/>
        <v/>
      </c>
      <c r="D659" s="57"/>
      <c r="E659" s="57"/>
      <c r="F659" s="57"/>
      <c r="G659" s="58"/>
      <c r="H659" s="58"/>
      <c r="I659" s="59"/>
      <c r="J659" s="59"/>
      <c r="K659" s="59"/>
      <c r="L659" s="5">
        <f t="shared" si="30"/>
        <v>0</v>
      </c>
    </row>
    <row r="660" spans="2:12" x14ac:dyDescent="0.3">
      <c r="B660" s="28" t="str">
        <f t="shared" ca="1" si="31"/>
        <v/>
      </c>
      <c r="C660" s="29" t="str">
        <f t="shared" ca="1" si="32"/>
        <v/>
      </c>
      <c r="D660" s="57"/>
      <c r="E660" s="57"/>
      <c r="F660" s="57"/>
      <c r="G660" s="58"/>
      <c r="H660" s="58"/>
      <c r="I660" s="59"/>
      <c r="J660" s="59"/>
      <c r="K660" s="59"/>
      <c r="L660" s="5">
        <f t="shared" si="30"/>
        <v>0</v>
      </c>
    </row>
    <row r="661" spans="2:12" x14ac:dyDescent="0.3">
      <c r="B661" s="28" t="str">
        <f t="shared" ca="1" si="31"/>
        <v/>
      </c>
      <c r="C661" s="29" t="str">
        <f t="shared" ca="1" si="32"/>
        <v/>
      </c>
      <c r="D661" s="57"/>
      <c r="E661" s="57"/>
      <c r="F661" s="57"/>
      <c r="G661" s="58"/>
      <c r="H661" s="58"/>
      <c r="I661" s="59"/>
      <c r="J661" s="59"/>
      <c r="K661" s="59"/>
      <c r="L661" s="5">
        <f t="shared" si="30"/>
        <v>0</v>
      </c>
    </row>
    <row r="662" spans="2:12" x14ac:dyDescent="0.3">
      <c r="B662" s="28" t="str">
        <f t="shared" ca="1" si="31"/>
        <v/>
      </c>
      <c r="C662" s="29" t="str">
        <f t="shared" ca="1" si="32"/>
        <v/>
      </c>
      <c r="D662" s="57"/>
      <c r="E662" s="57"/>
      <c r="F662" s="57"/>
      <c r="G662" s="58"/>
      <c r="H662" s="58"/>
      <c r="I662" s="59"/>
      <c r="J662" s="59"/>
      <c r="K662" s="59"/>
      <c r="L662" s="5">
        <f t="shared" si="30"/>
        <v>0</v>
      </c>
    </row>
    <row r="663" spans="2:12" x14ac:dyDescent="0.3">
      <c r="B663" s="28" t="str">
        <f t="shared" ca="1" si="31"/>
        <v/>
      </c>
      <c r="C663" s="29" t="str">
        <f t="shared" ca="1" si="32"/>
        <v/>
      </c>
      <c r="D663" s="57"/>
      <c r="E663" s="57"/>
      <c r="F663" s="57"/>
      <c r="G663" s="58"/>
      <c r="H663" s="58"/>
      <c r="I663" s="59"/>
      <c r="J663" s="59"/>
      <c r="K663" s="59"/>
      <c r="L663" s="5">
        <f t="shared" si="30"/>
        <v>0</v>
      </c>
    </row>
    <row r="664" spans="2:12" x14ac:dyDescent="0.3">
      <c r="B664" s="28" t="str">
        <f t="shared" ca="1" si="31"/>
        <v/>
      </c>
      <c r="C664" s="29" t="str">
        <f t="shared" ca="1" si="32"/>
        <v/>
      </c>
      <c r="D664" s="57"/>
      <c r="E664" s="57"/>
      <c r="F664" s="57"/>
      <c r="G664" s="58"/>
      <c r="H664" s="58"/>
      <c r="I664" s="59"/>
      <c r="J664" s="59"/>
      <c r="K664" s="59"/>
      <c r="L664" s="5">
        <f t="shared" si="30"/>
        <v>0</v>
      </c>
    </row>
    <row r="665" spans="2:12" x14ac:dyDescent="0.3">
      <c r="B665" s="28" t="str">
        <f t="shared" ca="1" si="31"/>
        <v/>
      </c>
      <c r="C665" s="29" t="str">
        <f t="shared" ca="1" si="32"/>
        <v/>
      </c>
      <c r="D665" s="57"/>
      <c r="E665" s="57"/>
      <c r="F665" s="57"/>
      <c r="G665" s="58"/>
      <c r="H665" s="58"/>
      <c r="I665" s="59"/>
      <c r="J665" s="59"/>
      <c r="K665" s="59"/>
      <c r="L665" s="5">
        <f t="shared" si="30"/>
        <v>0</v>
      </c>
    </row>
    <row r="666" spans="2:12" x14ac:dyDescent="0.3">
      <c r="B666" s="28" t="str">
        <f t="shared" ca="1" si="31"/>
        <v/>
      </c>
      <c r="C666" s="29" t="str">
        <f t="shared" ca="1" si="32"/>
        <v/>
      </c>
      <c r="D666" s="57"/>
      <c r="E666" s="57"/>
      <c r="F666" s="57"/>
      <c r="G666" s="58"/>
      <c r="H666" s="58"/>
      <c r="I666" s="59"/>
      <c r="J666" s="59"/>
      <c r="K666" s="59"/>
      <c r="L666" s="5">
        <f t="shared" si="30"/>
        <v>0</v>
      </c>
    </row>
    <row r="667" spans="2:12" x14ac:dyDescent="0.3">
      <c r="B667" s="28" t="str">
        <f t="shared" ca="1" si="31"/>
        <v/>
      </c>
      <c r="C667" s="29" t="str">
        <f t="shared" ca="1" si="32"/>
        <v/>
      </c>
      <c r="D667" s="57"/>
      <c r="E667" s="57"/>
      <c r="F667" s="57"/>
      <c r="G667" s="58"/>
      <c r="H667" s="58"/>
      <c r="I667" s="59"/>
      <c r="J667" s="59"/>
      <c r="K667" s="59"/>
      <c r="L667" s="5">
        <f t="shared" si="30"/>
        <v>0</v>
      </c>
    </row>
    <row r="668" spans="2:12" x14ac:dyDescent="0.3">
      <c r="B668" s="28" t="str">
        <f t="shared" ca="1" si="31"/>
        <v/>
      </c>
      <c r="C668" s="29" t="str">
        <f t="shared" ca="1" si="32"/>
        <v/>
      </c>
      <c r="D668" s="57"/>
      <c r="E668" s="57"/>
      <c r="F668" s="57"/>
      <c r="G668" s="58"/>
      <c r="H668" s="58"/>
      <c r="I668" s="59"/>
      <c r="J668" s="59"/>
      <c r="K668" s="59"/>
      <c r="L668" s="5">
        <f t="shared" si="30"/>
        <v>0</v>
      </c>
    </row>
    <row r="669" spans="2:12" x14ac:dyDescent="0.3">
      <c r="B669" s="28" t="str">
        <f t="shared" ca="1" si="31"/>
        <v/>
      </c>
      <c r="C669" s="29" t="str">
        <f t="shared" ca="1" si="32"/>
        <v/>
      </c>
      <c r="D669" s="57"/>
      <c r="E669" s="57"/>
      <c r="F669" s="57"/>
      <c r="G669" s="58"/>
      <c r="H669" s="58"/>
      <c r="I669" s="59"/>
      <c r="J669" s="59"/>
      <c r="K669" s="59"/>
      <c r="L669" s="5">
        <f t="shared" si="30"/>
        <v>0</v>
      </c>
    </row>
    <row r="670" spans="2:12" x14ac:dyDescent="0.3">
      <c r="B670" s="28" t="str">
        <f t="shared" ca="1" si="31"/>
        <v/>
      </c>
      <c r="C670" s="29" t="str">
        <f t="shared" ca="1" si="32"/>
        <v/>
      </c>
      <c r="D670" s="57"/>
      <c r="E670" s="57"/>
      <c r="F670" s="57"/>
      <c r="G670" s="58"/>
      <c r="H670" s="58"/>
      <c r="I670" s="59"/>
      <c r="J670" s="59"/>
      <c r="K670" s="59"/>
      <c r="L670" s="5">
        <f t="shared" si="30"/>
        <v>0</v>
      </c>
    </row>
    <row r="671" spans="2:12" x14ac:dyDescent="0.3">
      <c r="B671" s="28" t="str">
        <f t="shared" ca="1" si="31"/>
        <v/>
      </c>
      <c r="C671" s="29" t="str">
        <f t="shared" ca="1" si="32"/>
        <v/>
      </c>
      <c r="D671" s="57"/>
      <c r="E671" s="57"/>
      <c r="F671" s="57"/>
      <c r="G671" s="58"/>
      <c r="H671" s="58"/>
      <c r="I671" s="59"/>
      <c r="J671" s="59"/>
      <c r="K671" s="59"/>
      <c r="L671" s="5">
        <f t="shared" si="30"/>
        <v>0</v>
      </c>
    </row>
    <row r="672" spans="2:12" x14ac:dyDescent="0.3">
      <c r="B672" s="28" t="str">
        <f t="shared" ca="1" si="31"/>
        <v/>
      </c>
      <c r="C672" s="29" t="str">
        <f t="shared" ca="1" si="32"/>
        <v/>
      </c>
      <c r="D672" s="57"/>
      <c r="E672" s="57"/>
      <c r="F672" s="57"/>
      <c r="G672" s="58"/>
      <c r="H672" s="58"/>
      <c r="I672" s="59"/>
      <c r="J672" s="59"/>
      <c r="K672" s="59"/>
      <c r="L672" s="5">
        <f t="shared" si="30"/>
        <v>0</v>
      </c>
    </row>
    <row r="673" spans="2:12" x14ac:dyDescent="0.3">
      <c r="B673" s="28" t="str">
        <f t="shared" ca="1" si="31"/>
        <v/>
      </c>
      <c r="C673" s="29" t="str">
        <f t="shared" ca="1" si="32"/>
        <v/>
      </c>
      <c r="D673" s="57"/>
      <c r="E673" s="57"/>
      <c r="F673" s="57"/>
      <c r="G673" s="58"/>
      <c r="H673" s="58"/>
      <c r="I673" s="59"/>
      <c r="J673" s="59"/>
      <c r="K673" s="59"/>
      <c r="L673" s="5">
        <f t="shared" si="30"/>
        <v>0</v>
      </c>
    </row>
    <row r="674" spans="2:12" x14ac:dyDescent="0.3">
      <c r="B674" s="28" t="str">
        <f t="shared" ca="1" si="31"/>
        <v/>
      </c>
      <c r="C674" s="29" t="str">
        <f t="shared" ca="1" si="32"/>
        <v/>
      </c>
      <c r="D674" s="57"/>
      <c r="E674" s="57"/>
      <c r="F674" s="57"/>
      <c r="G674" s="58"/>
      <c r="H674" s="58"/>
      <c r="I674" s="59"/>
      <c r="J674" s="59"/>
      <c r="K674" s="59"/>
      <c r="L674" s="5">
        <f t="shared" si="30"/>
        <v>0</v>
      </c>
    </row>
    <row r="675" spans="2:12" x14ac:dyDescent="0.3">
      <c r="B675" s="28" t="str">
        <f t="shared" ca="1" si="31"/>
        <v/>
      </c>
      <c r="C675" s="29" t="str">
        <f t="shared" ca="1" si="32"/>
        <v/>
      </c>
      <c r="D675" s="57"/>
      <c r="E675" s="57"/>
      <c r="F675" s="57"/>
      <c r="G675" s="58"/>
      <c r="H675" s="58"/>
      <c r="I675" s="59"/>
      <c r="J675" s="59"/>
      <c r="K675" s="59"/>
      <c r="L675" s="5">
        <f t="shared" si="30"/>
        <v>0</v>
      </c>
    </row>
    <row r="676" spans="2:12" x14ac:dyDescent="0.3">
      <c r="B676" s="28" t="str">
        <f t="shared" ca="1" si="31"/>
        <v/>
      </c>
      <c r="C676" s="29" t="str">
        <f t="shared" ca="1" si="32"/>
        <v/>
      </c>
      <c r="D676" s="57"/>
      <c r="E676" s="57"/>
      <c r="F676" s="57"/>
      <c r="G676" s="58"/>
      <c r="H676" s="58"/>
      <c r="I676" s="59"/>
      <c r="J676" s="59"/>
      <c r="K676" s="59"/>
      <c r="L676" s="5">
        <f t="shared" si="30"/>
        <v>0</v>
      </c>
    </row>
    <row r="677" spans="2:12" x14ac:dyDescent="0.3">
      <c r="B677" s="28" t="str">
        <f t="shared" ca="1" si="31"/>
        <v/>
      </c>
      <c r="C677" s="29" t="str">
        <f t="shared" ca="1" si="32"/>
        <v/>
      </c>
      <c r="D677" s="57"/>
      <c r="E677" s="57"/>
      <c r="F677" s="57"/>
      <c r="G677" s="58"/>
      <c r="H677" s="58"/>
      <c r="I677" s="59"/>
      <c r="J677" s="59"/>
      <c r="K677" s="59"/>
      <c r="L677" s="5">
        <f t="shared" si="30"/>
        <v>0</v>
      </c>
    </row>
    <row r="678" spans="2:12" x14ac:dyDescent="0.3">
      <c r="B678" s="28" t="str">
        <f t="shared" ca="1" si="31"/>
        <v/>
      </c>
      <c r="C678" s="29" t="str">
        <f t="shared" ca="1" si="32"/>
        <v/>
      </c>
      <c r="D678" s="57"/>
      <c r="E678" s="57"/>
      <c r="F678" s="57"/>
      <c r="G678" s="58"/>
      <c r="H678" s="58"/>
      <c r="I678" s="59"/>
      <c r="J678" s="59"/>
      <c r="K678" s="59"/>
      <c r="L678" s="5">
        <f t="shared" si="30"/>
        <v>0</v>
      </c>
    </row>
    <row r="679" spans="2:12" x14ac:dyDescent="0.3">
      <c r="B679" s="28" t="str">
        <f t="shared" ca="1" si="31"/>
        <v/>
      </c>
      <c r="C679" s="29" t="str">
        <f t="shared" ca="1" si="32"/>
        <v/>
      </c>
      <c r="D679" s="57"/>
      <c r="E679" s="57"/>
      <c r="F679" s="57"/>
      <c r="G679" s="58"/>
      <c r="H679" s="58"/>
      <c r="I679" s="59"/>
      <c r="J679" s="59"/>
      <c r="K679" s="59"/>
      <c r="L679" s="5">
        <f t="shared" si="30"/>
        <v>0</v>
      </c>
    </row>
    <row r="680" spans="2:12" x14ac:dyDescent="0.3">
      <c r="B680" s="28" t="str">
        <f t="shared" ca="1" si="31"/>
        <v/>
      </c>
      <c r="C680" s="29" t="str">
        <f t="shared" ca="1" si="32"/>
        <v/>
      </c>
      <c r="D680" s="57"/>
      <c r="E680" s="57"/>
      <c r="F680" s="57"/>
      <c r="G680" s="58"/>
      <c r="H680" s="58"/>
      <c r="I680" s="59"/>
      <c r="J680" s="59"/>
      <c r="K680" s="59"/>
      <c r="L680" s="5">
        <f t="shared" si="30"/>
        <v>0</v>
      </c>
    </row>
    <row r="681" spans="2:12" x14ac:dyDescent="0.3">
      <c r="B681" s="28" t="str">
        <f t="shared" ca="1" si="31"/>
        <v/>
      </c>
      <c r="C681" s="29" t="str">
        <f t="shared" ca="1" si="32"/>
        <v/>
      </c>
      <c r="D681" s="57"/>
      <c r="E681" s="57"/>
      <c r="F681" s="57"/>
      <c r="G681" s="58"/>
      <c r="H681" s="58"/>
      <c r="I681" s="59"/>
      <c r="J681" s="59"/>
      <c r="K681" s="59"/>
      <c r="L681" s="5">
        <f t="shared" si="30"/>
        <v>0</v>
      </c>
    </row>
    <row r="682" spans="2:12" x14ac:dyDescent="0.3">
      <c r="B682" s="28" t="str">
        <f t="shared" ca="1" si="31"/>
        <v/>
      </c>
      <c r="C682" s="29" t="str">
        <f t="shared" ca="1" si="32"/>
        <v/>
      </c>
      <c r="D682" s="57"/>
      <c r="E682" s="57"/>
      <c r="F682" s="57"/>
      <c r="G682" s="58"/>
      <c r="H682" s="58"/>
      <c r="I682" s="59"/>
      <c r="J682" s="59"/>
      <c r="K682" s="59"/>
      <c r="L682" s="5">
        <f t="shared" si="30"/>
        <v>0</v>
      </c>
    </row>
    <row r="683" spans="2:12" x14ac:dyDescent="0.3">
      <c r="B683" s="28" t="str">
        <f t="shared" ca="1" si="31"/>
        <v/>
      </c>
      <c r="C683" s="29" t="str">
        <f t="shared" ca="1" si="32"/>
        <v/>
      </c>
      <c r="D683" s="57"/>
      <c r="E683" s="57"/>
      <c r="F683" s="57"/>
      <c r="G683" s="58"/>
      <c r="H683" s="58"/>
      <c r="I683" s="59"/>
      <c r="J683" s="59"/>
      <c r="K683" s="59"/>
      <c r="L683" s="5">
        <f t="shared" si="30"/>
        <v>0</v>
      </c>
    </row>
    <row r="684" spans="2:12" x14ac:dyDescent="0.3">
      <c r="B684" s="28" t="str">
        <f t="shared" ca="1" si="31"/>
        <v/>
      </c>
      <c r="C684" s="29" t="str">
        <f t="shared" ca="1" si="32"/>
        <v/>
      </c>
      <c r="D684" s="57"/>
      <c r="E684" s="57"/>
      <c r="F684" s="57"/>
      <c r="G684" s="58"/>
      <c r="H684" s="58"/>
      <c r="I684" s="59"/>
      <c r="J684" s="59"/>
      <c r="K684" s="59"/>
      <c r="L684" s="5">
        <f t="shared" si="30"/>
        <v>0</v>
      </c>
    </row>
    <row r="685" spans="2:12" x14ac:dyDescent="0.3">
      <c r="B685" s="28" t="str">
        <f t="shared" ca="1" si="31"/>
        <v/>
      </c>
      <c r="C685" s="29" t="str">
        <f t="shared" ca="1" si="32"/>
        <v/>
      </c>
      <c r="D685" s="57"/>
      <c r="E685" s="57"/>
      <c r="F685" s="57"/>
      <c r="G685" s="58"/>
      <c r="H685" s="58"/>
      <c r="I685" s="59"/>
      <c r="J685" s="59"/>
      <c r="K685" s="59"/>
      <c r="L685" s="5">
        <f t="shared" si="30"/>
        <v>0</v>
      </c>
    </row>
    <row r="686" spans="2:12" x14ac:dyDescent="0.3">
      <c r="B686" s="28" t="str">
        <f t="shared" ca="1" si="31"/>
        <v/>
      </c>
      <c r="C686" s="29" t="str">
        <f t="shared" ca="1" si="32"/>
        <v/>
      </c>
      <c r="D686" s="57"/>
      <c r="E686" s="57"/>
      <c r="F686" s="57"/>
      <c r="G686" s="58"/>
      <c r="H686" s="58"/>
      <c r="I686" s="59"/>
      <c r="J686" s="59"/>
      <c r="K686" s="59"/>
      <c r="L686" s="5">
        <f t="shared" si="30"/>
        <v>0</v>
      </c>
    </row>
    <row r="687" spans="2:12" x14ac:dyDescent="0.3">
      <c r="B687" s="28" t="str">
        <f t="shared" ca="1" si="31"/>
        <v/>
      </c>
      <c r="C687" s="29" t="str">
        <f t="shared" ca="1" si="32"/>
        <v/>
      </c>
      <c r="D687" s="57"/>
      <c r="E687" s="57"/>
      <c r="F687" s="57"/>
      <c r="G687" s="58"/>
      <c r="H687" s="58"/>
      <c r="I687" s="59"/>
      <c r="J687" s="59"/>
      <c r="K687" s="59"/>
      <c r="L687" s="5">
        <f t="shared" si="30"/>
        <v>0</v>
      </c>
    </row>
    <row r="688" spans="2:12" x14ac:dyDescent="0.3">
      <c r="B688" s="28" t="str">
        <f t="shared" ca="1" si="31"/>
        <v/>
      </c>
      <c r="C688" s="29" t="str">
        <f t="shared" ca="1" si="32"/>
        <v/>
      </c>
      <c r="D688" s="57"/>
      <c r="E688" s="57"/>
      <c r="F688" s="57"/>
      <c r="G688" s="58"/>
      <c r="H688" s="58"/>
      <c r="I688" s="59"/>
      <c r="J688" s="59"/>
      <c r="K688" s="59"/>
      <c r="L688" s="5">
        <f t="shared" si="30"/>
        <v>0</v>
      </c>
    </row>
    <row r="689" spans="2:12" x14ac:dyDescent="0.3">
      <c r="B689" s="28" t="str">
        <f t="shared" ca="1" si="31"/>
        <v/>
      </c>
      <c r="C689" s="29" t="str">
        <f t="shared" ca="1" si="32"/>
        <v/>
      </c>
      <c r="D689" s="57"/>
      <c r="E689" s="57"/>
      <c r="F689" s="57"/>
      <c r="G689" s="58"/>
      <c r="H689" s="58"/>
      <c r="I689" s="59"/>
      <c r="J689" s="59"/>
      <c r="K689" s="59"/>
      <c r="L689" s="5">
        <f t="shared" si="30"/>
        <v>0</v>
      </c>
    </row>
    <row r="690" spans="2:12" x14ac:dyDescent="0.3">
      <c r="B690" s="28" t="str">
        <f t="shared" ca="1" si="31"/>
        <v/>
      </c>
      <c r="C690" s="29" t="str">
        <f t="shared" ca="1" si="32"/>
        <v/>
      </c>
      <c r="D690" s="57"/>
      <c r="E690" s="57"/>
      <c r="F690" s="57"/>
      <c r="G690" s="58"/>
      <c r="H690" s="58"/>
      <c r="I690" s="59"/>
      <c r="J690" s="59"/>
      <c r="K690" s="59"/>
      <c r="L690" s="5">
        <f t="shared" si="30"/>
        <v>0</v>
      </c>
    </row>
    <row r="691" spans="2:12" x14ac:dyDescent="0.3">
      <c r="B691" s="28" t="str">
        <f t="shared" ca="1" si="31"/>
        <v/>
      </c>
      <c r="C691" s="29" t="str">
        <f t="shared" ca="1" si="32"/>
        <v/>
      </c>
      <c r="D691" s="57"/>
      <c r="E691" s="57"/>
      <c r="F691" s="57"/>
      <c r="G691" s="58"/>
      <c r="H691" s="58"/>
      <c r="I691" s="59"/>
      <c r="J691" s="59"/>
      <c r="K691" s="59"/>
      <c r="L691" s="5">
        <f t="shared" si="30"/>
        <v>0</v>
      </c>
    </row>
    <row r="692" spans="2:12" x14ac:dyDescent="0.3">
      <c r="B692" s="28" t="str">
        <f t="shared" ca="1" si="31"/>
        <v/>
      </c>
      <c r="C692" s="29" t="str">
        <f t="shared" ca="1" si="32"/>
        <v/>
      </c>
      <c r="D692" s="57"/>
      <c r="E692" s="57"/>
      <c r="F692" s="57"/>
      <c r="G692" s="58"/>
      <c r="H692" s="58"/>
      <c r="I692" s="59"/>
      <c r="J692" s="59"/>
      <c r="K692" s="59"/>
      <c r="L692" s="5">
        <f t="shared" si="30"/>
        <v>0</v>
      </c>
    </row>
    <row r="693" spans="2:12" x14ac:dyDescent="0.3">
      <c r="B693" s="28" t="str">
        <f t="shared" ca="1" si="31"/>
        <v/>
      </c>
      <c r="C693" s="29" t="str">
        <f t="shared" ca="1" si="32"/>
        <v/>
      </c>
      <c r="D693" s="57"/>
      <c r="E693" s="57"/>
      <c r="F693" s="57"/>
      <c r="G693" s="58"/>
      <c r="H693" s="58"/>
      <c r="I693" s="59"/>
      <c r="J693" s="59"/>
      <c r="K693" s="59"/>
      <c r="L693" s="5">
        <f t="shared" si="30"/>
        <v>0</v>
      </c>
    </row>
    <row r="694" spans="2:12" x14ac:dyDescent="0.3">
      <c r="B694" s="28" t="str">
        <f t="shared" ca="1" si="31"/>
        <v/>
      </c>
      <c r="C694" s="29" t="str">
        <f t="shared" ca="1" si="32"/>
        <v/>
      </c>
      <c r="D694" s="57"/>
      <c r="E694" s="57"/>
      <c r="F694" s="57"/>
      <c r="G694" s="58"/>
      <c r="H694" s="58"/>
      <c r="I694" s="59"/>
      <c r="J694" s="59"/>
      <c r="K694" s="59"/>
      <c r="L694" s="5">
        <f t="shared" si="30"/>
        <v>0</v>
      </c>
    </row>
    <row r="695" spans="2:12" x14ac:dyDescent="0.3">
      <c r="B695" s="28" t="str">
        <f t="shared" ca="1" si="31"/>
        <v/>
      </c>
      <c r="C695" s="29" t="str">
        <f t="shared" ca="1" si="32"/>
        <v/>
      </c>
      <c r="D695" s="57"/>
      <c r="E695" s="57"/>
      <c r="F695" s="57"/>
      <c r="G695" s="58"/>
      <c r="H695" s="58"/>
      <c r="I695" s="59"/>
      <c r="J695" s="59"/>
      <c r="K695" s="59"/>
      <c r="L695" s="5">
        <f t="shared" si="30"/>
        <v>0</v>
      </c>
    </row>
    <row r="696" spans="2:12" x14ac:dyDescent="0.3">
      <c r="B696" s="28" t="str">
        <f t="shared" ca="1" si="31"/>
        <v/>
      </c>
      <c r="C696" s="29" t="str">
        <f t="shared" ca="1" si="32"/>
        <v/>
      </c>
      <c r="D696" s="57"/>
      <c r="E696" s="57"/>
      <c r="F696" s="57"/>
      <c r="G696" s="58"/>
      <c r="H696" s="58"/>
      <c r="I696" s="59"/>
      <c r="J696" s="59"/>
      <c r="K696" s="59"/>
      <c r="L696" s="5">
        <f t="shared" si="30"/>
        <v>0</v>
      </c>
    </row>
    <row r="697" spans="2:12" x14ac:dyDescent="0.3">
      <c r="B697" s="28" t="str">
        <f t="shared" ca="1" si="31"/>
        <v/>
      </c>
      <c r="C697" s="29" t="str">
        <f t="shared" ca="1" si="32"/>
        <v/>
      </c>
      <c r="D697" s="57"/>
      <c r="E697" s="57"/>
      <c r="F697" s="57"/>
      <c r="G697" s="58"/>
      <c r="H697" s="58"/>
      <c r="I697" s="59"/>
      <c r="J697" s="59"/>
      <c r="K697" s="59"/>
      <c r="L697" s="5">
        <f t="shared" si="30"/>
        <v>0</v>
      </c>
    </row>
    <row r="698" spans="2:12" x14ac:dyDescent="0.3">
      <c r="B698" s="28" t="str">
        <f t="shared" ca="1" si="31"/>
        <v/>
      </c>
      <c r="C698" s="29" t="str">
        <f t="shared" ca="1" si="32"/>
        <v/>
      </c>
      <c r="D698" s="57"/>
      <c r="E698" s="57"/>
      <c r="F698" s="57"/>
      <c r="G698" s="58"/>
      <c r="H698" s="58"/>
      <c r="I698" s="59"/>
      <c r="J698" s="59"/>
      <c r="K698" s="59"/>
      <c r="L698" s="5">
        <f t="shared" si="30"/>
        <v>0</v>
      </c>
    </row>
    <row r="699" spans="2:12" x14ac:dyDescent="0.3">
      <c r="B699" s="28" t="str">
        <f t="shared" ca="1" si="31"/>
        <v/>
      </c>
      <c r="C699" s="29" t="str">
        <f t="shared" ca="1" si="32"/>
        <v/>
      </c>
      <c r="D699" s="57"/>
      <c r="E699" s="57"/>
      <c r="F699" s="57"/>
      <c r="G699" s="58"/>
      <c r="H699" s="58"/>
      <c r="I699" s="59"/>
      <c r="J699" s="59"/>
      <c r="K699" s="59"/>
      <c r="L699" s="5">
        <f t="shared" si="30"/>
        <v>0</v>
      </c>
    </row>
    <row r="700" spans="2:12" x14ac:dyDescent="0.3">
      <c r="B700" s="28" t="str">
        <f t="shared" ca="1" si="31"/>
        <v/>
      </c>
      <c r="C700" s="29" t="str">
        <f t="shared" ca="1" si="32"/>
        <v/>
      </c>
      <c r="D700" s="57"/>
      <c r="E700" s="57"/>
      <c r="F700" s="57"/>
      <c r="G700" s="58"/>
      <c r="H700" s="58"/>
      <c r="I700" s="59"/>
      <c r="J700" s="59"/>
      <c r="K700" s="59"/>
      <c r="L700" s="5">
        <f t="shared" si="30"/>
        <v>0</v>
      </c>
    </row>
    <row r="701" spans="2:12" x14ac:dyDescent="0.3">
      <c r="B701" s="28" t="str">
        <f t="shared" ca="1" si="31"/>
        <v/>
      </c>
      <c r="C701" s="29" t="str">
        <f t="shared" ca="1" si="32"/>
        <v/>
      </c>
      <c r="D701" s="57"/>
      <c r="E701" s="57"/>
      <c r="F701" s="57"/>
      <c r="G701" s="58"/>
      <c r="H701" s="58"/>
      <c r="I701" s="59"/>
      <c r="J701" s="59"/>
      <c r="K701" s="59"/>
      <c r="L701" s="5">
        <f t="shared" si="30"/>
        <v>0</v>
      </c>
    </row>
    <row r="702" spans="2:12" x14ac:dyDescent="0.3">
      <c r="B702" s="28" t="str">
        <f t="shared" ca="1" si="31"/>
        <v/>
      </c>
      <c r="C702" s="29" t="str">
        <f t="shared" ca="1" si="32"/>
        <v/>
      </c>
      <c r="D702" s="57"/>
      <c r="E702" s="57"/>
      <c r="F702" s="57"/>
      <c r="G702" s="58"/>
      <c r="H702" s="58"/>
      <c r="I702" s="59"/>
      <c r="J702" s="59"/>
      <c r="K702" s="59"/>
      <c r="L702" s="5">
        <f t="shared" si="30"/>
        <v>0</v>
      </c>
    </row>
    <row r="703" spans="2:12" x14ac:dyDescent="0.3">
      <c r="B703" s="28" t="str">
        <f t="shared" ca="1" si="31"/>
        <v/>
      </c>
      <c r="C703" s="29" t="str">
        <f t="shared" ca="1" si="32"/>
        <v/>
      </c>
      <c r="D703" s="57"/>
      <c r="E703" s="57"/>
      <c r="F703" s="57"/>
      <c r="G703" s="58"/>
      <c r="H703" s="58"/>
      <c r="I703" s="59"/>
      <c r="J703" s="59"/>
      <c r="K703" s="59"/>
      <c r="L703" s="5">
        <f t="shared" si="30"/>
        <v>0</v>
      </c>
    </row>
    <row r="704" spans="2:12" x14ac:dyDescent="0.3">
      <c r="B704" s="28" t="str">
        <f t="shared" ca="1" si="31"/>
        <v/>
      </c>
      <c r="C704" s="29" t="str">
        <f t="shared" ca="1" si="32"/>
        <v/>
      </c>
      <c r="D704" s="57"/>
      <c r="E704" s="57"/>
      <c r="F704" s="57"/>
      <c r="G704" s="58"/>
      <c r="H704" s="58"/>
      <c r="I704" s="59"/>
      <c r="J704" s="59"/>
      <c r="K704" s="59"/>
      <c r="L704" s="5">
        <f t="shared" si="30"/>
        <v>0</v>
      </c>
    </row>
    <row r="705" spans="2:12" x14ac:dyDescent="0.3">
      <c r="B705" s="28" t="str">
        <f t="shared" ca="1" si="31"/>
        <v/>
      </c>
      <c r="C705" s="29" t="str">
        <f t="shared" ca="1" si="32"/>
        <v/>
      </c>
      <c r="D705" s="57"/>
      <c r="E705" s="57"/>
      <c r="F705" s="57"/>
      <c r="G705" s="58"/>
      <c r="H705" s="58"/>
      <c r="I705" s="59"/>
      <c r="J705" s="59"/>
      <c r="K705" s="59"/>
      <c r="L705" s="5">
        <f t="shared" si="30"/>
        <v>0</v>
      </c>
    </row>
    <row r="706" spans="2:12" x14ac:dyDescent="0.3">
      <c r="B706" s="28" t="str">
        <f t="shared" ca="1" si="31"/>
        <v/>
      </c>
      <c r="C706" s="29" t="str">
        <f t="shared" ca="1" si="32"/>
        <v/>
      </c>
      <c r="D706" s="57"/>
      <c r="E706" s="57"/>
      <c r="F706" s="57"/>
      <c r="G706" s="58"/>
      <c r="H706" s="58"/>
      <c r="I706" s="59"/>
      <c r="J706" s="59"/>
      <c r="K706" s="59"/>
      <c r="L706" s="5">
        <f t="shared" si="30"/>
        <v>0</v>
      </c>
    </row>
    <row r="707" spans="2:12" x14ac:dyDescent="0.3">
      <c r="B707" s="28" t="str">
        <f t="shared" ca="1" si="31"/>
        <v/>
      </c>
      <c r="C707" s="29" t="str">
        <f t="shared" ca="1" si="32"/>
        <v/>
      </c>
      <c r="D707" s="57"/>
      <c r="E707" s="57"/>
      <c r="F707" s="57"/>
      <c r="G707" s="58"/>
      <c r="H707" s="58"/>
      <c r="I707" s="59"/>
      <c r="J707" s="59"/>
      <c r="K707" s="59"/>
      <c r="L707" s="5">
        <f t="shared" si="30"/>
        <v>0</v>
      </c>
    </row>
    <row r="708" spans="2:12" x14ac:dyDescent="0.3">
      <c r="B708" s="28" t="str">
        <f t="shared" ca="1" si="31"/>
        <v/>
      </c>
      <c r="C708" s="29" t="str">
        <f t="shared" ca="1" si="32"/>
        <v/>
      </c>
      <c r="D708" s="57"/>
      <c r="E708" s="57"/>
      <c r="F708" s="57"/>
      <c r="G708" s="58"/>
      <c r="H708" s="58"/>
      <c r="I708" s="59"/>
      <c r="J708" s="59"/>
      <c r="K708" s="59"/>
      <c r="L708" s="5">
        <f t="shared" si="30"/>
        <v>0</v>
      </c>
    </row>
    <row r="709" spans="2:12" x14ac:dyDescent="0.3">
      <c r="B709" s="28" t="str">
        <f t="shared" ca="1" si="31"/>
        <v/>
      </c>
      <c r="C709" s="29" t="str">
        <f t="shared" ca="1" si="32"/>
        <v/>
      </c>
      <c r="D709" s="57"/>
      <c r="E709" s="57"/>
      <c r="F709" s="57"/>
      <c r="G709" s="58"/>
      <c r="H709" s="58"/>
      <c r="I709" s="59"/>
      <c r="J709" s="59"/>
      <c r="K709" s="59"/>
      <c r="L709" s="5">
        <f t="shared" si="30"/>
        <v>0</v>
      </c>
    </row>
    <row r="710" spans="2:12" x14ac:dyDescent="0.3">
      <c r="B710" s="28" t="str">
        <f t="shared" ca="1" si="31"/>
        <v/>
      </c>
      <c r="C710" s="29" t="str">
        <f t="shared" ca="1" si="32"/>
        <v/>
      </c>
      <c r="D710" s="57"/>
      <c r="E710" s="57"/>
      <c r="F710" s="57"/>
      <c r="G710" s="58"/>
      <c r="H710" s="58"/>
      <c r="I710" s="59"/>
      <c r="J710" s="59"/>
      <c r="K710" s="59"/>
      <c r="L710" s="5">
        <f t="shared" si="30"/>
        <v>0</v>
      </c>
    </row>
    <row r="711" spans="2:12" x14ac:dyDescent="0.3">
      <c r="B711" s="28" t="str">
        <f t="shared" ca="1" si="31"/>
        <v/>
      </c>
      <c r="C711" s="29" t="str">
        <f t="shared" ca="1" si="32"/>
        <v/>
      </c>
      <c r="D711" s="57"/>
      <c r="E711" s="57"/>
      <c r="F711" s="57"/>
      <c r="G711" s="58"/>
      <c r="H711" s="58"/>
      <c r="I711" s="59"/>
      <c r="J711" s="59"/>
      <c r="K711" s="59"/>
      <c r="L711" s="5">
        <f t="shared" si="30"/>
        <v>0</v>
      </c>
    </row>
    <row r="712" spans="2:12" x14ac:dyDescent="0.3">
      <c r="B712" s="28" t="str">
        <f t="shared" ca="1" si="31"/>
        <v/>
      </c>
      <c r="C712" s="29" t="str">
        <f t="shared" ca="1" si="32"/>
        <v/>
      </c>
      <c r="D712" s="57"/>
      <c r="E712" s="57"/>
      <c r="F712" s="57"/>
      <c r="G712" s="58"/>
      <c r="H712" s="58"/>
      <c r="I712" s="59"/>
      <c r="J712" s="59"/>
      <c r="K712" s="59"/>
      <c r="L712" s="5">
        <f t="shared" si="30"/>
        <v>0</v>
      </c>
    </row>
    <row r="713" spans="2:12" x14ac:dyDescent="0.3">
      <c r="B713" s="28" t="str">
        <f t="shared" ca="1" si="31"/>
        <v/>
      </c>
      <c r="C713" s="29" t="str">
        <f t="shared" ca="1" si="32"/>
        <v/>
      </c>
      <c r="D713" s="57"/>
      <c r="E713" s="57"/>
      <c r="F713" s="57"/>
      <c r="G713" s="58"/>
      <c r="H713" s="58"/>
      <c r="I713" s="59"/>
      <c r="J713" s="59"/>
      <c r="K713" s="59"/>
      <c r="L713" s="5">
        <f t="shared" si="30"/>
        <v>0</v>
      </c>
    </row>
    <row r="714" spans="2:12" x14ac:dyDescent="0.3">
      <c r="B714" s="28" t="str">
        <f t="shared" ca="1" si="31"/>
        <v/>
      </c>
      <c r="C714" s="29" t="str">
        <f t="shared" ca="1" si="32"/>
        <v/>
      </c>
      <c r="D714" s="57"/>
      <c r="E714" s="57"/>
      <c r="F714" s="57"/>
      <c r="G714" s="58"/>
      <c r="H714" s="58"/>
      <c r="I714" s="59"/>
      <c r="J714" s="59"/>
      <c r="K714" s="59"/>
      <c r="L714" s="5">
        <f t="shared" ref="L714:L777" si="33">J714-I714-K714</f>
        <v>0</v>
      </c>
    </row>
    <row r="715" spans="2:12" x14ac:dyDescent="0.3">
      <c r="B715" s="28" t="str">
        <f t="shared" ref="B715:B778" ca="1" si="34">IF(D715&lt;&gt;"",DATE(Jahr,_xlfn.SHEET()-2,D715),"")</f>
        <v/>
      </c>
      <c r="C715" s="29" t="str">
        <f t="shared" ref="C715:C778" ca="1" si="35">B715</f>
        <v/>
      </c>
      <c r="D715" s="57"/>
      <c r="E715" s="57"/>
      <c r="F715" s="57"/>
      <c r="G715" s="58"/>
      <c r="H715" s="58"/>
      <c r="I715" s="59"/>
      <c r="J715" s="59"/>
      <c r="K715" s="59"/>
      <c r="L715" s="5">
        <f t="shared" si="33"/>
        <v>0</v>
      </c>
    </row>
    <row r="716" spans="2:12" x14ac:dyDescent="0.3">
      <c r="B716" s="28" t="str">
        <f t="shared" ca="1" si="34"/>
        <v/>
      </c>
      <c r="C716" s="29" t="str">
        <f t="shared" ca="1" si="35"/>
        <v/>
      </c>
      <c r="D716" s="57"/>
      <c r="E716" s="57"/>
      <c r="F716" s="57"/>
      <c r="G716" s="58"/>
      <c r="H716" s="58"/>
      <c r="I716" s="59"/>
      <c r="J716" s="59"/>
      <c r="K716" s="59"/>
      <c r="L716" s="5">
        <f t="shared" si="33"/>
        <v>0</v>
      </c>
    </row>
    <row r="717" spans="2:12" x14ac:dyDescent="0.3">
      <c r="B717" s="28" t="str">
        <f t="shared" ca="1" si="34"/>
        <v/>
      </c>
      <c r="C717" s="29" t="str">
        <f t="shared" ca="1" si="35"/>
        <v/>
      </c>
      <c r="D717" s="57"/>
      <c r="E717" s="57"/>
      <c r="F717" s="57"/>
      <c r="G717" s="58"/>
      <c r="H717" s="58"/>
      <c r="I717" s="59"/>
      <c r="J717" s="59"/>
      <c r="K717" s="59"/>
      <c r="L717" s="5">
        <f t="shared" si="33"/>
        <v>0</v>
      </c>
    </row>
    <row r="718" spans="2:12" x14ac:dyDescent="0.3">
      <c r="B718" s="28" t="str">
        <f t="shared" ca="1" si="34"/>
        <v/>
      </c>
      <c r="C718" s="29" t="str">
        <f t="shared" ca="1" si="35"/>
        <v/>
      </c>
      <c r="D718" s="57"/>
      <c r="E718" s="57"/>
      <c r="F718" s="57"/>
      <c r="G718" s="58"/>
      <c r="H718" s="58"/>
      <c r="I718" s="59"/>
      <c r="J718" s="59"/>
      <c r="K718" s="59"/>
      <c r="L718" s="5">
        <f t="shared" si="33"/>
        <v>0</v>
      </c>
    </row>
    <row r="719" spans="2:12" x14ac:dyDescent="0.3">
      <c r="B719" s="28" t="str">
        <f t="shared" ca="1" si="34"/>
        <v/>
      </c>
      <c r="C719" s="29" t="str">
        <f t="shared" ca="1" si="35"/>
        <v/>
      </c>
      <c r="D719" s="57"/>
      <c r="E719" s="57"/>
      <c r="F719" s="57"/>
      <c r="G719" s="58"/>
      <c r="H719" s="58"/>
      <c r="I719" s="59"/>
      <c r="J719" s="59"/>
      <c r="K719" s="59"/>
      <c r="L719" s="5">
        <f t="shared" si="33"/>
        <v>0</v>
      </c>
    </row>
    <row r="720" spans="2:12" x14ac:dyDescent="0.3">
      <c r="B720" s="28" t="str">
        <f t="shared" ca="1" si="34"/>
        <v/>
      </c>
      <c r="C720" s="29" t="str">
        <f t="shared" ca="1" si="35"/>
        <v/>
      </c>
      <c r="D720" s="57"/>
      <c r="E720" s="57"/>
      <c r="F720" s="57"/>
      <c r="G720" s="58"/>
      <c r="H720" s="58"/>
      <c r="I720" s="59"/>
      <c r="J720" s="59"/>
      <c r="K720" s="59"/>
      <c r="L720" s="5">
        <f t="shared" si="33"/>
        <v>0</v>
      </c>
    </row>
    <row r="721" spans="2:12" x14ac:dyDescent="0.3">
      <c r="B721" s="28" t="str">
        <f t="shared" ca="1" si="34"/>
        <v/>
      </c>
      <c r="C721" s="29" t="str">
        <f t="shared" ca="1" si="35"/>
        <v/>
      </c>
      <c r="D721" s="57"/>
      <c r="E721" s="57"/>
      <c r="F721" s="57"/>
      <c r="G721" s="58"/>
      <c r="H721" s="58"/>
      <c r="I721" s="59"/>
      <c r="J721" s="59"/>
      <c r="K721" s="59"/>
      <c r="L721" s="5">
        <f t="shared" si="33"/>
        <v>0</v>
      </c>
    </row>
    <row r="722" spans="2:12" x14ac:dyDescent="0.3">
      <c r="B722" s="28" t="str">
        <f t="shared" ca="1" si="34"/>
        <v/>
      </c>
      <c r="C722" s="29" t="str">
        <f t="shared" ca="1" si="35"/>
        <v/>
      </c>
      <c r="D722" s="57"/>
      <c r="E722" s="57"/>
      <c r="F722" s="57"/>
      <c r="G722" s="58"/>
      <c r="H722" s="58"/>
      <c r="I722" s="59"/>
      <c r="J722" s="59"/>
      <c r="K722" s="59"/>
      <c r="L722" s="5">
        <f t="shared" si="33"/>
        <v>0</v>
      </c>
    </row>
    <row r="723" spans="2:12" x14ac:dyDescent="0.3">
      <c r="B723" s="28" t="str">
        <f t="shared" ca="1" si="34"/>
        <v/>
      </c>
      <c r="C723" s="29" t="str">
        <f t="shared" ca="1" si="35"/>
        <v/>
      </c>
      <c r="D723" s="57"/>
      <c r="E723" s="57"/>
      <c r="F723" s="57"/>
      <c r="G723" s="58"/>
      <c r="H723" s="58"/>
      <c r="I723" s="59"/>
      <c r="J723" s="59"/>
      <c r="K723" s="59"/>
      <c r="L723" s="5">
        <f t="shared" si="33"/>
        <v>0</v>
      </c>
    </row>
    <row r="724" spans="2:12" x14ac:dyDescent="0.3">
      <c r="B724" s="28" t="str">
        <f t="shared" ca="1" si="34"/>
        <v/>
      </c>
      <c r="C724" s="29" t="str">
        <f t="shared" ca="1" si="35"/>
        <v/>
      </c>
      <c r="D724" s="57"/>
      <c r="E724" s="57"/>
      <c r="F724" s="57"/>
      <c r="G724" s="58"/>
      <c r="H724" s="58"/>
      <c r="I724" s="59"/>
      <c r="J724" s="59"/>
      <c r="K724" s="59"/>
      <c r="L724" s="5">
        <f t="shared" si="33"/>
        <v>0</v>
      </c>
    </row>
    <row r="725" spans="2:12" x14ac:dyDescent="0.3">
      <c r="B725" s="28" t="str">
        <f t="shared" ca="1" si="34"/>
        <v/>
      </c>
      <c r="C725" s="29" t="str">
        <f t="shared" ca="1" si="35"/>
        <v/>
      </c>
      <c r="D725" s="57"/>
      <c r="E725" s="57"/>
      <c r="F725" s="57"/>
      <c r="G725" s="58"/>
      <c r="H725" s="58"/>
      <c r="I725" s="59"/>
      <c r="J725" s="59"/>
      <c r="K725" s="59"/>
      <c r="L725" s="5">
        <f t="shared" si="33"/>
        <v>0</v>
      </c>
    </row>
    <row r="726" spans="2:12" x14ac:dyDescent="0.3">
      <c r="B726" s="28" t="str">
        <f t="shared" ca="1" si="34"/>
        <v/>
      </c>
      <c r="C726" s="29" t="str">
        <f t="shared" ca="1" si="35"/>
        <v/>
      </c>
      <c r="D726" s="57"/>
      <c r="E726" s="57"/>
      <c r="F726" s="57"/>
      <c r="G726" s="58"/>
      <c r="H726" s="58"/>
      <c r="I726" s="59"/>
      <c r="J726" s="59"/>
      <c r="K726" s="59"/>
      <c r="L726" s="5">
        <f t="shared" si="33"/>
        <v>0</v>
      </c>
    </row>
    <row r="727" spans="2:12" x14ac:dyDescent="0.3">
      <c r="B727" s="28" t="str">
        <f t="shared" ca="1" si="34"/>
        <v/>
      </c>
      <c r="C727" s="29" t="str">
        <f t="shared" ca="1" si="35"/>
        <v/>
      </c>
      <c r="D727" s="57"/>
      <c r="E727" s="57"/>
      <c r="F727" s="57"/>
      <c r="G727" s="58"/>
      <c r="H727" s="58"/>
      <c r="I727" s="59"/>
      <c r="J727" s="59"/>
      <c r="K727" s="59"/>
      <c r="L727" s="5">
        <f t="shared" si="33"/>
        <v>0</v>
      </c>
    </row>
    <row r="728" spans="2:12" x14ac:dyDescent="0.3">
      <c r="B728" s="28" t="str">
        <f t="shared" ca="1" si="34"/>
        <v/>
      </c>
      <c r="C728" s="29" t="str">
        <f t="shared" ca="1" si="35"/>
        <v/>
      </c>
      <c r="D728" s="57"/>
      <c r="E728" s="57"/>
      <c r="F728" s="57"/>
      <c r="G728" s="58"/>
      <c r="H728" s="58"/>
      <c r="I728" s="59"/>
      <c r="J728" s="59"/>
      <c r="K728" s="59"/>
      <c r="L728" s="5">
        <f t="shared" si="33"/>
        <v>0</v>
      </c>
    </row>
    <row r="729" spans="2:12" x14ac:dyDescent="0.3">
      <c r="B729" s="28" t="str">
        <f t="shared" ca="1" si="34"/>
        <v/>
      </c>
      <c r="C729" s="29" t="str">
        <f t="shared" ca="1" si="35"/>
        <v/>
      </c>
      <c r="D729" s="57"/>
      <c r="E729" s="57"/>
      <c r="F729" s="57"/>
      <c r="G729" s="58"/>
      <c r="H729" s="58"/>
      <c r="I729" s="59"/>
      <c r="J729" s="59"/>
      <c r="K729" s="59"/>
      <c r="L729" s="5">
        <f t="shared" si="33"/>
        <v>0</v>
      </c>
    </row>
    <row r="730" spans="2:12" x14ac:dyDescent="0.3">
      <c r="B730" s="28" t="str">
        <f t="shared" ca="1" si="34"/>
        <v/>
      </c>
      <c r="C730" s="29" t="str">
        <f t="shared" ca="1" si="35"/>
        <v/>
      </c>
      <c r="D730" s="57"/>
      <c r="E730" s="57"/>
      <c r="F730" s="57"/>
      <c r="G730" s="58"/>
      <c r="H730" s="58"/>
      <c r="I730" s="59"/>
      <c r="J730" s="59"/>
      <c r="K730" s="59"/>
      <c r="L730" s="5">
        <f t="shared" si="33"/>
        <v>0</v>
      </c>
    </row>
    <row r="731" spans="2:12" x14ac:dyDescent="0.3">
      <c r="B731" s="28" t="str">
        <f t="shared" ca="1" si="34"/>
        <v/>
      </c>
      <c r="C731" s="29" t="str">
        <f t="shared" ca="1" si="35"/>
        <v/>
      </c>
      <c r="D731" s="57"/>
      <c r="E731" s="57"/>
      <c r="F731" s="57"/>
      <c r="G731" s="58"/>
      <c r="H731" s="58"/>
      <c r="I731" s="59"/>
      <c r="J731" s="59"/>
      <c r="K731" s="59"/>
      <c r="L731" s="5">
        <f t="shared" si="33"/>
        <v>0</v>
      </c>
    </row>
    <row r="732" spans="2:12" x14ac:dyDescent="0.3">
      <c r="B732" s="28" t="str">
        <f t="shared" ca="1" si="34"/>
        <v/>
      </c>
      <c r="C732" s="29" t="str">
        <f t="shared" ca="1" si="35"/>
        <v/>
      </c>
      <c r="D732" s="57"/>
      <c r="E732" s="57"/>
      <c r="F732" s="57"/>
      <c r="G732" s="58"/>
      <c r="H732" s="58"/>
      <c r="I732" s="59"/>
      <c r="J732" s="59"/>
      <c r="K732" s="59"/>
      <c r="L732" s="5">
        <f t="shared" si="33"/>
        <v>0</v>
      </c>
    </row>
    <row r="733" spans="2:12" x14ac:dyDescent="0.3">
      <c r="B733" s="28" t="str">
        <f t="shared" ca="1" si="34"/>
        <v/>
      </c>
      <c r="C733" s="29" t="str">
        <f t="shared" ca="1" si="35"/>
        <v/>
      </c>
      <c r="D733" s="57"/>
      <c r="E733" s="57"/>
      <c r="F733" s="57"/>
      <c r="G733" s="58"/>
      <c r="H733" s="58"/>
      <c r="I733" s="59"/>
      <c r="J733" s="59"/>
      <c r="K733" s="59"/>
      <c r="L733" s="5">
        <f t="shared" si="33"/>
        <v>0</v>
      </c>
    </row>
    <row r="734" spans="2:12" x14ac:dyDescent="0.3">
      <c r="B734" s="28" t="str">
        <f t="shared" ca="1" si="34"/>
        <v/>
      </c>
      <c r="C734" s="29" t="str">
        <f t="shared" ca="1" si="35"/>
        <v/>
      </c>
      <c r="D734" s="57"/>
      <c r="E734" s="57"/>
      <c r="F734" s="57"/>
      <c r="G734" s="58"/>
      <c r="H734" s="58"/>
      <c r="I734" s="59"/>
      <c r="J734" s="59"/>
      <c r="K734" s="59"/>
      <c r="L734" s="5">
        <f t="shared" si="33"/>
        <v>0</v>
      </c>
    </row>
    <row r="735" spans="2:12" x14ac:dyDescent="0.3">
      <c r="B735" s="28" t="str">
        <f t="shared" ca="1" si="34"/>
        <v/>
      </c>
      <c r="C735" s="29" t="str">
        <f t="shared" ca="1" si="35"/>
        <v/>
      </c>
      <c r="D735" s="57"/>
      <c r="E735" s="57"/>
      <c r="F735" s="57"/>
      <c r="G735" s="58"/>
      <c r="H735" s="58"/>
      <c r="I735" s="59"/>
      <c r="J735" s="59"/>
      <c r="K735" s="59"/>
      <c r="L735" s="5">
        <f t="shared" si="33"/>
        <v>0</v>
      </c>
    </row>
    <row r="736" spans="2:12" x14ac:dyDescent="0.3">
      <c r="B736" s="28" t="str">
        <f t="shared" ca="1" si="34"/>
        <v/>
      </c>
      <c r="C736" s="29" t="str">
        <f t="shared" ca="1" si="35"/>
        <v/>
      </c>
      <c r="D736" s="57"/>
      <c r="E736" s="57"/>
      <c r="F736" s="57"/>
      <c r="G736" s="58"/>
      <c r="H736" s="58"/>
      <c r="I736" s="59"/>
      <c r="J736" s="59"/>
      <c r="K736" s="59"/>
      <c r="L736" s="5">
        <f t="shared" si="33"/>
        <v>0</v>
      </c>
    </row>
    <row r="737" spans="2:12" x14ac:dyDescent="0.3">
      <c r="B737" s="28" t="str">
        <f t="shared" ca="1" si="34"/>
        <v/>
      </c>
      <c r="C737" s="29" t="str">
        <f t="shared" ca="1" si="35"/>
        <v/>
      </c>
      <c r="D737" s="57"/>
      <c r="E737" s="57"/>
      <c r="F737" s="57"/>
      <c r="G737" s="58"/>
      <c r="H737" s="58"/>
      <c r="I737" s="59"/>
      <c r="J737" s="59"/>
      <c r="K737" s="59"/>
      <c r="L737" s="5">
        <f t="shared" si="33"/>
        <v>0</v>
      </c>
    </row>
    <row r="738" spans="2:12" x14ac:dyDescent="0.3">
      <c r="B738" s="28" t="str">
        <f t="shared" ca="1" si="34"/>
        <v/>
      </c>
      <c r="C738" s="29" t="str">
        <f t="shared" ca="1" si="35"/>
        <v/>
      </c>
      <c r="D738" s="57"/>
      <c r="E738" s="57"/>
      <c r="F738" s="57"/>
      <c r="G738" s="58"/>
      <c r="H738" s="58"/>
      <c r="I738" s="59"/>
      <c r="J738" s="59"/>
      <c r="K738" s="59"/>
      <c r="L738" s="5">
        <f t="shared" si="33"/>
        <v>0</v>
      </c>
    </row>
    <row r="739" spans="2:12" x14ac:dyDescent="0.3">
      <c r="B739" s="28" t="str">
        <f t="shared" ca="1" si="34"/>
        <v/>
      </c>
      <c r="C739" s="29" t="str">
        <f t="shared" ca="1" si="35"/>
        <v/>
      </c>
      <c r="D739" s="57"/>
      <c r="E739" s="57"/>
      <c r="F739" s="57"/>
      <c r="G739" s="58"/>
      <c r="H739" s="58"/>
      <c r="I739" s="59"/>
      <c r="J739" s="59"/>
      <c r="K739" s="59"/>
      <c r="L739" s="5">
        <f t="shared" si="33"/>
        <v>0</v>
      </c>
    </row>
    <row r="740" spans="2:12" x14ac:dyDescent="0.3">
      <c r="B740" s="28" t="str">
        <f t="shared" ca="1" si="34"/>
        <v/>
      </c>
      <c r="C740" s="29" t="str">
        <f t="shared" ca="1" si="35"/>
        <v/>
      </c>
      <c r="D740" s="57"/>
      <c r="E740" s="57"/>
      <c r="F740" s="57"/>
      <c r="G740" s="58"/>
      <c r="H740" s="58"/>
      <c r="I740" s="59"/>
      <c r="J740" s="59"/>
      <c r="K740" s="59"/>
      <c r="L740" s="5">
        <f t="shared" si="33"/>
        <v>0</v>
      </c>
    </row>
    <row r="741" spans="2:12" x14ac:dyDescent="0.3">
      <c r="B741" s="28" t="str">
        <f t="shared" ca="1" si="34"/>
        <v/>
      </c>
      <c r="C741" s="29" t="str">
        <f t="shared" ca="1" si="35"/>
        <v/>
      </c>
      <c r="D741" s="57"/>
      <c r="E741" s="57"/>
      <c r="F741" s="57"/>
      <c r="G741" s="58"/>
      <c r="H741" s="58"/>
      <c r="I741" s="59"/>
      <c r="J741" s="59"/>
      <c r="K741" s="59"/>
      <c r="L741" s="5">
        <f t="shared" si="33"/>
        <v>0</v>
      </c>
    </row>
    <row r="742" spans="2:12" x14ac:dyDescent="0.3">
      <c r="B742" s="28" t="str">
        <f t="shared" ca="1" si="34"/>
        <v/>
      </c>
      <c r="C742" s="29" t="str">
        <f t="shared" ca="1" si="35"/>
        <v/>
      </c>
      <c r="D742" s="57"/>
      <c r="E742" s="57"/>
      <c r="F742" s="57"/>
      <c r="G742" s="58"/>
      <c r="H742" s="58"/>
      <c r="I742" s="59"/>
      <c r="J742" s="59"/>
      <c r="K742" s="59"/>
      <c r="L742" s="5">
        <f t="shared" si="33"/>
        <v>0</v>
      </c>
    </row>
    <row r="743" spans="2:12" x14ac:dyDescent="0.3">
      <c r="B743" s="28" t="str">
        <f t="shared" ca="1" si="34"/>
        <v/>
      </c>
      <c r="C743" s="29" t="str">
        <f t="shared" ca="1" si="35"/>
        <v/>
      </c>
      <c r="D743" s="57"/>
      <c r="E743" s="57"/>
      <c r="F743" s="57"/>
      <c r="G743" s="58"/>
      <c r="H743" s="58"/>
      <c r="I743" s="59"/>
      <c r="J743" s="59"/>
      <c r="K743" s="59"/>
      <c r="L743" s="5">
        <f t="shared" si="33"/>
        <v>0</v>
      </c>
    </row>
    <row r="744" spans="2:12" x14ac:dyDescent="0.3">
      <c r="B744" s="28" t="str">
        <f t="shared" ca="1" si="34"/>
        <v/>
      </c>
      <c r="C744" s="29" t="str">
        <f t="shared" ca="1" si="35"/>
        <v/>
      </c>
      <c r="D744" s="57"/>
      <c r="E744" s="57"/>
      <c r="F744" s="57"/>
      <c r="G744" s="58"/>
      <c r="H744" s="58"/>
      <c r="I744" s="59"/>
      <c r="J744" s="59"/>
      <c r="K744" s="59"/>
      <c r="L744" s="5">
        <f t="shared" si="33"/>
        <v>0</v>
      </c>
    </row>
    <row r="745" spans="2:12" x14ac:dyDescent="0.3">
      <c r="B745" s="28" t="str">
        <f t="shared" ca="1" si="34"/>
        <v/>
      </c>
      <c r="C745" s="29" t="str">
        <f t="shared" ca="1" si="35"/>
        <v/>
      </c>
      <c r="D745" s="57"/>
      <c r="E745" s="57"/>
      <c r="F745" s="57"/>
      <c r="G745" s="58"/>
      <c r="H745" s="58"/>
      <c r="I745" s="59"/>
      <c r="J745" s="59"/>
      <c r="K745" s="59"/>
      <c r="L745" s="5">
        <f t="shared" si="33"/>
        <v>0</v>
      </c>
    </row>
    <row r="746" spans="2:12" x14ac:dyDescent="0.3">
      <c r="B746" s="28" t="str">
        <f t="shared" ca="1" si="34"/>
        <v/>
      </c>
      <c r="C746" s="29" t="str">
        <f t="shared" ca="1" si="35"/>
        <v/>
      </c>
      <c r="D746" s="57"/>
      <c r="E746" s="57"/>
      <c r="F746" s="57"/>
      <c r="G746" s="58"/>
      <c r="H746" s="58"/>
      <c r="I746" s="59"/>
      <c r="J746" s="59"/>
      <c r="K746" s="59"/>
      <c r="L746" s="5">
        <f t="shared" si="33"/>
        <v>0</v>
      </c>
    </row>
    <row r="747" spans="2:12" x14ac:dyDescent="0.3">
      <c r="B747" s="28" t="str">
        <f t="shared" ca="1" si="34"/>
        <v/>
      </c>
      <c r="C747" s="29" t="str">
        <f t="shared" ca="1" si="35"/>
        <v/>
      </c>
      <c r="D747" s="57"/>
      <c r="E747" s="57"/>
      <c r="F747" s="57"/>
      <c r="G747" s="58"/>
      <c r="H747" s="58"/>
      <c r="I747" s="59"/>
      <c r="J747" s="59"/>
      <c r="K747" s="59"/>
      <c r="L747" s="5">
        <f t="shared" si="33"/>
        <v>0</v>
      </c>
    </row>
    <row r="748" spans="2:12" x14ac:dyDescent="0.3">
      <c r="B748" s="28" t="str">
        <f t="shared" ca="1" si="34"/>
        <v/>
      </c>
      <c r="C748" s="29" t="str">
        <f t="shared" ca="1" si="35"/>
        <v/>
      </c>
      <c r="D748" s="57"/>
      <c r="E748" s="57"/>
      <c r="F748" s="57"/>
      <c r="G748" s="58"/>
      <c r="H748" s="58"/>
      <c r="I748" s="59"/>
      <c r="J748" s="59"/>
      <c r="K748" s="59"/>
      <c r="L748" s="5">
        <f t="shared" si="33"/>
        <v>0</v>
      </c>
    </row>
    <row r="749" spans="2:12" x14ac:dyDescent="0.3">
      <c r="B749" s="28" t="str">
        <f t="shared" ca="1" si="34"/>
        <v/>
      </c>
      <c r="C749" s="29" t="str">
        <f t="shared" ca="1" si="35"/>
        <v/>
      </c>
      <c r="D749" s="57"/>
      <c r="E749" s="57"/>
      <c r="F749" s="57"/>
      <c r="G749" s="58"/>
      <c r="H749" s="58"/>
      <c r="I749" s="59"/>
      <c r="J749" s="59"/>
      <c r="K749" s="59"/>
      <c r="L749" s="5">
        <f t="shared" si="33"/>
        <v>0</v>
      </c>
    </row>
    <row r="750" spans="2:12" x14ac:dyDescent="0.3">
      <c r="B750" s="28" t="str">
        <f t="shared" ca="1" si="34"/>
        <v/>
      </c>
      <c r="C750" s="29" t="str">
        <f t="shared" ca="1" si="35"/>
        <v/>
      </c>
      <c r="D750" s="57"/>
      <c r="E750" s="57"/>
      <c r="F750" s="57"/>
      <c r="G750" s="58"/>
      <c r="H750" s="58"/>
      <c r="I750" s="59"/>
      <c r="J750" s="59"/>
      <c r="K750" s="59"/>
      <c r="L750" s="5">
        <f t="shared" si="33"/>
        <v>0</v>
      </c>
    </row>
    <row r="751" spans="2:12" x14ac:dyDescent="0.3">
      <c r="B751" s="28" t="str">
        <f t="shared" ca="1" si="34"/>
        <v/>
      </c>
      <c r="C751" s="29" t="str">
        <f t="shared" ca="1" si="35"/>
        <v/>
      </c>
      <c r="D751" s="57"/>
      <c r="E751" s="57"/>
      <c r="F751" s="57"/>
      <c r="G751" s="58"/>
      <c r="H751" s="58"/>
      <c r="I751" s="59"/>
      <c r="J751" s="59"/>
      <c r="K751" s="59"/>
      <c r="L751" s="5">
        <f t="shared" si="33"/>
        <v>0</v>
      </c>
    </row>
    <row r="752" spans="2:12" x14ac:dyDescent="0.3">
      <c r="B752" s="28" t="str">
        <f t="shared" ca="1" si="34"/>
        <v/>
      </c>
      <c r="C752" s="29" t="str">
        <f t="shared" ca="1" si="35"/>
        <v/>
      </c>
      <c r="D752" s="57"/>
      <c r="E752" s="57"/>
      <c r="F752" s="57"/>
      <c r="G752" s="58"/>
      <c r="H752" s="58"/>
      <c r="I752" s="59"/>
      <c r="J752" s="59"/>
      <c r="K752" s="59"/>
      <c r="L752" s="5">
        <f t="shared" si="33"/>
        <v>0</v>
      </c>
    </row>
    <row r="753" spans="2:12" x14ac:dyDescent="0.3">
      <c r="B753" s="28" t="str">
        <f t="shared" ca="1" si="34"/>
        <v/>
      </c>
      <c r="C753" s="29" t="str">
        <f t="shared" ca="1" si="35"/>
        <v/>
      </c>
      <c r="D753" s="57"/>
      <c r="E753" s="57"/>
      <c r="F753" s="57"/>
      <c r="G753" s="58"/>
      <c r="H753" s="58"/>
      <c r="I753" s="59"/>
      <c r="J753" s="59"/>
      <c r="K753" s="59"/>
      <c r="L753" s="5">
        <f t="shared" si="33"/>
        <v>0</v>
      </c>
    </row>
    <row r="754" spans="2:12" x14ac:dyDescent="0.3">
      <c r="B754" s="28" t="str">
        <f t="shared" ca="1" si="34"/>
        <v/>
      </c>
      <c r="C754" s="29" t="str">
        <f t="shared" ca="1" si="35"/>
        <v/>
      </c>
      <c r="D754" s="57"/>
      <c r="E754" s="57"/>
      <c r="F754" s="57"/>
      <c r="G754" s="58"/>
      <c r="H754" s="58"/>
      <c r="I754" s="59"/>
      <c r="J754" s="59"/>
      <c r="K754" s="59"/>
      <c r="L754" s="5">
        <f t="shared" si="33"/>
        <v>0</v>
      </c>
    </row>
    <row r="755" spans="2:12" x14ac:dyDescent="0.3">
      <c r="B755" s="28" t="str">
        <f t="shared" ca="1" si="34"/>
        <v/>
      </c>
      <c r="C755" s="29" t="str">
        <f t="shared" ca="1" si="35"/>
        <v/>
      </c>
      <c r="D755" s="57"/>
      <c r="E755" s="57"/>
      <c r="F755" s="57"/>
      <c r="G755" s="58"/>
      <c r="H755" s="58"/>
      <c r="I755" s="59"/>
      <c r="J755" s="59"/>
      <c r="K755" s="59"/>
      <c r="L755" s="5">
        <f t="shared" si="33"/>
        <v>0</v>
      </c>
    </row>
    <row r="756" spans="2:12" x14ac:dyDescent="0.3">
      <c r="B756" s="28" t="str">
        <f t="shared" ca="1" si="34"/>
        <v/>
      </c>
      <c r="C756" s="29" t="str">
        <f t="shared" ca="1" si="35"/>
        <v/>
      </c>
      <c r="D756" s="57"/>
      <c r="E756" s="57"/>
      <c r="F756" s="57"/>
      <c r="G756" s="58"/>
      <c r="H756" s="58"/>
      <c r="I756" s="59"/>
      <c r="J756" s="59"/>
      <c r="K756" s="59"/>
      <c r="L756" s="5">
        <f t="shared" si="33"/>
        <v>0</v>
      </c>
    </row>
    <row r="757" spans="2:12" x14ac:dyDescent="0.3">
      <c r="B757" s="28" t="str">
        <f t="shared" ca="1" si="34"/>
        <v/>
      </c>
      <c r="C757" s="29" t="str">
        <f t="shared" ca="1" si="35"/>
        <v/>
      </c>
      <c r="D757" s="57"/>
      <c r="E757" s="57"/>
      <c r="F757" s="57"/>
      <c r="G757" s="58"/>
      <c r="H757" s="58"/>
      <c r="I757" s="59"/>
      <c r="J757" s="59"/>
      <c r="K757" s="59"/>
      <c r="L757" s="5">
        <f t="shared" si="33"/>
        <v>0</v>
      </c>
    </row>
    <row r="758" spans="2:12" x14ac:dyDescent="0.3">
      <c r="B758" s="28" t="str">
        <f t="shared" ca="1" si="34"/>
        <v/>
      </c>
      <c r="C758" s="29" t="str">
        <f t="shared" ca="1" si="35"/>
        <v/>
      </c>
      <c r="D758" s="57"/>
      <c r="E758" s="57"/>
      <c r="F758" s="57"/>
      <c r="G758" s="58"/>
      <c r="H758" s="58"/>
      <c r="I758" s="59"/>
      <c r="J758" s="59"/>
      <c r="K758" s="59"/>
      <c r="L758" s="5">
        <f t="shared" si="33"/>
        <v>0</v>
      </c>
    </row>
    <row r="759" spans="2:12" x14ac:dyDescent="0.3">
      <c r="B759" s="28" t="str">
        <f t="shared" ca="1" si="34"/>
        <v/>
      </c>
      <c r="C759" s="29" t="str">
        <f t="shared" ca="1" si="35"/>
        <v/>
      </c>
      <c r="D759" s="57"/>
      <c r="E759" s="57"/>
      <c r="F759" s="57"/>
      <c r="G759" s="58"/>
      <c r="H759" s="58"/>
      <c r="I759" s="59"/>
      <c r="J759" s="59"/>
      <c r="K759" s="59"/>
      <c r="L759" s="5">
        <f t="shared" si="33"/>
        <v>0</v>
      </c>
    </row>
    <row r="760" spans="2:12" x14ac:dyDescent="0.3">
      <c r="B760" s="28" t="str">
        <f t="shared" ca="1" si="34"/>
        <v/>
      </c>
      <c r="C760" s="29" t="str">
        <f t="shared" ca="1" si="35"/>
        <v/>
      </c>
      <c r="D760" s="57"/>
      <c r="E760" s="57"/>
      <c r="F760" s="57"/>
      <c r="G760" s="58"/>
      <c r="H760" s="58"/>
      <c r="I760" s="59"/>
      <c r="J760" s="59"/>
      <c r="K760" s="59"/>
      <c r="L760" s="5">
        <f t="shared" si="33"/>
        <v>0</v>
      </c>
    </row>
    <row r="761" spans="2:12" x14ac:dyDescent="0.3">
      <c r="B761" s="28" t="str">
        <f t="shared" ca="1" si="34"/>
        <v/>
      </c>
      <c r="C761" s="29" t="str">
        <f t="shared" ca="1" si="35"/>
        <v/>
      </c>
      <c r="D761" s="57"/>
      <c r="E761" s="57"/>
      <c r="F761" s="57"/>
      <c r="G761" s="58"/>
      <c r="H761" s="58"/>
      <c r="I761" s="59"/>
      <c r="J761" s="59"/>
      <c r="K761" s="59"/>
      <c r="L761" s="5">
        <f t="shared" si="33"/>
        <v>0</v>
      </c>
    </row>
    <row r="762" spans="2:12" x14ac:dyDescent="0.3">
      <c r="B762" s="28" t="str">
        <f t="shared" ca="1" si="34"/>
        <v/>
      </c>
      <c r="C762" s="29" t="str">
        <f t="shared" ca="1" si="35"/>
        <v/>
      </c>
      <c r="D762" s="57"/>
      <c r="E762" s="57"/>
      <c r="F762" s="57"/>
      <c r="G762" s="58"/>
      <c r="H762" s="58"/>
      <c r="I762" s="59"/>
      <c r="J762" s="59"/>
      <c r="K762" s="59"/>
      <c r="L762" s="5">
        <f t="shared" si="33"/>
        <v>0</v>
      </c>
    </row>
    <row r="763" spans="2:12" x14ac:dyDescent="0.3">
      <c r="B763" s="28" t="str">
        <f t="shared" ca="1" si="34"/>
        <v/>
      </c>
      <c r="C763" s="29" t="str">
        <f t="shared" ca="1" si="35"/>
        <v/>
      </c>
      <c r="D763" s="57"/>
      <c r="E763" s="57"/>
      <c r="F763" s="57"/>
      <c r="G763" s="58"/>
      <c r="H763" s="58"/>
      <c r="I763" s="59"/>
      <c r="J763" s="59"/>
      <c r="K763" s="59"/>
      <c r="L763" s="5">
        <f t="shared" si="33"/>
        <v>0</v>
      </c>
    </row>
    <row r="764" spans="2:12" x14ac:dyDescent="0.3">
      <c r="B764" s="28" t="str">
        <f t="shared" ca="1" si="34"/>
        <v/>
      </c>
      <c r="C764" s="29" t="str">
        <f t="shared" ca="1" si="35"/>
        <v/>
      </c>
      <c r="D764" s="57"/>
      <c r="E764" s="57"/>
      <c r="F764" s="57"/>
      <c r="G764" s="58"/>
      <c r="H764" s="58"/>
      <c r="I764" s="59"/>
      <c r="J764" s="59"/>
      <c r="K764" s="59"/>
      <c r="L764" s="5">
        <f t="shared" si="33"/>
        <v>0</v>
      </c>
    </row>
    <row r="765" spans="2:12" x14ac:dyDescent="0.3">
      <c r="B765" s="28" t="str">
        <f t="shared" ca="1" si="34"/>
        <v/>
      </c>
      <c r="C765" s="29" t="str">
        <f t="shared" ca="1" si="35"/>
        <v/>
      </c>
      <c r="D765" s="57"/>
      <c r="E765" s="57"/>
      <c r="F765" s="57"/>
      <c r="G765" s="58"/>
      <c r="H765" s="58"/>
      <c r="I765" s="59"/>
      <c r="J765" s="59"/>
      <c r="K765" s="59"/>
      <c r="L765" s="5">
        <f t="shared" si="33"/>
        <v>0</v>
      </c>
    </row>
    <row r="766" spans="2:12" x14ac:dyDescent="0.3">
      <c r="B766" s="28" t="str">
        <f t="shared" ca="1" si="34"/>
        <v/>
      </c>
      <c r="C766" s="29" t="str">
        <f t="shared" ca="1" si="35"/>
        <v/>
      </c>
      <c r="D766" s="57"/>
      <c r="E766" s="57"/>
      <c r="F766" s="57"/>
      <c r="G766" s="58"/>
      <c r="H766" s="58"/>
      <c r="I766" s="59"/>
      <c r="J766" s="59"/>
      <c r="K766" s="59"/>
      <c r="L766" s="5">
        <f t="shared" si="33"/>
        <v>0</v>
      </c>
    </row>
    <row r="767" spans="2:12" x14ac:dyDescent="0.3">
      <c r="B767" s="28" t="str">
        <f t="shared" ca="1" si="34"/>
        <v/>
      </c>
      <c r="C767" s="29" t="str">
        <f t="shared" ca="1" si="35"/>
        <v/>
      </c>
      <c r="D767" s="57"/>
      <c r="E767" s="57"/>
      <c r="F767" s="57"/>
      <c r="G767" s="58"/>
      <c r="H767" s="58"/>
      <c r="I767" s="59"/>
      <c r="J767" s="59"/>
      <c r="K767" s="59"/>
      <c r="L767" s="5">
        <f t="shared" si="33"/>
        <v>0</v>
      </c>
    </row>
    <row r="768" spans="2:12" x14ac:dyDescent="0.3">
      <c r="B768" s="28" t="str">
        <f t="shared" ca="1" si="34"/>
        <v/>
      </c>
      <c r="C768" s="29" t="str">
        <f t="shared" ca="1" si="35"/>
        <v/>
      </c>
      <c r="D768" s="57"/>
      <c r="E768" s="57"/>
      <c r="F768" s="57"/>
      <c r="G768" s="58"/>
      <c r="H768" s="58"/>
      <c r="I768" s="59"/>
      <c r="J768" s="59"/>
      <c r="K768" s="59"/>
      <c r="L768" s="5">
        <f t="shared" si="33"/>
        <v>0</v>
      </c>
    </row>
    <row r="769" spans="2:12" x14ac:dyDescent="0.3">
      <c r="B769" s="28" t="str">
        <f t="shared" ca="1" si="34"/>
        <v/>
      </c>
      <c r="C769" s="29" t="str">
        <f t="shared" ca="1" si="35"/>
        <v/>
      </c>
      <c r="D769" s="57"/>
      <c r="E769" s="57"/>
      <c r="F769" s="57"/>
      <c r="G769" s="58"/>
      <c r="H769" s="58"/>
      <c r="I769" s="59"/>
      <c r="J769" s="59"/>
      <c r="K769" s="59"/>
      <c r="L769" s="5">
        <f t="shared" si="33"/>
        <v>0</v>
      </c>
    </row>
    <row r="770" spans="2:12" x14ac:dyDescent="0.3">
      <c r="B770" s="28" t="str">
        <f t="shared" ca="1" si="34"/>
        <v/>
      </c>
      <c r="C770" s="29" t="str">
        <f t="shared" ca="1" si="35"/>
        <v/>
      </c>
      <c r="D770" s="57"/>
      <c r="E770" s="57"/>
      <c r="F770" s="57"/>
      <c r="G770" s="58"/>
      <c r="H770" s="58"/>
      <c r="I770" s="59"/>
      <c r="J770" s="59"/>
      <c r="K770" s="59"/>
      <c r="L770" s="5">
        <f t="shared" si="33"/>
        <v>0</v>
      </c>
    </row>
    <row r="771" spans="2:12" x14ac:dyDescent="0.3">
      <c r="B771" s="28" t="str">
        <f t="shared" ca="1" si="34"/>
        <v/>
      </c>
      <c r="C771" s="29" t="str">
        <f t="shared" ca="1" si="35"/>
        <v/>
      </c>
      <c r="D771" s="57"/>
      <c r="E771" s="57"/>
      <c r="F771" s="57"/>
      <c r="G771" s="58"/>
      <c r="H771" s="58"/>
      <c r="I771" s="59"/>
      <c r="J771" s="59"/>
      <c r="K771" s="59"/>
      <c r="L771" s="5">
        <f t="shared" si="33"/>
        <v>0</v>
      </c>
    </row>
    <row r="772" spans="2:12" x14ac:dyDescent="0.3">
      <c r="B772" s="28" t="str">
        <f t="shared" ca="1" si="34"/>
        <v/>
      </c>
      <c r="C772" s="29" t="str">
        <f t="shared" ca="1" si="35"/>
        <v/>
      </c>
      <c r="D772" s="57"/>
      <c r="E772" s="57"/>
      <c r="F772" s="57"/>
      <c r="G772" s="58"/>
      <c r="H772" s="58"/>
      <c r="I772" s="59"/>
      <c r="J772" s="59"/>
      <c r="K772" s="59"/>
      <c r="L772" s="5">
        <f t="shared" si="33"/>
        <v>0</v>
      </c>
    </row>
    <row r="773" spans="2:12" x14ac:dyDescent="0.3">
      <c r="B773" s="28" t="str">
        <f t="shared" ca="1" si="34"/>
        <v/>
      </c>
      <c r="C773" s="29" t="str">
        <f t="shared" ca="1" si="35"/>
        <v/>
      </c>
      <c r="D773" s="57"/>
      <c r="E773" s="57"/>
      <c r="F773" s="57"/>
      <c r="G773" s="58"/>
      <c r="H773" s="58"/>
      <c r="I773" s="59"/>
      <c r="J773" s="59"/>
      <c r="K773" s="59"/>
      <c r="L773" s="5">
        <f t="shared" si="33"/>
        <v>0</v>
      </c>
    </row>
    <row r="774" spans="2:12" x14ac:dyDescent="0.3">
      <c r="B774" s="28" t="str">
        <f t="shared" ca="1" si="34"/>
        <v/>
      </c>
      <c r="C774" s="29" t="str">
        <f t="shared" ca="1" si="35"/>
        <v/>
      </c>
      <c r="D774" s="57"/>
      <c r="E774" s="57"/>
      <c r="F774" s="57"/>
      <c r="G774" s="58"/>
      <c r="H774" s="58"/>
      <c r="I774" s="59"/>
      <c r="J774" s="59"/>
      <c r="K774" s="59"/>
      <c r="L774" s="5">
        <f t="shared" si="33"/>
        <v>0</v>
      </c>
    </row>
    <row r="775" spans="2:12" x14ac:dyDescent="0.3">
      <c r="B775" s="28" t="str">
        <f t="shared" ca="1" si="34"/>
        <v/>
      </c>
      <c r="C775" s="29" t="str">
        <f t="shared" ca="1" si="35"/>
        <v/>
      </c>
      <c r="D775" s="57"/>
      <c r="E775" s="57"/>
      <c r="F775" s="57"/>
      <c r="G775" s="58"/>
      <c r="H775" s="58"/>
      <c r="I775" s="59"/>
      <c r="J775" s="59"/>
      <c r="K775" s="59"/>
      <c r="L775" s="5">
        <f t="shared" si="33"/>
        <v>0</v>
      </c>
    </row>
    <row r="776" spans="2:12" x14ac:dyDescent="0.3">
      <c r="B776" s="28" t="str">
        <f t="shared" ca="1" si="34"/>
        <v/>
      </c>
      <c r="C776" s="29" t="str">
        <f t="shared" ca="1" si="35"/>
        <v/>
      </c>
      <c r="D776" s="57"/>
      <c r="E776" s="57"/>
      <c r="F776" s="57"/>
      <c r="G776" s="58"/>
      <c r="H776" s="58"/>
      <c r="I776" s="59"/>
      <c r="J776" s="59"/>
      <c r="K776" s="59"/>
      <c r="L776" s="5">
        <f t="shared" si="33"/>
        <v>0</v>
      </c>
    </row>
    <row r="777" spans="2:12" x14ac:dyDescent="0.3">
      <c r="B777" s="28" t="str">
        <f t="shared" ca="1" si="34"/>
        <v/>
      </c>
      <c r="C777" s="29" t="str">
        <f t="shared" ca="1" si="35"/>
        <v/>
      </c>
      <c r="D777" s="57"/>
      <c r="E777" s="57"/>
      <c r="F777" s="57"/>
      <c r="G777" s="58"/>
      <c r="H777" s="58"/>
      <c r="I777" s="59"/>
      <c r="J777" s="59"/>
      <c r="K777" s="59"/>
      <c r="L777" s="5">
        <f t="shared" si="33"/>
        <v>0</v>
      </c>
    </row>
    <row r="778" spans="2:12" x14ac:dyDescent="0.3">
      <c r="B778" s="28" t="str">
        <f t="shared" ca="1" si="34"/>
        <v/>
      </c>
      <c r="C778" s="29" t="str">
        <f t="shared" ca="1" si="35"/>
        <v/>
      </c>
      <c r="D778" s="57"/>
      <c r="E778" s="57"/>
      <c r="F778" s="57"/>
      <c r="G778" s="58"/>
      <c r="H778" s="58"/>
      <c r="I778" s="59"/>
      <c r="J778" s="59"/>
      <c r="K778" s="59"/>
      <c r="L778" s="5">
        <f t="shared" ref="L778:L841" si="36">J778-I778-K778</f>
        <v>0</v>
      </c>
    </row>
    <row r="779" spans="2:12" x14ac:dyDescent="0.3">
      <c r="B779" s="28" t="str">
        <f t="shared" ref="B779:B842" ca="1" si="37">IF(D779&lt;&gt;"",DATE(Jahr,_xlfn.SHEET()-2,D779),"")</f>
        <v/>
      </c>
      <c r="C779" s="29" t="str">
        <f t="shared" ref="C779:C842" ca="1" si="38">B779</f>
        <v/>
      </c>
      <c r="D779" s="57"/>
      <c r="E779" s="57"/>
      <c r="F779" s="57"/>
      <c r="G779" s="58"/>
      <c r="H779" s="58"/>
      <c r="I779" s="59"/>
      <c r="J779" s="59"/>
      <c r="K779" s="59"/>
      <c r="L779" s="5">
        <f t="shared" si="36"/>
        <v>0</v>
      </c>
    </row>
    <row r="780" spans="2:12" x14ac:dyDescent="0.3">
      <c r="B780" s="28" t="str">
        <f t="shared" ca="1" si="37"/>
        <v/>
      </c>
      <c r="C780" s="29" t="str">
        <f t="shared" ca="1" si="38"/>
        <v/>
      </c>
      <c r="D780" s="57"/>
      <c r="E780" s="57"/>
      <c r="F780" s="57"/>
      <c r="G780" s="58"/>
      <c r="H780" s="58"/>
      <c r="I780" s="59"/>
      <c r="J780" s="59"/>
      <c r="K780" s="59"/>
      <c r="L780" s="5">
        <f t="shared" si="36"/>
        <v>0</v>
      </c>
    </row>
    <row r="781" spans="2:12" x14ac:dyDescent="0.3">
      <c r="B781" s="28" t="str">
        <f t="shared" ca="1" si="37"/>
        <v/>
      </c>
      <c r="C781" s="29" t="str">
        <f t="shared" ca="1" si="38"/>
        <v/>
      </c>
      <c r="D781" s="57"/>
      <c r="E781" s="57"/>
      <c r="F781" s="57"/>
      <c r="G781" s="58"/>
      <c r="H781" s="58"/>
      <c r="I781" s="59"/>
      <c r="J781" s="59"/>
      <c r="K781" s="59"/>
      <c r="L781" s="5">
        <f t="shared" si="36"/>
        <v>0</v>
      </c>
    </row>
    <row r="782" spans="2:12" x14ac:dyDescent="0.3">
      <c r="B782" s="28" t="str">
        <f t="shared" ca="1" si="37"/>
        <v/>
      </c>
      <c r="C782" s="29" t="str">
        <f t="shared" ca="1" si="38"/>
        <v/>
      </c>
      <c r="D782" s="57"/>
      <c r="E782" s="57"/>
      <c r="F782" s="57"/>
      <c r="G782" s="58"/>
      <c r="H782" s="58"/>
      <c r="I782" s="59"/>
      <c r="J782" s="59"/>
      <c r="K782" s="59"/>
      <c r="L782" s="5">
        <f t="shared" si="36"/>
        <v>0</v>
      </c>
    </row>
    <row r="783" spans="2:12" x14ac:dyDescent="0.3">
      <c r="B783" s="28" t="str">
        <f t="shared" ca="1" si="37"/>
        <v/>
      </c>
      <c r="C783" s="29" t="str">
        <f t="shared" ca="1" si="38"/>
        <v/>
      </c>
      <c r="D783" s="57"/>
      <c r="E783" s="57"/>
      <c r="F783" s="57"/>
      <c r="G783" s="58"/>
      <c r="H783" s="58"/>
      <c r="I783" s="59"/>
      <c r="J783" s="59"/>
      <c r="K783" s="59"/>
      <c r="L783" s="5">
        <f t="shared" si="36"/>
        <v>0</v>
      </c>
    </row>
    <row r="784" spans="2:12" x14ac:dyDescent="0.3">
      <c r="B784" s="28" t="str">
        <f t="shared" ca="1" si="37"/>
        <v/>
      </c>
      <c r="C784" s="29" t="str">
        <f t="shared" ca="1" si="38"/>
        <v/>
      </c>
      <c r="D784" s="57"/>
      <c r="E784" s="57"/>
      <c r="F784" s="57"/>
      <c r="G784" s="58"/>
      <c r="H784" s="58"/>
      <c r="I784" s="59"/>
      <c r="J784" s="59"/>
      <c r="K784" s="59"/>
      <c r="L784" s="5">
        <f t="shared" si="36"/>
        <v>0</v>
      </c>
    </row>
    <row r="785" spans="2:12" x14ac:dyDescent="0.3">
      <c r="B785" s="28" t="str">
        <f t="shared" ca="1" si="37"/>
        <v/>
      </c>
      <c r="C785" s="29" t="str">
        <f t="shared" ca="1" si="38"/>
        <v/>
      </c>
      <c r="D785" s="57"/>
      <c r="E785" s="57"/>
      <c r="F785" s="57"/>
      <c r="G785" s="58"/>
      <c r="H785" s="58"/>
      <c r="I785" s="59"/>
      <c r="J785" s="59"/>
      <c r="K785" s="59"/>
      <c r="L785" s="5">
        <f t="shared" si="36"/>
        <v>0</v>
      </c>
    </row>
    <row r="786" spans="2:12" x14ac:dyDescent="0.3">
      <c r="B786" s="28" t="str">
        <f t="shared" ca="1" si="37"/>
        <v/>
      </c>
      <c r="C786" s="29" t="str">
        <f t="shared" ca="1" si="38"/>
        <v/>
      </c>
      <c r="D786" s="57"/>
      <c r="E786" s="57"/>
      <c r="F786" s="57"/>
      <c r="G786" s="58"/>
      <c r="H786" s="58"/>
      <c r="I786" s="59"/>
      <c r="J786" s="59"/>
      <c r="K786" s="59"/>
      <c r="L786" s="5">
        <f t="shared" si="36"/>
        <v>0</v>
      </c>
    </row>
    <row r="787" spans="2:12" x14ac:dyDescent="0.3">
      <c r="B787" s="28" t="str">
        <f t="shared" ca="1" si="37"/>
        <v/>
      </c>
      <c r="C787" s="29" t="str">
        <f t="shared" ca="1" si="38"/>
        <v/>
      </c>
      <c r="D787" s="57"/>
      <c r="E787" s="57"/>
      <c r="F787" s="57"/>
      <c r="G787" s="58"/>
      <c r="H787" s="58"/>
      <c r="I787" s="59"/>
      <c r="J787" s="59"/>
      <c r="K787" s="59"/>
      <c r="L787" s="5">
        <f t="shared" si="36"/>
        <v>0</v>
      </c>
    </row>
    <row r="788" spans="2:12" x14ac:dyDescent="0.3">
      <c r="B788" s="28" t="str">
        <f t="shared" ca="1" si="37"/>
        <v/>
      </c>
      <c r="C788" s="29" t="str">
        <f t="shared" ca="1" si="38"/>
        <v/>
      </c>
      <c r="D788" s="57"/>
      <c r="E788" s="57"/>
      <c r="F788" s="57"/>
      <c r="G788" s="58"/>
      <c r="H788" s="58"/>
      <c r="I788" s="59"/>
      <c r="J788" s="59"/>
      <c r="K788" s="59"/>
      <c r="L788" s="5">
        <f t="shared" si="36"/>
        <v>0</v>
      </c>
    </row>
    <row r="789" spans="2:12" x14ac:dyDescent="0.3">
      <c r="B789" s="28" t="str">
        <f t="shared" ca="1" si="37"/>
        <v/>
      </c>
      <c r="C789" s="29" t="str">
        <f t="shared" ca="1" si="38"/>
        <v/>
      </c>
      <c r="D789" s="57"/>
      <c r="E789" s="57"/>
      <c r="F789" s="57"/>
      <c r="G789" s="58"/>
      <c r="H789" s="58"/>
      <c r="I789" s="59"/>
      <c r="J789" s="59"/>
      <c r="K789" s="59"/>
      <c r="L789" s="5">
        <f t="shared" si="36"/>
        <v>0</v>
      </c>
    </row>
    <row r="790" spans="2:12" x14ac:dyDescent="0.3">
      <c r="B790" s="28" t="str">
        <f t="shared" ca="1" si="37"/>
        <v/>
      </c>
      <c r="C790" s="29" t="str">
        <f t="shared" ca="1" si="38"/>
        <v/>
      </c>
      <c r="D790" s="57"/>
      <c r="E790" s="57"/>
      <c r="F790" s="57"/>
      <c r="G790" s="58"/>
      <c r="H790" s="58"/>
      <c r="I790" s="59"/>
      <c r="J790" s="59"/>
      <c r="K790" s="59"/>
      <c r="L790" s="5">
        <f t="shared" si="36"/>
        <v>0</v>
      </c>
    </row>
    <row r="791" spans="2:12" x14ac:dyDescent="0.3">
      <c r="B791" s="28" t="str">
        <f t="shared" ca="1" si="37"/>
        <v/>
      </c>
      <c r="C791" s="29" t="str">
        <f t="shared" ca="1" si="38"/>
        <v/>
      </c>
      <c r="D791" s="57"/>
      <c r="E791" s="57"/>
      <c r="F791" s="57"/>
      <c r="G791" s="58"/>
      <c r="H791" s="58"/>
      <c r="I791" s="59"/>
      <c r="J791" s="59"/>
      <c r="K791" s="59"/>
      <c r="L791" s="5">
        <f t="shared" si="36"/>
        <v>0</v>
      </c>
    </row>
    <row r="792" spans="2:12" x14ac:dyDescent="0.3">
      <c r="B792" s="28" t="str">
        <f t="shared" ca="1" si="37"/>
        <v/>
      </c>
      <c r="C792" s="29" t="str">
        <f t="shared" ca="1" si="38"/>
        <v/>
      </c>
      <c r="D792" s="57"/>
      <c r="E792" s="57"/>
      <c r="F792" s="57"/>
      <c r="G792" s="58"/>
      <c r="H792" s="58"/>
      <c r="I792" s="59"/>
      <c r="J792" s="59"/>
      <c r="K792" s="59"/>
      <c r="L792" s="5">
        <f t="shared" si="36"/>
        <v>0</v>
      </c>
    </row>
    <row r="793" spans="2:12" x14ac:dyDescent="0.3">
      <c r="B793" s="28" t="str">
        <f t="shared" ca="1" si="37"/>
        <v/>
      </c>
      <c r="C793" s="29" t="str">
        <f t="shared" ca="1" si="38"/>
        <v/>
      </c>
      <c r="D793" s="57"/>
      <c r="E793" s="57"/>
      <c r="F793" s="57"/>
      <c r="G793" s="58"/>
      <c r="H793" s="58"/>
      <c r="I793" s="59"/>
      <c r="J793" s="59"/>
      <c r="K793" s="59"/>
      <c r="L793" s="5">
        <f t="shared" si="36"/>
        <v>0</v>
      </c>
    </row>
    <row r="794" spans="2:12" x14ac:dyDescent="0.3">
      <c r="B794" s="28" t="str">
        <f t="shared" ca="1" si="37"/>
        <v/>
      </c>
      <c r="C794" s="29" t="str">
        <f t="shared" ca="1" si="38"/>
        <v/>
      </c>
      <c r="D794" s="57"/>
      <c r="E794" s="57"/>
      <c r="F794" s="57"/>
      <c r="G794" s="58"/>
      <c r="H794" s="58"/>
      <c r="I794" s="59"/>
      <c r="J794" s="59"/>
      <c r="K794" s="59"/>
      <c r="L794" s="5">
        <f t="shared" si="36"/>
        <v>0</v>
      </c>
    </row>
    <row r="795" spans="2:12" x14ac:dyDescent="0.3">
      <c r="B795" s="28" t="str">
        <f t="shared" ca="1" si="37"/>
        <v/>
      </c>
      <c r="C795" s="29" t="str">
        <f t="shared" ca="1" si="38"/>
        <v/>
      </c>
      <c r="D795" s="57"/>
      <c r="E795" s="57"/>
      <c r="F795" s="57"/>
      <c r="G795" s="58"/>
      <c r="H795" s="58"/>
      <c r="I795" s="59"/>
      <c r="J795" s="59"/>
      <c r="K795" s="59"/>
      <c r="L795" s="5">
        <f t="shared" si="36"/>
        <v>0</v>
      </c>
    </row>
    <row r="796" spans="2:12" x14ac:dyDescent="0.3">
      <c r="B796" s="28" t="str">
        <f t="shared" ca="1" si="37"/>
        <v/>
      </c>
      <c r="C796" s="29" t="str">
        <f t="shared" ca="1" si="38"/>
        <v/>
      </c>
      <c r="D796" s="57"/>
      <c r="E796" s="57"/>
      <c r="F796" s="57"/>
      <c r="G796" s="58"/>
      <c r="H796" s="58"/>
      <c r="I796" s="59"/>
      <c r="J796" s="59"/>
      <c r="K796" s="59"/>
      <c r="L796" s="5">
        <f t="shared" si="36"/>
        <v>0</v>
      </c>
    </row>
    <row r="797" spans="2:12" x14ac:dyDescent="0.3">
      <c r="B797" s="28" t="str">
        <f t="shared" ca="1" si="37"/>
        <v/>
      </c>
      <c r="C797" s="29" t="str">
        <f t="shared" ca="1" si="38"/>
        <v/>
      </c>
      <c r="D797" s="57"/>
      <c r="E797" s="57"/>
      <c r="F797" s="57"/>
      <c r="G797" s="58"/>
      <c r="H797" s="58"/>
      <c r="I797" s="59"/>
      <c r="J797" s="59"/>
      <c r="K797" s="59"/>
      <c r="L797" s="5">
        <f t="shared" si="36"/>
        <v>0</v>
      </c>
    </row>
    <row r="798" spans="2:12" x14ac:dyDescent="0.3">
      <c r="B798" s="28" t="str">
        <f t="shared" ca="1" si="37"/>
        <v/>
      </c>
      <c r="C798" s="29" t="str">
        <f t="shared" ca="1" si="38"/>
        <v/>
      </c>
      <c r="D798" s="57"/>
      <c r="E798" s="57"/>
      <c r="F798" s="57"/>
      <c r="G798" s="58"/>
      <c r="H798" s="58"/>
      <c r="I798" s="59"/>
      <c r="J798" s="59"/>
      <c r="K798" s="59"/>
      <c r="L798" s="5">
        <f t="shared" si="36"/>
        <v>0</v>
      </c>
    </row>
    <row r="799" spans="2:12" x14ac:dyDescent="0.3">
      <c r="B799" s="28" t="str">
        <f t="shared" ca="1" si="37"/>
        <v/>
      </c>
      <c r="C799" s="29" t="str">
        <f t="shared" ca="1" si="38"/>
        <v/>
      </c>
      <c r="D799" s="57"/>
      <c r="E799" s="57"/>
      <c r="F799" s="57"/>
      <c r="G799" s="58"/>
      <c r="H799" s="58"/>
      <c r="I799" s="59"/>
      <c r="J799" s="59"/>
      <c r="K799" s="59"/>
      <c r="L799" s="5">
        <f t="shared" si="36"/>
        <v>0</v>
      </c>
    </row>
    <row r="800" spans="2:12" x14ac:dyDescent="0.3">
      <c r="B800" s="28" t="str">
        <f t="shared" ca="1" si="37"/>
        <v/>
      </c>
      <c r="C800" s="29" t="str">
        <f t="shared" ca="1" si="38"/>
        <v/>
      </c>
      <c r="D800" s="57"/>
      <c r="E800" s="57"/>
      <c r="F800" s="57"/>
      <c r="G800" s="58"/>
      <c r="H800" s="58"/>
      <c r="I800" s="59"/>
      <c r="J800" s="59"/>
      <c r="K800" s="59"/>
      <c r="L800" s="5">
        <f t="shared" si="36"/>
        <v>0</v>
      </c>
    </row>
    <row r="801" spans="2:12" x14ac:dyDescent="0.3">
      <c r="B801" s="28" t="str">
        <f t="shared" ca="1" si="37"/>
        <v/>
      </c>
      <c r="C801" s="29" t="str">
        <f t="shared" ca="1" si="38"/>
        <v/>
      </c>
      <c r="D801" s="57"/>
      <c r="E801" s="57"/>
      <c r="F801" s="57"/>
      <c r="G801" s="58"/>
      <c r="H801" s="58"/>
      <c r="I801" s="59"/>
      <c r="J801" s="59"/>
      <c r="K801" s="59"/>
      <c r="L801" s="5">
        <f t="shared" si="36"/>
        <v>0</v>
      </c>
    </row>
    <row r="802" spans="2:12" x14ac:dyDescent="0.3">
      <c r="B802" s="28" t="str">
        <f t="shared" ca="1" si="37"/>
        <v/>
      </c>
      <c r="C802" s="29" t="str">
        <f t="shared" ca="1" si="38"/>
        <v/>
      </c>
      <c r="D802" s="57"/>
      <c r="E802" s="57"/>
      <c r="F802" s="57"/>
      <c r="G802" s="58"/>
      <c r="H802" s="58"/>
      <c r="I802" s="59"/>
      <c r="J802" s="59"/>
      <c r="K802" s="59"/>
      <c r="L802" s="5">
        <f t="shared" si="36"/>
        <v>0</v>
      </c>
    </row>
    <row r="803" spans="2:12" x14ac:dyDescent="0.3">
      <c r="B803" s="28" t="str">
        <f t="shared" ca="1" si="37"/>
        <v/>
      </c>
      <c r="C803" s="29" t="str">
        <f t="shared" ca="1" si="38"/>
        <v/>
      </c>
      <c r="D803" s="57"/>
      <c r="E803" s="57"/>
      <c r="F803" s="57"/>
      <c r="G803" s="58"/>
      <c r="H803" s="58"/>
      <c r="I803" s="59"/>
      <c r="J803" s="59"/>
      <c r="K803" s="59"/>
      <c r="L803" s="5">
        <f t="shared" si="36"/>
        <v>0</v>
      </c>
    </row>
    <row r="804" spans="2:12" x14ac:dyDescent="0.3">
      <c r="B804" s="28" t="str">
        <f t="shared" ca="1" si="37"/>
        <v/>
      </c>
      <c r="C804" s="29" t="str">
        <f t="shared" ca="1" si="38"/>
        <v/>
      </c>
      <c r="D804" s="57"/>
      <c r="E804" s="57"/>
      <c r="F804" s="57"/>
      <c r="G804" s="58"/>
      <c r="H804" s="58"/>
      <c r="I804" s="59"/>
      <c r="J804" s="59"/>
      <c r="K804" s="59"/>
      <c r="L804" s="5">
        <f t="shared" si="36"/>
        <v>0</v>
      </c>
    </row>
    <row r="805" spans="2:12" x14ac:dyDescent="0.3">
      <c r="B805" s="28" t="str">
        <f t="shared" ca="1" si="37"/>
        <v/>
      </c>
      <c r="C805" s="29" t="str">
        <f t="shared" ca="1" si="38"/>
        <v/>
      </c>
      <c r="D805" s="57"/>
      <c r="E805" s="57"/>
      <c r="F805" s="57"/>
      <c r="G805" s="58"/>
      <c r="H805" s="58"/>
      <c r="I805" s="59"/>
      <c r="J805" s="59"/>
      <c r="K805" s="59"/>
      <c r="L805" s="5">
        <f t="shared" si="36"/>
        <v>0</v>
      </c>
    </row>
    <row r="806" spans="2:12" x14ac:dyDescent="0.3">
      <c r="B806" s="28" t="str">
        <f t="shared" ca="1" si="37"/>
        <v/>
      </c>
      <c r="C806" s="29" t="str">
        <f t="shared" ca="1" si="38"/>
        <v/>
      </c>
      <c r="D806" s="57"/>
      <c r="E806" s="57"/>
      <c r="F806" s="57"/>
      <c r="G806" s="58"/>
      <c r="H806" s="58"/>
      <c r="I806" s="59"/>
      <c r="J806" s="59"/>
      <c r="K806" s="59"/>
      <c r="L806" s="5">
        <f t="shared" si="36"/>
        <v>0</v>
      </c>
    </row>
    <row r="807" spans="2:12" x14ac:dyDescent="0.3">
      <c r="B807" s="28" t="str">
        <f t="shared" ca="1" si="37"/>
        <v/>
      </c>
      <c r="C807" s="29" t="str">
        <f t="shared" ca="1" si="38"/>
        <v/>
      </c>
      <c r="D807" s="57"/>
      <c r="E807" s="57"/>
      <c r="F807" s="57"/>
      <c r="G807" s="58"/>
      <c r="H807" s="58"/>
      <c r="I807" s="59"/>
      <c r="J807" s="59"/>
      <c r="K807" s="59"/>
      <c r="L807" s="5">
        <f t="shared" si="36"/>
        <v>0</v>
      </c>
    </row>
    <row r="808" spans="2:12" x14ac:dyDescent="0.3">
      <c r="B808" s="28" t="str">
        <f t="shared" ca="1" si="37"/>
        <v/>
      </c>
      <c r="C808" s="29" t="str">
        <f t="shared" ca="1" si="38"/>
        <v/>
      </c>
      <c r="D808" s="57"/>
      <c r="E808" s="57"/>
      <c r="F808" s="57"/>
      <c r="G808" s="58"/>
      <c r="H808" s="58"/>
      <c r="I808" s="59"/>
      <c r="J808" s="59"/>
      <c r="K808" s="59"/>
      <c r="L808" s="5">
        <f t="shared" si="36"/>
        <v>0</v>
      </c>
    </row>
    <row r="809" spans="2:12" x14ac:dyDescent="0.3">
      <c r="B809" s="28" t="str">
        <f t="shared" ca="1" si="37"/>
        <v/>
      </c>
      <c r="C809" s="29" t="str">
        <f t="shared" ca="1" si="38"/>
        <v/>
      </c>
      <c r="D809" s="57"/>
      <c r="E809" s="57"/>
      <c r="F809" s="57"/>
      <c r="G809" s="58"/>
      <c r="H809" s="58"/>
      <c r="I809" s="59"/>
      <c r="J809" s="59"/>
      <c r="K809" s="59"/>
      <c r="L809" s="5">
        <f t="shared" si="36"/>
        <v>0</v>
      </c>
    </row>
    <row r="810" spans="2:12" x14ac:dyDescent="0.3">
      <c r="B810" s="28" t="str">
        <f t="shared" ca="1" si="37"/>
        <v/>
      </c>
      <c r="C810" s="29" t="str">
        <f t="shared" ca="1" si="38"/>
        <v/>
      </c>
      <c r="D810" s="57"/>
      <c r="E810" s="57"/>
      <c r="F810" s="57"/>
      <c r="G810" s="58"/>
      <c r="H810" s="58"/>
      <c r="I810" s="59"/>
      <c r="J810" s="59"/>
      <c r="K810" s="59"/>
      <c r="L810" s="5">
        <f t="shared" si="36"/>
        <v>0</v>
      </c>
    </row>
    <row r="811" spans="2:12" x14ac:dyDescent="0.3">
      <c r="B811" s="28" t="str">
        <f t="shared" ca="1" si="37"/>
        <v/>
      </c>
      <c r="C811" s="29" t="str">
        <f t="shared" ca="1" si="38"/>
        <v/>
      </c>
      <c r="D811" s="57"/>
      <c r="E811" s="57"/>
      <c r="F811" s="57"/>
      <c r="G811" s="58"/>
      <c r="H811" s="58"/>
      <c r="I811" s="59"/>
      <c r="J811" s="59"/>
      <c r="K811" s="59"/>
      <c r="L811" s="5">
        <f t="shared" si="36"/>
        <v>0</v>
      </c>
    </row>
    <row r="812" spans="2:12" x14ac:dyDescent="0.3">
      <c r="B812" s="28" t="str">
        <f t="shared" ca="1" si="37"/>
        <v/>
      </c>
      <c r="C812" s="29" t="str">
        <f t="shared" ca="1" si="38"/>
        <v/>
      </c>
      <c r="D812" s="57"/>
      <c r="E812" s="57"/>
      <c r="F812" s="57"/>
      <c r="G812" s="58"/>
      <c r="H812" s="58"/>
      <c r="I812" s="59"/>
      <c r="J812" s="59"/>
      <c r="K812" s="59"/>
      <c r="L812" s="5">
        <f t="shared" si="36"/>
        <v>0</v>
      </c>
    </row>
    <row r="813" spans="2:12" x14ac:dyDescent="0.3">
      <c r="B813" s="28" t="str">
        <f t="shared" ca="1" si="37"/>
        <v/>
      </c>
      <c r="C813" s="29" t="str">
        <f t="shared" ca="1" si="38"/>
        <v/>
      </c>
      <c r="D813" s="57"/>
      <c r="E813" s="57"/>
      <c r="F813" s="57"/>
      <c r="G813" s="58"/>
      <c r="H813" s="58"/>
      <c r="I813" s="59"/>
      <c r="J813" s="59"/>
      <c r="K813" s="59"/>
      <c r="L813" s="5">
        <f t="shared" si="36"/>
        <v>0</v>
      </c>
    </row>
    <row r="814" spans="2:12" x14ac:dyDescent="0.3">
      <c r="B814" s="28" t="str">
        <f t="shared" ca="1" si="37"/>
        <v/>
      </c>
      <c r="C814" s="29" t="str">
        <f t="shared" ca="1" si="38"/>
        <v/>
      </c>
      <c r="D814" s="57"/>
      <c r="E814" s="57"/>
      <c r="F814" s="57"/>
      <c r="G814" s="58"/>
      <c r="H814" s="58"/>
      <c r="I814" s="59"/>
      <c r="J814" s="59"/>
      <c r="K814" s="59"/>
      <c r="L814" s="5">
        <f t="shared" si="36"/>
        <v>0</v>
      </c>
    </row>
    <row r="815" spans="2:12" x14ac:dyDescent="0.3">
      <c r="B815" s="28" t="str">
        <f t="shared" ca="1" si="37"/>
        <v/>
      </c>
      <c r="C815" s="29" t="str">
        <f t="shared" ca="1" si="38"/>
        <v/>
      </c>
      <c r="D815" s="57"/>
      <c r="E815" s="57"/>
      <c r="F815" s="57"/>
      <c r="G815" s="58"/>
      <c r="H815" s="58"/>
      <c r="I815" s="59"/>
      <c r="J815" s="59"/>
      <c r="K815" s="59"/>
      <c r="L815" s="5">
        <f t="shared" si="36"/>
        <v>0</v>
      </c>
    </row>
    <row r="816" spans="2:12" x14ac:dyDescent="0.3">
      <c r="B816" s="28" t="str">
        <f t="shared" ca="1" si="37"/>
        <v/>
      </c>
      <c r="C816" s="29" t="str">
        <f t="shared" ca="1" si="38"/>
        <v/>
      </c>
      <c r="D816" s="57"/>
      <c r="E816" s="57"/>
      <c r="F816" s="57"/>
      <c r="G816" s="58"/>
      <c r="H816" s="58"/>
      <c r="I816" s="59"/>
      <c r="J816" s="59"/>
      <c r="K816" s="59"/>
      <c r="L816" s="5">
        <f t="shared" si="36"/>
        <v>0</v>
      </c>
    </row>
    <row r="817" spans="2:12" x14ac:dyDescent="0.3">
      <c r="B817" s="28" t="str">
        <f t="shared" ca="1" si="37"/>
        <v/>
      </c>
      <c r="C817" s="29" t="str">
        <f t="shared" ca="1" si="38"/>
        <v/>
      </c>
      <c r="D817" s="57"/>
      <c r="E817" s="57"/>
      <c r="F817" s="57"/>
      <c r="G817" s="58"/>
      <c r="H817" s="58"/>
      <c r="I817" s="59"/>
      <c r="J817" s="59"/>
      <c r="K817" s="59"/>
      <c r="L817" s="5">
        <f t="shared" si="36"/>
        <v>0</v>
      </c>
    </row>
    <row r="818" spans="2:12" x14ac:dyDescent="0.3">
      <c r="B818" s="28" t="str">
        <f t="shared" ca="1" si="37"/>
        <v/>
      </c>
      <c r="C818" s="29" t="str">
        <f t="shared" ca="1" si="38"/>
        <v/>
      </c>
      <c r="D818" s="57"/>
      <c r="E818" s="57"/>
      <c r="F818" s="57"/>
      <c r="G818" s="58"/>
      <c r="H818" s="58"/>
      <c r="I818" s="59"/>
      <c r="J818" s="59"/>
      <c r="K818" s="59"/>
      <c r="L818" s="5">
        <f t="shared" si="36"/>
        <v>0</v>
      </c>
    </row>
    <row r="819" spans="2:12" x14ac:dyDescent="0.3">
      <c r="B819" s="28" t="str">
        <f t="shared" ca="1" si="37"/>
        <v/>
      </c>
      <c r="C819" s="29" t="str">
        <f t="shared" ca="1" si="38"/>
        <v/>
      </c>
      <c r="D819" s="57"/>
      <c r="E819" s="57"/>
      <c r="F819" s="57"/>
      <c r="G819" s="58"/>
      <c r="H819" s="58"/>
      <c r="I819" s="59"/>
      <c r="J819" s="59"/>
      <c r="K819" s="59"/>
      <c r="L819" s="5">
        <f t="shared" si="36"/>
        <v>0</v>
      </c>
    </row>
    <row r="820" spans="2:12" x14ac:dyDescent="0.3">
      <c r="B820" s="28" t="str">
        <f t="shared" ca="1" si="37"/>
        <v/>
      </c>
      <c r="C820" s="29" t="str">
        <f t="shared" ca="1" si="38"/>
        <v/>
      </c>
      <c r="D820" s="57"/>
      <c r="E820" s="57"/>
      <c r="F820" s="57"/>
      <c r="G820" s="58"/>
      <c r="H820" s="58"/>
      <c r="I820" s="59"/>
      <c r="J820" s="59"/>
      <c r="K820" s="59"/>
      <c r="L820" s="5">
        <f t="shared" si="36"/>
        <v>0</v>
      </c>
    </row>
    <row r="821" spans="2:12" x14ac:dyDescent="0.3">
      <c r="B821" s="28" t="str">
        <f t="shared" ca="1" si="37"/>
        <v/>
      </c>
      <c r="C821" s="29" t="str">
        <f t="shared" ca="1" si="38"/>
        <v/>
      </c>
      <c r="D821" s="57"/>
      <c r="E821" s="57"/>
      <c r="F821" s="57"/>
      <c r="G821" s="58"/>
      <c r="H821" s="58"/>
      <c r="I821" s="59"/>
      <c r="J821" s="59"/>
      <c r="K821" s="59"/>
      <c r="L821" s="5">
        <f t="shared" si="36"/>
        <v>0</v>
      </c>
    </row>
    <row r="822" spans="2:12" x14ac:dyDescent="0.3">
      <c r="B822" s="28" t="str">
        <f t="shared" ca="1" si="37"/>
        <v/>
      </c>
      <c r="C822" s="29" t="str">
        <f t="shared" ca="1" si="38"/>
        <v/>
      </c>
      <c r="D822" s="57"/>
      <c r="E822" s="57"/>
      <c r="F822" s="57"/>
      <c r="G822" s="58"/>
      <c r="H822" s="58"/>
      <c r="I822" s="59"/>
      <c r="J822" s="59"/>
      <c r="K822" s="59"/>
      <c r="L822" s="5">
        <f t="shared" si="36"/>
        <v>0</v>
      </c>
    </row>
    <row r="823" spans="2:12" x14ac:dyDescent="0.3">
      <c r="B823" s="28" t="str">
        <f t="shared" ca="1" si="37"/>
        <v/>
      </c>
      <c r="C823" s="29" t="str">
        <f t="shared" ca="1" si="38"/>
        <v/>
      </c>
      <c r="D823" s="57"/>
      <c r="E823" s="57"/>
      <c r="F823" s="57"/>
      <c r="G823" s="58"/>
      <c r="H823" s="58"/>
      <c r="I823" s="59"/>
      <c r="J823" s="59"/>
      <c r="K823" s="59"/>
      <c r="L823" s="5">
        <f t="shared" si="36"/>
        <v>0</v>
      </c>
    </row>
    <row r="824" spans="2:12" x14ac:dyDescent="0.3">
      <c r="B824" s="28" t="str">
        <f t="shared" ca="1" si="37"/>
        <v/>
      </c>
      <c r="C824" s="29" t="str">
        <f t="shared" ca="1" si="38"/>
        <v/>
      </c>
      <c r="D824" s="57"/>
      <c r="E824" s="57"/>
      <c r="F824" s="57"/>
      <c r="G824" s="58"/>
      <c r="H824" s="58"/>
      <c r="I824" s="59"/>
      <c r="J824" s="59"/>
      <c r="K824" s="59"/>
      <c r="L824" s="5">
        <f t="shared" si="36"/>
        <v>0</v>
      </c>
    </row>
    <row r="825" spans="2:12" x14ac:dyDescent="0.3">
      <c r="B825" s="28" t="str">
        <f t="shared" ca="1" si="37"/>
        <v/>
      </c>
      <c r="C825" s="29" t="str">
        <f t="shared" ca="1" si="38"/>
        <v/>
      </c>
      <c r="D825" s="57"/>
      <c r="E825" s="57"/>
      <c r="F825" s="57"/>
      <c r="G825" s="58"/>
      <c r="H825" s="58"/>
      <c r="I825" s="59"/>
      <c r="J825" s="59"/>
      <c r="K825" s="59"/>
      <c r="L825" s="5">
        <f t="shared" si="36"/>
        <v>0</v>
      </c>
    </row>
    <row r="826" spans="2:12" x14ac:dyDescent="0.3">
      <c r="B826" s="28" t="str">
        <f t="shared" ca="1" si="37"/>
        <v/>
      </c>
      <c r="C826" s="29" t="str">
        <f t="shared" ca="1" si="38"/>
        <v/>
      </c>
      <c r="D826" s="57"/>
      <c r="E826" s="57"/>
      <c r="F826" s="57"/>
      <c r="G826" s="58"/>
      <c r="H826" s="58"/>
      <c r="I826" s="59"/>
      <c r="J826" s="59"/>
      <c r="K826" s="59"/>
      <c r="L826" s="5">
        <f t="shared" si="36"/>
        <v>0</v>
      </c>
    </row>
    <row r="827" spans="2:12" x14ac:dyDescent="0.3">
      <c r="B827" s="28" t="str">
        <f t="shared" ca="1" si="37"/>
        <v/>
      </c>
      <c r="C827" s="29" t="str">
        <f t="shared" ca="1" si="38"/>
        <v/>
      </c>
      <c r="D827" s="57"/>
      <c r="E827" s="57"/>
      <c r="F827" s="57"/>
      <c r="G827" s="58"/>
      <c r="H827" s="58"/>
      <c r="I827" s="59"/>
      <c r="J827" s="59"/>
      <c r="K827" s="59"/>
      <c r="L827" s="5">
        <f t="shared" si="36"/>
        <v>0</v>
      </c>
    </row>
    <row r="828" spans="2:12" x14ac:dyDescent="0.3">
      <c r="B828" s="28" t="str">
        <f t="shared" ca="1" si="37"/>
        <v/>
      </c>
      <c r="C828" s="29" t="str">
        <f t="shared" ca="1" si="38"/>
        <v/>
      </c>
      <c r="D828" s="57"/>
      <c r="E828" s="57"/>
      <c r="F828" s="57"/>
      <c r="G828" s="58"/>
      <c r="H828" s="58"/>
      <c r="I828" s="59"/>
      <c r="J828" s="59"/>
      <c r="K828" s="59"/>
      <c r="L828" s="5">
        <f t="shared" si="36"/>
        <v>0</v>
      </c>
    </row>
    <row r="829" spans="2:12" x14ac:dyDescent="0.3">
      <c r="B829" s="28" t="str">
        <f t="shared" ca="1" si="37"/>
        <v/>
      </c>
      <c r="C829" s="29" t="str">
        <f t="shared" ca="1" si="38"/>
        <v/>
      </c>
      <c r="D829" s="57"/>
      <c r="E829" s="57"/>
      <c r="F829" s="57"/>
      <c r="G829" s="58"/>
      <c r="H829" s="58"/>
      <c r="I829" s="59"/>
      <c r="J829" s="59"/>
      <c r="K829" s="59"/>
      <c r="L829" s="5">
        <f t="shared" si="36"/>
        <v>0</v>
      </c>
    </row>
    <row r="830" spans="2:12" x14ac:dyDescent="0.3">
      <c r="B830" s="28" t="str">
        <f t="shared" ca="1" si="37"/>
        <v/>
      </c>
      <c r="C830" s="29" t="str">
        <f t="shared" ca="1" si="38"/>
        <v/>
      </c>
      <c r="D830" s="57"/>
      <c r="E830" s="57"/>
      <c r="F830" s="57"/>
      <c r="G830" s="58"/>
      <c r="H830" s="58"/>
      <c r="I830" s="59"/>
      <c r="J830" s="59"/>
      <c r="K830" s="59"/>
      <c r="L830" s="5">
        <f t="shared" si="36"/>
        <v>0</v>
      </c>
    </row>
    <row r="831" spans="2:12" x14ac:dyDescent="0.3">
      <c r="B831" s="28" t="str">
        <f t="shared" ca="1" si="37"/>
        <v/>
      </c>
      <c r="C831" s="29" t="str">
        <f t="shared" ca="1" si="38"/>
        <v/>
      </c>
      <c r="D831" s="57"/>
      <c r="E831" s="57"/>
      <c r="F831" s="57"/>
      <c r="G831" s="58"/>
      <c r="H831" s="58"/>
      <c r="I831" s="59"/>
      <c r="J831" s="59"/>
      <c r="K831" s="59"/>
      <c r="L831" s="5">
        <f t="shared" si="36"/>
        <v>0</v>
      </c>
    </row>
    <row r="832" spans="2:12" x14ac:dyDescent="0.3">
      <c r="B832" s="28" t="str">
        <f t="shared" ca="1" si="37"/>
        <v/>
      </c>
      <c r="C832" s="29" t="str">
        <f t="shared" ca="1" si="38"/>
        <v/>
      </c>
      <c r="D832" s="57"/>
      <c r="E832" s="57"/>
      <c r="F832" s="57"/>
      <c r="G832" s="58"/>
      <c r="H832" s="58"/>
      <c r="I832" s="59"/>
      <c r="J832" s="59"/>
      <c r="K832" s="59"/>
      <c r="L832" s="5">
        <f t="shared" si="36"/>
        <v>0</v>
      </c>
    </row>
    <row r="833" spans="2:12" x14ac:dyDescent="0.3">
      <c r="B833" s="28" t="str">
        <f t="shared" ca="1" si="37"/>
        <v/>
      </c>
      <c r="C833" s="29" t="str">
        <f t="shared" ca="1" si="38"/>
        <v/>
      </c>
      <c r="D833" s="57"/>
      <c r="E833" s="57"/>
      <c r="F833" s="57"/>
      <c r="G833" s="58"/>
      <c r="H833" s="58"/>
      <c r="I833" s="59"/>
      <c r="J833" s="59"/>
      <c r="K833" s="59"/>
      <c r="L833" s="5">
        <f t="shared" si="36"/>
        <v>0</v>
      </c>
    </row>
    <row r="834" spans="2:12" x14ac:dyDescent="0.3">
      <c r="B834" s="28" t="str">
        <f t="shared" ca="1" si="37"/>
        <v/>
      </c>
      <c r="C834" s="29" t="str">
        <f t="shared" ca="1" si="38"/>
        <v/>
      </c>
      <c r="D834" s="57"/>
      <c r="E834" s="57"/>
      <c r="F834" s="57"/>
      <c r="G834" s="58"/>
      <c r="H834" s="58"/>
      <c r="I834" s="59"/>
      <c r="J834" s="59"/>
      <c r="K834" s="59"/>
      <c r="L834" s="5">
        <f t="shared" si="36"/>
        <v>0</v>
      </c>
    </row>
    <row r="835" spans="2:12" x14ac:dyDescent="0.3">
      <c r="B835" s="28" t="str">
        <f t="shared" ca="1" si="37"/>
        <v/>
      </c>
      <c r="C835" s="29" t="str">
        <f t="shared" ca="1" si="38"/>
        <v/>
      </c>
      <c r="D835" s="57"/>
      <c r="E835" s="57"/>
      <c r="F835" s="57"/>
      <c r="G835" s="58"/>
      <c r="H835" s="58"/>
      <c r="I835" s="59"/>
      <c r="J835" s="59"/>
      <c r="K835" s="59"/>
      <c r="L835" s="5">
        <f t="shared" si="36"/>
        <v>0</v>
      </c>
    </row>
    <row r="836" spans="2:12" x14ac:dyDescent="0.3">
      <c r="B836" s="28" t="str">
        <f t="shared" ca="1" si="37"/>
        <v/>
      </c>
      <c r="C836" s="29" t="str">
        <f t="shared" ca="1" si="38"/>
        <v/>
      </c>
      <c r="D836" s="57"/>
      <c r="E836" s="57"/>
      <c r="F836" s="57"/>
      <c r="G836" s="58"/>
      <c r="H836" s="58"/>
      <c r="I836" s="59"/>
      <c r="J836" s="59"/>
      <c r="K836" s="59"/>
      <c r="L836" s="5">
        <f t="shared" si="36"/>
        <v>0</v>
      </c>
    </row>
    <row r="837" spans="2:12" x14ac:dyDescent="0.3">
      <c r="B837" s="28" t="str">
        <f t="shared" ca="1" si="37"/>
        <v/>
      </c>
      <c r="C837" s="29" t="str">
        <f t="shared" ca="1" si="38"/>
        <v/>
      </c>
      <c r="D837" s="57"/>
      <c r="E837" s="57"/>
      <c r="F837" s="57"/>
      <c r="G837" s="58"/>
      <c r="H837" s="58"/>
      <c r="I837" s="59"/>
      <c r="J837" s="59"/>
      <c r="K837" s="59"/>
      <c r="L837" s="5">
        <f t="shared" si="36"/>
        <v>0</v>
      </c>
    </row>
    <row r="838" spans="2:12" x14ac:dyDescent="0.3">
      <c r="B838" s="28" t="str">
        <f t="shared" ca="1" si="37"/>
        <v/>
      </c>
      <c r="C838" s="29" t="str">
        <f t="shared" ca="1" si="38"/>
        <v/>
      </c>
      <c r="D838" s="57"/>
      <c r="E838" s="57"/>
      <c r="F838" s="57"/>
      <c r="G838" s="58"/>
      <c r="H838" s="58"/>
      <c r="I838" s="59"/>
      <c r="J838" s="59"/>
      <c r="K838" s="59"/>
      <c r="L838" s="5">
        <f t="shared" si="36"/>
        <v>0</v>
      </c>
    </row>
    <row r="839" spans="2:12" x14ac:dyDescent="0.3">
      <c r="B839" s="28" t="str">
        <f t="shared" ca="1" si="37"/>
        <v/>
      </c>
      <c r="C839" s="29" t="str">
        <f t="shared" ca="1" si="38"/>
        <v/>
      </c>
      <c r="D839" s="57"/>
      <c r="E839" s="57"/>
      <c r="F839" s="57"/>
      <c r="G839" s="58"/>
      <c r="H839" s="58"/>
      <c r="I839" s="59"/>
      <c r="J839" s="59"/>
      <c r="K839" s="59"/>
      <c r="L839" s="5">
        <f t="shared" si="36"/>
        <v>0</v>
      </c>
    </row>
    <row r="840" spans="2:12" x14ac:dyDescent="0.3">
      <c r="B840" s="28" t="str">
        <f t="shared" ca="1" si="37"/>
        <v/>
      </c>
      <c r="C840" s="29" t="str">
        <f t="shared" ca="1" si="38"/>
        <v/>
      </c>
      <c r="D840" s="57"/>
      <c r="E840" s="57"/>
      <c r="F840" s="57"/>
      <c r="G840" s="58"/>
      <c r="H840" s="58"/>
      <c r="I840" s="59"/>
      <c r="J840" s="59"/>
      <c r="K840" s="59"/>
      <c r="L840" s="5">
        <f t="shared" si="36"/>
        <v>0</v>
      </c>
    </row>
    <row r="841" spans="2:12" x14ac:dyDescent="0.3">
      <c r="B841" s="28" t="str">
        <f t="shared" ca="1" si="37"/>
        <v/>
      </c>
      <c r="C841" s="29" t="str">
        <f t="shared" ca="1" si="38"/>
        <v/>
      </c>
      <c r="D841" s="57"/>
      <c r="E841" s="57"/>
      <c r="F841" s="57"/>
      <c r="G841" s="58"/>
      <c r="H841" s="58"/>
      <c r="I841" s="59"/>
      <c r="J841" s="59"/>
      <c r="K841" s="59"/>
      <c r="L841" s="5">
        <f t="shared" si="36"/>
        <v>0</v>
      </c>
    </row>
    <row r="842" spans="2:12" x14ac:dyDescent="0.3">
      <c r="B842" s="28" t="str">
        <f t="shared" ca="1" si="37"/>
        <v/>
      </c>
      <c r="C842" s="29" t="str">
        <f t="shared" ca="1" si="38"/>
        <v/>
      </c>
      <c r="D842" s="57"/>
      <c r="E842" s="57"/>
      <c r="F842" s="57"/>
      <c r="G842" s="58"/>
      <c r="H842" s="58"/>
      <c r="I842" s="59"/>
      <c r="J842" s="59"/>
      <c r="K842" s="59"/>
      <c r="L842" s="5">
        <f t="shared" ref="L842:L905" si="39">J842-I842-K842</f>
        <v>0</v>
      </c>
    </row>
    <row r="843" spans="2:12" x14ac:dyDescent="0.3">
      <c r="B843" s="28" t="str">
        <f t="shared" ref="B843:B906" ca="1" si="40">IF(D843&lt;&gt;"",DATE(Jahr,_xlfn.SHEET()-2,D843),"")</f>
        <v/>
      </c>
      <c r="C843" s="29" t="str">
        <f t="shared" ref="C843:C906" ca="1" si="41">B843</f>
        <v/>
      </c>
      <c r="D843" s="57"/>
      <c r="E843" s="57"/>
      <c r="F843" s="57"/>
      <c r="G843" s="58"/>
      <c r="H843" s="58"/>
      <c r="I843" s="59"/>
      <c r="J843" s="59"/>
      <c r="K843" s="59"/>
      <c r="L843" s="5">
        <f t="shared" si="39"/>
        <v>0</v>
      </c>
    </row>
    <row r="844" spans="2:12" x14ac:dyDescent="0.3">
      <c r="B844" s="28" t="str">
        <f t="shared" ca="1" si="40"/>
        <v/>
      </c>
      <c r="C844" s="29" t="str">
        <f t="shared" ca="1" si="41"/>
        <v/>
      </c>
      <c r="D844" s="57"/>
      <c r="E844" s="57"/>
      <c r="F844" s="57"/>
      <c r="G844" s="58"/>
      <c r="H844" s="58"/>
      <c r="I844" s="59"/>
      <c r="J844" s="59"/>
      <c r="K844" s="59"/>
      <c r="L844" s="5">
        <f t="shared" si="39"/>
        <v>0</v>
      </c>
    </row>
    <row r="845" spans="2:12" x14ac:dyDescent="0.3">
      <c r="B845" s="28" t="str">
        <f t="shared" ca="1" si="40"/>
        <v/>
      </c>
      <c r="C845" s="29" t="str">
        <f t="shared" ca="1" si="41"/>
        <v/>
      </c>
      <c r="D845" s="57"/>
      <c r="E845" s="57"/>
      <c r="F845" s="57"/>
      <c r="G845" s="58"/>
      <c r="H845" s="58"/>
      <c r="I845" s="59"/>
      <c r="J845" s="59"/>
      <c r="K845" s="59"/>
      <c r="L845" s="5">
        <f t="shared" si="39"/>
        <v>0</v>
      </c>
    </row>
    <row r="846" spans="2:12" x14ac:dyDescent="0.3">
      <c r="B846" s="28" t="str">
        <f t="shared" ca="1" si="40"/>
        <v/>
      </c>
      <c r="C846" s="29" t="str">
        <f t="shared" ca="1" si="41"/>
        <v/>
      </c>
      <c r="D846" s="57"/>
      <c r="E846" s="57"/>
      <c r="F846" s="57"/>
      <c r="G846" s="58"/>
      <c r="H846" s="58"/>
      <c r="I846" s="59"/>
      <c r="J846" s="59"/>
      <c r="K846" s="59"/>
      <c r="L846" s="5">
        <f t="shared" si="39"/>
        <v>0</v>
      </c>
    </row>
    <row r="847" spans="2:12" x14ac:dyDescent="0.3">
      <c r="B847" s="28" t="str">
        <f t="shared" ca="1" si="40"/>
        <v/>
      </c>
      <c r="C847" s="29" t="str">
        <f t="shared" ca="1" si="41"/>
        <v/>
      </c>
      <c r="D847" s="57"/>
      <c r="E847" s="57"/>
      <c r="F847" s="57"/>
      <c r="G847" s="58"/>
      <c r="H847" s="58"/>
      <c r="I847" s="59"/>
      <c r="J847" s="59"/>
      <c r="K847" s="59"/>
      <c r="L847" s="5">
        <f t="shared" si="39"/>
        <v>0</v>
      </c>
    </row>
    <row r="848" spans="2:12" x14ac:dyDescent="0.3">
      <c r="B848" s="28" t="str">
        <f t="shared" ca="1" si="40"/>
        <v/>
      </c>
      <c r="C848" s="29" t="str">
        <f t="shared" ca="1" si="41"/>
        <v/>
      </c>
      <c r="D848" s="57"/>
      <c r="E848" s="57"/>
      <c r="F848" s="57"/>
      <c r="G848" s="58"/>
      <c r="H848" s="58"/>
      <c r="I848" s="59"/>
      <c r="J848" s="59"/>
      <c r="K848" s="59"/>
      <c r="L848" s="5">
        <f t="shared" si="39"/>
        <v>0</v>
      </c>
    </row>
    <row r="849" spans="2:12" x14ac:dyDescent="0.3">
      <c r="B849" s="28" t="str">
        <f t="shared" ca="1" si="40"/>
        <v/>
      </c>
      <c r="C849" s="29" t="str">
        <f t="shared" ca="1" si="41"/>
        <v/>
      </c>
      <c r="D849" s="57"/>
      <c r="E849" s="57"/>
      <c r="F849" s="57"/>
      <c r="G849" s="58"/>
      <c r="H849" s="58"/>
      <c r="I849" s="59"/>
      <c r="J849" s="59"/>
      <c r="K849" s="59"/>
      <c r="L849" s="5">
        <f t="shared" si="39"/>
        <v>0</v>
      </c>
    </row>
    <row r="850" spans="2:12" x14ac:dyDescent="0.3">
      <c r="B850" s="28" t="str">
        <f t="shared" ca="1" si="40"/>
        <v/>
      </c>
      <c r="C850" s="29" t="str">
        <f t="shared" ca="1" si="41"/>
        <v/>
      </c>
      <c r="D850" s="57"/>
      <c r="E850" s="57"/>
      <c r="F850" s="57"/>
      <c r="G850" s="58"/>
      <c r="H850" s="58"/>
      <c r="I850" s="59"/>
      <c r="J850" s="59"/>
      <c r="K850" s="59"/>
      <c r="L850" s="5">
        <f t="shared" si="39"/>
        <v>0</v>
      </c>
    </row>
    <row r="851" spans="2:12" x14ac:dyDescent="0.3">
      <c r="B851" s="28" t="str">
        <f t="shared" ca="1" si="40"/>
        <v/>
      </c>
      <c r="C851" s="29" t="str">
        <f t="shared" ca="1" si="41"/>
        <v/>
      </c>
      <c r="D851" s="57"/>
      <c r="E851" s="57"/>
      <c r="F851" s="57"/>
      <c r="G851" s="58"/>
      <c r="H851" s="58"/>
      <c r="I851" s="59"/>
      <c r="J851" s="59"/>
      <c r="K851" s="59"/>
      <c r="L851" s="5">
        <f t="shared" si="39"/>
        <v>0</v>
      </c>
    </row>
    <row r="852" spans="2:12" x14ac:dyDescent="0.3">
      <c r="B852" s="28" t="str">
        <f t="shared" ca="1" si="40"/>
        <v/>
      </c>
      <c r="C852" s="29" t="str">
        <f t="shared" ca="1" si="41"/>
        <v/>
      </c>
      <c r="D852" s="57"/>
      <c r="E852" s="57"/>
      <c r="F852" s="57"/>
      <c r="G852" s="58"/>
      <c r="H852" s="58"/>
      <c r="I852" s="59"/>
      <c r="J852" s="59"/>
      <c r="K852" s="59"/>
      <c r="L852" s="5">
        <f t="shared" si="39"/>
        <v>0</v>
      </c>
    </row>
    <row r="853" spans="2:12" x14ac:dyDescent="0.3">
      <c r="B853" s="28" t="str">
        <f t="shared" ca="1" si="40"/>
        <v/>
      </c>
      <c r="C853" s="29" t="str">
        <f t="shared" ca="1" si="41"/>
        <v/>
      </c>
      <c r="D853" s="57"/>
      <c r="E853" s="57"/>
      <c r="F853" s="57"/>
      <c r="G853" s="58"/>
      <c r="H853" s="58"/>
      <c r="I853" s="59"/>
      <c r="J853" s="59"/>
      <c r="K853" s="59"/>
      <c r="L853" s="5">
        <f t="shared" si="39"/>
        <v>0</v>
      </c>
    </row>
    <row r="854" spans="2:12" x14ac:dyDescent="0.3">
      <c r="B854" s="28" t="str">
        <f t="shared" ca="1" si="40"/>
        <v/>
      </c>
      <c r="C854" s="29" t="str">
        <f t="shared" ca="1" si="41"/>
        <v/>
      </c>
      <c r="D854" s="57"/>
      <c r="E854" s="57"/>
      <c r="F854" s="57"/>
      <c r="G854" s="58"/>
      <c r="H854" s="58"/>
      <c r="I854" s="59"/>
      <c r="J854" s="59"/>
      <c r="K854" s="59"/>
      <c r="L854" s="5">
        <f t="shared" si="39"/>
        <v>0</v>
      </c>
    </row>
    <row r="855" spans="2:12" x14ac:dyDescent="0.3">
      <c r="B855" s="28" t="str">
        <f t="shared" ca="1" si="40"/>
        <v/>
      </c>
      <c r="C855" s="29" t="str">
        <f t="shared" ca="1" si="41"/>
        <v/>
      </c>
      <c r="D855" s="57"/>
      <c r="E855" s="57"/>
      <c r="F855" s="57"/>
      <c r="G855" s="58"/>
      <c r="H855" s="58"/>
      <c r="I855" s="59"/>
      <c r="J855" s="59"/>
      <c r="K855" s="59"/>
      <c r="L855" s="5">
        <f t="shared" si="39"/>
        <v>0</v>
      </c>
    </row>
    <row r="856" spans="2:12" x14ac:dyDescent="0.3">
      <c r="B856" s="28" t="str">
        <f t="shared" ca="1" si="40"/>
        <v/>
      </c>
      <c r="C856" s="29" t="str">
        <f t="shared" ca="1" si="41"/>
        <v/>
      </c>
      <c r="D856" s="57"/>
      <c r="E856" s="57"/>
      <c r="F856" s="57"/>
      <c r="G856" s="58"/>
      <c r="H856" s="58"/>
      <c r="I856" s="59"/>
      <c r="J856" s="59"/>
      <c r="K856" s="59"/>
      <c r="L856" s="5">
        <f t="shared" si="39"/>
        <v>0</v>
      </c>
    </row>
    <row r="857" spans="2:12" x14ac:dyDescent="0.3">
      <c r="B857" s="28" t="str">
        <f t="shared" ca="1" si="40"/>
        <v/>
      </c>
      <c r="C857" s="29" t="str">
        <f t="shared" ca="1" si="41"/>
        <v/>
      </c>
      <c r="D857" s="57"/>
      <c r="E857" s="57"/>
      <c r="F857" s="57"/>
      <c r="G857" s="58"/>
      <c r="H857" s="58"/>
      <c r="I857" s="59"/>
      <c r="J857" s="59"/>
      <c r="K857" s="59"/>
      <c r="L857" s="5">
        <f t="shared" si="39"/>
        <v>0</v>
      </c>
    </row>
    <row r="858" spans="2:12" x14ac:dyDescent="0.3">
      <c r="B858" s="28" t="str">
        <f t="shared" ca="1" si="40"/>
        <v/>
      </c>
      <c r="C858" s="29" t="str">
        <f t="shared" ca="1" si="41"/>
        <v/>
      </c>
      <c r="D858" s="57"/>
      <c r="E858" s="57"/>
      <c r="F858" s="57"/>
      <c r="G858" s="58"/>
      <c r="H858" s="58"/>
      <c r="I858" s="59"/>
      <c r="J858" s="59"/>
      <c r="K858" s="59"/>
      <c r="L858" s="5">
        <f t="shared" si="39"/>
        <v>0</v>
      </c>
    </row>
    <row r="859" spans="2:12" x14ac:dyDescent="0.3">
      <c r="B859" s="28" t="str">
        <f t="shared" ca="1" si="40"/>
        <v/>
      </c>
      <c r="C859" s="29" t="str">
        <f t="shared" ca="1" si="41"/>
        <v/>
      </c>
      <c r="D859" s="57"/>
      <c r="E859" s="57"/>
      <c r="F859" s="57"/>
      <c r="G859" s="58"/>
      <c r="H859" s="58"/>
      <c r="I859" s="59"/>
      <c r="J859" s="59"/>
      <c r="K859" s="59"/>
      <c r="L859" s="5">
        <f t="shared" si="39"/>
        <v>0</v>
      </c>
    </row>
    <row r="860" spans="2:12" x14ac:dyDescent="0.3">
      <c r="B860" s="28" t="str">
        <f t="shared" ca="1" si="40"/>
        <v/>
      </c>
      <c r="C860" s="29" t="str">
        <f t="shared" ca="1" si="41"/>
        <v/>
      </c>
      <c r="D860" s="57"/>
      <c r="E860" s="57"/>
      <c r="F860" s="57"/>
      <c r="G860" s="58"/>
      <c r="H860" s="58"/>
      <c r="I860" s="59"/>
      <c r="J860" s="59"/>
      <c r="K860" s="59"/>
      <c r="L860" s="5">
        <f t="shared" si="39"/>
        <v>0</v>
      </c>
    </row>
    <row r="861" spans="2:12" x14ac:dyDescent="0.3">
      <c r="B861" s="28" t="str">
        <f t="shared" ca="1" si="40"/>
        <v/>
      </c>
      <c r="C861" s="29" t="str">
        <f t="shared" ca="1" si="41"/>
        <v/>
      </c>
      <c r="D861" s="57"/>
      <c r="E861" s="57"/>
      <c r="F861" s="57"/>
      <c r="G861" s="58"/>
      <c r="H861" s="58"/>
      <c r="I861" s="59"/>
      <c r="J861" s="59"/>
      <c r="K861" s="59"/>
      <c r="L861" s="5">
        <f t="shared" si="39"/>
        <v>0</v>
      </c>
    </row>
    <row r="862" spans="2:12" x14ac:dyDescent="0.3">
      <c r="B862" s="28" t="str">
        <f t="shared" ca="1" si="40"/>
        <v/>
      </c>
      <c r="C862" s="29" t="str">
        <f t="shared" ca="1" si="41"/>
        <v/>
      </c>
      <c r="D862" s="57"/>
      <c r="E862" s="57"/>
      <c r="F862" s="57"/>
      <c r="G862" s="58"/>
      <c r="H862" s="58"/>
      <c r="I862" s="59"/>
      <c r="J862" s="59"/>
      <c r="K862" s="59"/>
      <c r="L862" s="5">
        <f t="shared" si="39"/>
        <v>0</v>
      </c>
    </row>
    <row r="863" spans="2:12" x14ac:dyDescent="0.3">
      <c r="B863" s="28" t="str">
        <f t="shared" ca="1" si="40"/>
        <v/>
      </c>
      <c r="C863" s="29" t="str">
        <f t="shared" ca="1" si="41"/>
        <v/>
      </c>
      <c r="D863" s="57"/>
      <c r="E863" s="57"/>
      <c r="F863" s="57"/>
      <c r="G863" s="58"/>
      <c r="H863" s="58"/>
      <c r="I863" s="59"/>
      <c r="J863" s="59"/>
      <c r="K863" s="59"/>
      <c r="L863" s="5">
        <f t="shared" si="39"/>
        <v>0</v>
      </c>
    </row>
    <row r="864" spans="2:12" x14ac:dyDescent="0.3">
      <c r="B864" s="28" t="str">
        <f t="shared" ca="1" si="40"/>
        <v/>
      </c>
      <c r="C864" s="29" t="str">
        <f t="shared" ca="1" si="41"/>
        <v/>
      </c>
      <c r="D864" s="57"/>
      <c r="E864" s="57"/>
      <c r="F864" s="57"/>
      <c r="G864" s="58"/>
      <c r="H864" s="58"/>
      <c r="I864" s="59"/>
      <c r="J864" s="59"/>
      <c r="K864" s="59"/>
      <c r="L864" s="5">
        <f t="shared" si="39"/>
        <v>0</v>
      </c>
    </row>
    <row r="865" spans="2:12" x14ac:dyDescent="0.3">
      <c r="B865" s="28" t="str">
        <f t="shared" ca="1" si="40"/>
        <v/>
      </c>
      <c r="C865" s="29" t="str">
        <f t="shared" ca="1" si="41"/>
        <v/>
      </c>
      <c r="D865" s="57"/>
      <c r="E865" s="57"/>
      <c r="F865" s="57"/>
      <c r="G865" s="58"/>
      <c r="H865" s="58"/>
      <c r="I865" s="59"/>
      <c r="J865" s="59"/>
      <c r="K865" s="59"/>
      <c r="L865" s="5">
        <f t="shared" si="39"/>
        <v>0</v>
      </c>
    </row>
    <row r="866" spans="2:12" x14ac:dyDescent="0.3">
      <c r="B866" s="28" t="str">
        <f t="shared" ca="1" si="40"/>
        <v/>
      </c>
      <c r="C866" s="29" t="str">
        <f t="shared" ca="1" si="41"/>
        <v/>
      </c>
      <c r="D866" s="57"/>
      <c r="E866" s="57"/>
      <c r="F866" s="57"/>
      <c r="G866" s="58"/>
      <c r="H866" s="58"/>
      <c r="I866" s="59"/>
      <c r="J866" s="59"/>
      <c r="K866" s="59"/>
      <c r="L866" s="5">
        <f t="shared" si="39"/>
        <v>0</v>
      </c>
    </row>
    <row r="867" spans="2:12" x14ac:dyDescent="0.3">
      <c r="B867" s="28" t="str">
        <f t="shared" ca="1" si="40"/>
        <v/>
      </c>
      <c r="C867" s="29" t="str">
        <f t="shared" ca="1" si="41"/>
        <v/>
      </c>
      <c r="D867" s="57"/>
      <c r="E867" s="57"/>
      <c r="F867" s="57"/>
      <c r="G867" s="58"/>
      <c r="H867" s="58"/>
      <c r="I867" s="59"/>
      <c r="J867" s="59"/>
      <c r="K867" s="59"/>
      <c r="L867" s="5">
        <f t="shared" si="39"/>
        <v>0</v>
      </c>
    </row>
    <row r="868" spans="2:12" x14ac:dyDescent="0.3">
      <c r="B868" s="28" t="str">
        <f t="shared" ca="1" si="40"/>
        <v/>
      </c>
      <c r="C868" s="29" t="str">
        <f t="shared" ca="1" si="41"/>
        <v/>
      </c>
      <c r="D868" s="57"/>
      <c r="E868" s="57"/>
      <c r="F868" s="57"/>
      <c r="G868" s="58"/>
      <c r="H868" s="58"/>
      <c r="I868" s="59"/>
      <c r="J868" s="59"/>
      <c r="K868" s="59"/>
      <c r="L868" s="5">
        <f t="shared" si="39"/>
        <v>0</v>
      </c>
    </row>
    <row r="869" spans="2:12" x14ac:dyDescent="0.3">
      <c r="B869" s="28" t="str">
        <f t="shared" ca="1" si="40"/>
        <v/>
      </c>
      <c r="C869" s="29" t="str">
        <f t="shared" ca="1" si="41"/>
        <v/>
      </c>
      <c r="D869" s="57"/>
      <c r="E869" s="57"/>
      <c r="F869" s="57"/>
      <c r="G869" s="58"/>
      <c r="H869" s="58"/>
      <c r="I869" s="59"/>
      <c r="J869" s="59"/>
      <c r="K869" s="59"/>
      <c r="L869" s="5">
        <f t="shared" si="39"/>
        <v>0</v>
      </c>
    </row>
    <row r="870" spans="2:12" x14ac:dyDescent="0.3">
      <c r="B870" s="28" t="str">
        <f t="shared" ca="1" si="40"/>
        <v/>
      </c>
      <c r="C870" s="29" t="str">
        <f t="shared" ca="1" si="41"/>
        <v/>
      </c>
      <c r="D870" s="57"/>
      <c r="E870" s="57"/>
      <c r="F870" s="57"/>
      <c r="G870" s="58"/>
      <c r="H870" s="58"/>
      <c r="I870" s="59"/>
      <c r="J870" s="59"/>
      <c r="K870" s="59"/>
      <c r="L870" s="5">
        <f t="shared" si="39"/>
        <v>0</v>
      </c>
    </row>
    <row r="871" spans="2:12" x14ac:dyDescent="0.3">
      <c r="B871" s="28" t="str">
        <f t="shared" ca="1" si="40"/>
        <v/>
      </c>
      <c r="C871" s="29" t="str">
        <f t="shared" ca="1" si="41"/>
        <v/>
      </c>
      <c r="D871" s="57"/>
      <c r="E871" s="57"/>
      <c r="F871" s="57"/>
      <c r="G871" s="58"/>
      <c r="H871" s="58"/>
      <c r="I871" s="59"/>
      <c r="J871" s="59"/>
      <c r="K871" s="59"/>
      <c r="L871" s="5">
        <f t="shared" si="39"/>
        <v>0</v>
      </c>
    </row>
    <row r="872" spans="2:12" x14ac:dyDescent="0.3">
      <c r="B872" s="28" t="str">
        <f t="shared" ca="1" si="40"/>
        <v/>
      </c>
      <c r="C872" s="29" t="str">
        <f t="shared" ca="1" si="41"/>
        <v/>
      </c>
      <c r="D872" s="57"/>
      <c r="E872" s="57"/>
      <c r="F872" s="57"/>
      <c r="G872" s="58"/>
      <c r="H872" s="58"/>
      <c r="I872" s="59"/>
      <c r="J872" s="59"/>
      <c r="K872" s="59"/>
      <c r="L872" s="5">
        <f t="shared" si="39"/>
        <v>0</v>
      </c>
    </row>
    <row r="873" spans="2:12" x14ac:dyDescent="0.3">
      <c r="B873" s="28" t="str">
        <f t="shared" ca="1" si="40"/>
        <v/>
      </c>
      <c r="C873" s="29" t="str">
        <f t="shared" ca="1" si="41"/>
        <v/>
      </c>
      <c r="D873" s="57"/>
      <c r="E873" s="57"/>
      <c r="F873" s="57"/>
      <c r="G873" s="58"/>
      <c r="H873" s="58"/>
      <c r="I873" s="59"/>
      <c r="J873" s="59"/>
      <c r="K873" s="59"/>
      <c r="L873" s="5">
        <f t="shared" si="39"/>
        <v>0</v>
      </c>
    </row>
    <row r="874" spans="2:12" x14ac:dyDescent="0.3">
      <c r="B874" s="28" t="str">
        <f t="shared" ca="1" si="40"/>
        <v/>
      </c>
      <c r="C874" s="29" t="str">
        <f t="shared" ca="1" si="41"/>
        <v/>
      </c>
      <c r="D874" s="57"/>
      <c r="E874" s="57"/>
      <c r="F874" s="57"/>
      <c r="G874" s="58"/>
      <c r="H874" s="58"/>
      <c r="I874" s="59"/>
      <c r="J874" s="59"/>
      <c r="K874" s="59"/>
      <c r="L874" s="5">
        <f t="shared" si="39"/>
        <v>0</v>
      </c>
    </row>
    <row r="875" spans="2:12" x14ac:dyDescent="0.3">
      <c r="B875" s="28" t="str">
        <f t="shared" ca="1" si="40"/>
        <v/>
      </c>
      <c r="C875" s="29" t="str">
        <f t="shared" ca="1" si="41"/>
        <v/>
      </c>
      <c r="D875" s="57"/>
      <c r="E875" s="57"/>
      <c r="F875" s="57"/>
      <c r="G875" s="58"/>
      <c r="H875" s="58"/>
      <c r="I875" s="59"/>
      <c r="J875" s="59"/>
      <c r="K875" s="59"/>
      <c r="L875" s="5">
        <f t="shared" si="39"/>
        <v>0</v>
      </c>
    </row>
    <row r="876" spans="2:12" x14ac:dyDescent="0.3">
      <c r="B876" s="28" t="str">
        <f t="shared" ca="1" si="40"/>
        <v/>
      </c>
      <c r="C876" s="29" t="str">
        <f t="shared" ca="1" si="41"/>
        <v/>
      </c>
      <c r="D876" s="57"/>
      <c r="E876" s="57"/>
      <c r="F876" s="57"/>
      <c r="G876" s="58"/>
      <c r="H876" s="58"/>
      <c r="I876" s="59"/>
      <c r="J876" s="59"/>
      <c r="K876" s="59"/>
      <c r="L876" s="5">
        <f t="shared" si="39"/>
        <v>0</v>
      </c>
    </row>
    <row r="877" spans="2:12" x14ac:dyDescent="0.3">
      <c r="B877" s="28" t="str">
        <f t="shared" ca="1" si="40"/>
        <v/>
      </c>
      <c r="C877" s="29" t="str">
        <f t="shared" ca="1" si="41"/>
        <v/>
      </c>
      <c r="D877" s="57"/>
      <c r="E877" s="57"/>
      <c r="F877" s="57"/>
      <c r="G877" s="58"/>
      <c r="H877" s="58"/>
      <c r="I877" s="59"/>
      <c r="J877" s="59"/>
      <c r="K877" s="59"/>
      <c r="L877" s="5">
        <f t="shared" si="39"/>
        <v>0</v>
      </c>
    </row>
    <row r="878" spans="2:12" x14ac:dyDescent="0.3">
      <c r="B878" s="28" t="str">
        <f t="shared" ca="1" si="40"/>
        <v/>
      </c>
      <c r="C878" s="29" t="str">
        <f t="shared" ca="1" si="41"/>
        <v/>
      </c>
      <c r="D878" s="57"/>
      <c r="E878" s="57"/>
      <c r="F878" s="57"/>
      <c r="G878" s="58"/>
      <c r="H878" s="58"/>
      <c r="I878" s="59"/>
      <c r="J878" s="59"/>
      <c r="K878" s="59"/>
      <c r="L878" s="5">
        <f t="shared" si="39"/>
        <v>0</v>
      </c>
    </row>
    <row r="879" spans="2:12" x14ac:dyDescent="0.3">
      <c r="B879" s="28" t="str">
        <f t="shared" ca="1" si="40"/>
        <v/>
      </c>
      <c r="C879" s="29" t="str">
        <f t="shared" ca="1" si="41"/>
        <v/>
      </c>
      <c r="D879" s="57"/>
      <c r="E879" s="57"/>
      <c r="F879" s="57"/>
      <c r="G879" s="58"/>
      <c r="H879" s="58"/>
      <c r="I879" s="59"/>
      <c r="J879" s="59"/>
      <c r="K879" s="59"/>
      <c r="L879" s="5">
        <f t="shared" si="39"/>
        <v>0</v>
      </c>
    </row>
    <row r="880" spans="2:12" x14ac:dyDescent="0.3">
      <c r="B880" s="28" t="str">
        <f t="shared" ca="1" si="40"/>
        <v/>
      </c>
      <c r="C880" s="29" t="str">
        <f t="shared" ca="1" si="41"/>
        <v/>
      </c>
      <c r="D880" s="57"/>
      <c r="E880" s="57"/>
      <c r="F880" s="57"/>
      <c r="G880" s="58"/>
      <c r="H880" s="58"/>
      <c r="I880" s="59"/>
      <c r="J880" s="59"/>
      <c r="K880" s="59"/>
      <c r="L880" s="5">
        <f t="shared" si="39"/>
        <v>0</v>
      </c>
    </row>
    <row r="881" spans="2:12" x14ac:dyDescent="0.3">
      <c r="B881" s="28" t="str">
        <f t="shared" ca="1" si="40"/>
        <v/>
      </c>
      <c r="C881" s="29" t="str">
        <f t="shared" ca="1" si="41"/>
        <v/>
      </c>
      <c r="D881" s="57"/>
      <c r="E881" s="57"/>
      <c r="F881" s="57"/>
      <c r="G881" s="58"/>
      <c r="H881" s="58"/>
      <c r="I881" s="59"/>
      <c r="J881" s="59"/>
      <c r="K881" s="59"/>
      <c r="L881" s="5">
        <f t="shared" si="39"/>
        <v>0</v>
      </c>
    </row>
    <row r="882" spans="2:12" x14ac:dyDescent="0.3">
      <c r="B882" s="28" t="str">
        <f t="shared" ca="1" si="40"/>
        <v/>
      </c>
      <c r="C882" s="29" t="str">
        <f t="shared" ca="1" si="41"/>
        <v/>
      </c>
      <c r="D882" s="57"/>
      <c r="E882" s="57"/>
      <c r="F882" s="57"/>
      <c r="G882" s="58"/>
      <c r="H882" s="58"/>
      <c r="I882" s="59"/>
      <c r="J882" s="59"/>
      <c r="K882" s="59"/>
      <c r="L882" s="5">
        <f t="shared" si="39"/>
        <v>0</v>
      </c>
    </row>
    <row r="883" spans="2:12" x14ac:dyDescent="0.3">
      <c r="B883" s="28" t="str">
        <f t="shared" ca="1" si="40"/>
        <v/>
      </c>
      <c r="C883" s="29" t="str">
        <f t="shared" ca="1" si="41"/>
        <v/>
      </c>
      <c r="D883" s="57"/>
      <c r="E883" s="57"/>
      <c r="F883" s="57"/>
      <c r="G883" s="58"/>
      <c r="H883" s="58"/>
      <c r="I883" s="59"/>
      <c r="J883" s="59"/>
      <c r="K883" s="59"/>
      <c r="L883" s="5">
        <f t="shared" si="39"/>
        <v>0</v>
      </c>
    </row>
    <row r="884" spans="2:12" x14ac:dyDescent="0.3">
      <c r="B884" s="28" t="str">
        <f t="shared" ca="1" si="40"/>
        <v/>
      </c>
      <c r="C884" s="29" t="str">
        <f t="shared" ca="1" si="41"/>
        <v/>
      </c>
      <c r="D884" s="57"/>
      <c r="E884" s="57"/>
      <c r="F884" s="57"/>
      <c r="G884" s="58"/>
      <c r="H884" s="58"/>
      <c r="I884" s="59"/>
      <c r="J884" s="59"/>
      <c r="K884" s="59"/>
      <c r="L884" s="5">
        <f t="shared" si="39"/>
        <v>0</v>
      </c>
    </row>
    <row r="885" spans="2:12" x14ac:dyDescent="0.3">
      <c r="B885" s="28" t="str">
        <f t="shared" ca="1" si="40"/>
        <v/>
      </c>
      <c r="C885" s="29" t="str">
        <f t="shared" ca="1" si="41"/>
        <v/>
      </c>
      <c r="D885" s="57"/>
      <c r="E885" s="57"/>
      <c r="F885" s="57"/>
      <c r="G885" s="58"/>
      <c r="H885" s="58"/>
      <c r="I885" s="59"/>
      <c r="J885" s="59"/>
      <c r="K885" s="59"/>
      <c r="L885" s="5">
        <f t="shared" si="39"/>
        <v>0</v>
      </c>
    </row>
    <row r="886" spans="2:12" x14ac:dyDescent="0.3">
      <c r="B886" s="28" t="str">
        <f t="shared" ca="1" si="40"/>
        <v/>
      </c>
      <c r="C886" s="29" t="str">
        <f t="shared" ca="1" si="41"/>
        <v/>
      </c>
      <c r="D886" s="57"/>
      <c r="E886" s="57"/>
      <c r="F886" s="57"/>
      <c r="G886" s="58"/>
      <c r="H886" s="58"/>
      <c r="I886" s="59"/>
      <c r="J886" s="59"/>
      <c r="K886" s="59"/>
      <c r="L886" s="5">
        <f t="shared" si="39"/>
        <v>0</v>
      </c>
    </row>
    <row r="887" spans="2:12" x14ac:dyDescent="0.3">
      <c r="B887" s="28" t="str">
        <f t="shared" ca="1" si="40"/>
        <v/>
      </c>
      <c r="C887" s="29" t="str">
        <f t="shared" ca="1" si="41"/>
        <v/>
      </c>
      <c r="D887" s="57"/>
      <c r="E887" s="57"/>
      <c r="F887" s="57"/>
      <c r="G887" s="58"/>
      <c r="H887" s="58"/>
      <c r="I887" s="59"/>
      <c r="J887" s="59"/>
      <c r="K887" s="59"/>
      <c r="L887" s="5">
        <f t="shared" si="39"/>
        <v>0</v>
      </c>
    </row>
    <row r="888" spans="2:12" x14ac:dyDescent="0.3">
      <c r="B888" s="28" t="str">
        <f t="shared" ca="1" si="40"/>
        <v/>
      </c>
      <c r="C888" s="29" t="str">
        <f t="shared" ca="1" si="41"/>
        <v/>
      </c>
      <c r="D888" s="57"/>
      <c r="E888" s="57"/>
      <c r="F888" s="57"/>
      <c r="G888" s="58"/>
      <c r="H888" s="58"/>
      <c r="I888" s="59"/>
      <c r="J888" s="59"/>
      <c r="K888" s="59"/>
      <c r="L888" s="5">
        <f t="shared" si="39"/>
        <v>0</v>
      </c>
    </row>
    <row r="889" spans="2:12" x14ac:dyDescent="0.3">
      <c r="B889" s="28" t="str">
        <f t="shared" ca="1" si="40"/>
        <v/>
      </c>
      <c r="C889" s="29" t="str">
        <f t="shared" ca="1" si="41"/>
        <v/>
      </c>
      <c r="D889" s="57"/>
      <c r="E889" s="57"/>
      <c r="F889" s="57"/>
      <c r="G889" s="58"/>
      <c r="H889" s="58"/>
      <c r="I889" s="59"/>
      <c r="J889" s="59"/>
      <c r="K889" s="59"/>
      <c r="L889" s="5">
        <f t="shared" si="39"/>
        <v>0</v>
      </c>
    </row>
    <row r="890" spans="2:12" x14ac:dyDescent="0.3">
      <c r="B890" s="28" t="str">
        <f t="shared" ca="1" si="40"/>
        <v/>
      </c>
      <c r="C890" s="29" t="str">
        <f t="shared" ca="1" si="41"/>
        <v/>
      </c>
      <c r="D890" s="57"/>
      <c r="E890" s="57"/>
      <c r="F890" s="57"/>
      <c r="G890" s="58"/>
      <c r="H890" s="58"/>
      <c r="I890" s="59"/>
      <c r="J890" s="59"/>
      <c r="K890" s="59"/>
      <c r="L890" s="5">
        <f t="shared" si="39"/>
        <v>0</v>
      </c>
    </row>
    <row r="891" spans="2:12" x14ac:dyDescent="0.3">
      <c r="B891" s="28" t="str">
        <f t="shared" ca="1" si="40"/>
        <v/>
      </c>
      <c r="C891" s="29" t="str">
        <f t="shared" ca="1" si="41"/>
        <v/>
      </c>
      <c r="D891" s="57"/>
      <c r="E891" s="57"/>
      <c r="F891" s="57"/>
      <c r="G891" s="58"/>
      <c r="H891" s="58"/>
      <c r="I891" s="59"/>
      <c r="J891" s="59"/>
      <c r="K891" s="59"/>
      <c r="L891" s="5">
        <f t="shared" si="39"/>
        <v>0</v>
      </c>
    </row>
    <row r="892" spans="2:12" x14ac:dyDescent="0.3">
      <c r="B892" s="28" t="str">
        <f t="shared" ca="1" si="40"/>
        <v/>
      </c>
      <c r="C892" s="29" t="str">
        <f t="shared" ca="1" si="41"/>
        <v/>
      </c>
      <c r="D892" s="57"/>
      <c r="E892" s="57"/>
      <c r="F892" s="57"/>
      <c r="G892" s="58"/>
      <c r="H892" s="58"/>
      <c r="I892" s="59"/>
      <c r="J892" s="59"/>
      <c r="K892" s="59"/>
      <c r="L892" s="5">
        <f t="shared" si="39"/>
        <v>0</v>
      </c>
    </row>
    <row r="893" spans="2:12" x14ac:dyDescent="0.3">
      <c r="B893" s="28" t="str">
        <f t="shared" ca="1" si="40"/>
        <v/>
      </c>
      <c r="C893" s="29" t="str">
        <f t="shared" ca="1" si="41"/>
        <v/>
      </c>
      <c r="D893" s="57"/>
      <c r="E893" s="57"/>
      <c r="F893" s="57"/>
      <c r="G893" s="58"/>
      <c r="H893" s="58"/>
      <c r="I893" s="59"/>
      <c r="J893" s="59"/>
      <c r="K893" s="59"/>
      <c r="L893" s="5">
        <f t="shared" si="39"/>
        <v>0</v>
      </c>
    </row>
    <row r="894" spans="2:12" x14ac:dyDescent="0.3">
      <c r="B894" s="28" t="str">
        <f t="shared" ca="1" si="40"/>
        <v/>
      </c>
      <c r="C894" s="29" t="str">
        <f t="shared" ca="1" si="41"/>
        <v/>
      </c>
      <c r="D894" s="57"/>
      <c r="E894" s="57"/>
      <c r="F894" s="57"/>
      <c r="G894" s="58"/>
      <c r="H894" s="58"/>
      <c r="I894" s="59"/>
      <c r="J894" s="59"/>
      <c r="K894" s="59"/>
      <c r="L894" s="5">
        <f t="shared" si="39"/>
        <v>0</v>
      </c>
    </row>
    <row r="895" spans="2:12" x14ac:dyDescent="0.3">
      <c r="B895" s="28" t="str">
        <f t="shared" ca="1" si="40"/>
        <v/>
      </c>
      <c r="C895" s="29" t="str">
        <f t="shared" ca="1" si="41"/>
        <v/>
      </c>
      <c r="D895" s="57"/>
      <c r="E895" s="57"/>
      <c r="F895" s="57"/>
      <c r="G895" s="58"/>
      <c r="H895" s="58"/>
      <c r="I895" s="59"/>
      <c r="J895" s="59"/>
      <c r="K895" s="59"/>
      <c r="L895" s="5">
        <f t="shared" si="39"/>
        <v>0</v>
      </c>
    </row>
    <row r="896" spans="2:12" x14ac:dyDescent="0.3">
      <c r="B896" s="28" t="str">
        <f t="shared" ca="1" si="40"/>
        <v/>
      </c>
      <c r="C896" s="29" t="str">
        <f t="shared" ca="1" si="41"/>
        <v/>
      </c>
      <c r="D896" s="57"/>
      <c r="E896" s="57"/>
      <c r="F896" s="57"/>
      <c r="G896" s="58"/>
      <c r="H896" s="58"/>
      <c r="I896" s="59"/>
      <c r="J896" s="59"/>
      <c r="K896" s="59"/>
      <c r="L896" s="5">
        <f t="shared" si="39"/>
        <v>0</v>
      </c>
    </row>
    <row r="897" spans="2:12" x14ac:dyDescent="0.3">
      <c r="B897" s="28" t="str">
        <f t="shared" ca="1" si="40"/>
        <v/>
      </c>
      <c r="C897" s="29" t="str">
        <f t="shared" ca="1" si="41"/>
        <v/>
      </c>
      <c r="D897" s="57"/>
      <c r="E897" s="57"/>
      <c r="F897" s="57"/>
      <c r="G897" s="58"/>
      <c r="H897" s="58"/>
      <c r="I897" s="59"/>
      <c r="J897" s="59"/>
      <c r="K897" s="59"/>
      <c r="L897" s="5">
        <f t="shared" si="39"/>
        <v>0</v>
      </c>
    </row>
    <row r="898" spans="2:12" x14ac:dyDescent="0.3">
      <c r="B898" s="28" t="str">
        <f t="shared" ca="1" si="40"/>
        <v/>
      </c>
      <c r="C898" s="29" t="str">
        <f t="shared" ca="1" si="41"/>
        <v/>
      </c>
      <c r="D898" s="57"/>
      <c r="E898" s="57"/>
      <c r="F898" s="57"/>
      <c r="G898" s="58"/>
      <c r="H898" s="58"/>
      <c r="I898" s="59"/>
      <c r="J898" s="59"/>
      <c r="K898" s="59"/>
      <c r="L898" s="5">
        <f t="shared" si="39"/>
        <v>0</v>
      </c>
    </row>
    <row r="899" spans="2:12" x14ac:dyDescent="0.3">
      <c r="B899" s="28" t="str">
        <f t="shared" ca="1" si="40"/>
        <v/>
      </c>
      <c r="C899" s="29" t="str">
        <f t="shared" ca="1" si="41"/>
        <v/>
      </c>
      <c r="D899" s="57"/>
      <c r="E899" s="57"/>
      <c r="F899" s="57"/>
      <c r="G899" s="58"/>
      <c r="H899" s="58"/>
      <c r="I899" s="59"/>
      <c r="J899" s="59"/>
      <c r="K899" s="59"/>
      <c r="L899" s="5">
        <f t="shared" si="39"/>
        <v>0</v>
      </c>
    </row>
    <row r="900" spans="2:12" x14ac:dyDescent="0.3">
      <c r="B900" s="28" t="str">
        <f t="shared" ca="1" si="40"/>
        <v/>
      </c>
      <c r="C900" s="29" t="str">
        <f t="shared" ca="1" si="41"/>
        <v/>
      </c>
      <c r="D900" s="57"/>
      <c r="E900" s="57"/>
      <c r="F900" s="57"/>
      <c r="G900" s="58"/>
      <c r="H900" s="58"/>
      <c r="I900" s="59"/>
      <c r="J900" s="59"/>
      <c r="K900" s="59"/>
      <c r="L900" s="5">
        <f t="shared" si="39"/>
        <v>0</v>
      </c>
    </row>
    <row r="901" spans="2:12" x14ac:dyDescent="0.3">
      <c r="B901" s="28" t="str">
        <f t="shared" ca="1" si="40"/>
        <v/>
      </c>
      <c r="C901" s="29" t="str">
        <f t="shared" ca="1" si="41"/>
        <v/>
      </c>
      <c r="D901" s="57"/>
      <c r="E901" s="57"/>
      <c r="F901" s="57"/>
      <c r="G901" s="58"/>
      <c r="H901" s="58"/>
      <c r="I901" s="59"/>
      <c r="J901" s="59"/>
      <c r="K901" s="59"/>
      <c r="L901" s="5">
        <f t="shared" si="39"/>
        <v>0</v>
      </c>
    </row>
    <row r="902" spans="2:12" x14ac:dyDescent="0.3">
      <c r="B902" s="28" t="str">
        <f t="shared" ca="1" si="40"/>
        <v/>
      </c>
      <c r="C902" s="29" t="str">
        <f t="shared" ca="1" si="41"/>
        <v/>
      </c>
      <c r="D902" s="57"/>
      <c r="E902" s="57"/>
      <c r="F902" s="57"/>
      <c r="G902" s="58"/>
      <c r="H902" s="58"/>
      <c r="I902" s="59"/>
      <c r="J902" s="59"/>
      <c r="K902" s="59"/>
      <c r="L902" s="5">
        <f t="shared" si="39"/>
        <v>0</v>
      </c>
    </row>
    <row r="903" spans="2:12" x14ac:dyDescent="0.3">
      <c r="B903" s="28" t="str">
        <f t="shared" ca="1" si="40"/>
        <v/>
      </c>
      <c r="C903" s="29" t="str">
        <f t="shared" ca="1" si="41"/>
        <v/>
      </c>
      <c r="D903" s="57"/>
      <c r="E903" s="57"/>
      <c r="F903" s="57"/>
      <c r="G903" s="58"/>
      <c r="H903" s="58"/>
      <c r="I903" s="59"/>
      <c r="J903" s="59"/>
      <c r="K903" s="59"/>
      <c r="L903" s="5">
        <f t="shared" si="39"/>
        <v>0</v>
      </c>
    </row>
    <row r="904" spans="2:12" x14ac:dyDescent="0.3">
      <c r="B904" s="28" t="str">
        <f t="shared" ca="1" si="40"/>
        <v/>
      </c>
      <c r="C904" s="29" t="str">
        <f t="shared" ca="1" si="41"/>
        <v/>
      </c>
      <c r="D904" s="57"/>
      <c r="E904" s="57"/>
      <c r="F904" s="57"/>
      <c r="G904" s="58"/>
      <c r="H904" s="58"/>
      <c r="I904" s="59"/>
      <c r="J904" s="59"/>
      <c r="K904" s="59"/>
      <c r="L904" s="5">
        <f t="shared" si="39"/>
        <v>0</v>
      </c>
    </row>
    <row r="905" spans="2:12" x14ac:dyDescent="0.3">
      <c r="B905" s="28" t="str">
        <f t="shared" ca="1" si="40"/>
        <v/>
      </c>
      <c r="C905" s="29" t="str">
        <f t="shared" ca="1" si="41"/>
        <v/>
      </c>
      <c r="D905" s="57"/>
      <c r="E905" s="57"/>
      <c r="F905" s="57"/>
      <c r="G905" s="58"/>
      <c r="H905" s="58"/>
      <c r="I905" s="59"/>
      <c r="J905" s="59"/>
      <c r="K905" s="59"/>
      <c r="L905" s="5">
        <f t="shared" si="39"/>
        <v>0</v>
      </c>
    </row>
    <row r="906" spans="2:12" x14ac:dyDescent="0.3">
      <c r="B906" s="28" t="str">
        <f t="shared" ca="1" si="40"/>
        <v/>
      </c>
      <c r="C906" s="29" t="str">
        <f t="shared" ca="1" si="41"/>
        <v/>
      </c>
      <c r="D906" s="57"/>
      <c r="E906" s="57"/>
      <c r="F906" s="57"/>
      <c r="G906" s="58"/>
      <c r="H906" s="58"/>
      <c r="I906" s="59"/>
      <c r="J906" s="59"/>
      <c r="K906" s="59"/>
      <c r="L906" s="5">
        <f t="shared" ref="L906:L969" si="42">J906-I906-K906</f>
        <v>0</v>
      </c>
    </row>
    <row r="907" spans="2:12" x14ac:dyDescent="0.3">
      <c r="B907" s="28" t="str">
        <f t="shared" ref="B907:B970" ca="1" si="43">IF(D907&lt;&gt;"",DATE(Jahr,_xlfn.SHEET()-2,D907),"")</f>
        <v/>
      </c>
      <c r="C907" s="29" t="str">
        <f t="shared" ref="C907:C970" ca="1" si="44">B907</f>
        <v/>
      </c>
      <c r="D907" s="57"/>
      <c r="E907" s="57"/>
      <c r="F907" s="57"/>
      <c r="G907" s="58"/>
      <c r="H907" s="58"/>
      <c r="I907" s="59"/>
      <c r="J907" s="59"/>
      <c r="K907" s="59"/>
      <c r="L907" s="5">
        <f t="shared" si="42"/>
        <v>0</v>
      </c>
    </row>
    <row r="908" spans="2:12" x14ac:dyDescent="0.3">
      <c r="B908" s="28" t="str">
        <f t="shared" ca="1" si="43"/>
        <v/>
      </c>
      <c r="C908" s="29" t="str">
        <f t="shared" ca="1" si="44"/>
        <v/>
      </c>
      <c r="D908" s="57"/>
      <c r="E908" s="57"/>
      <c r="F908" s="57"/>
      <c r="G908" s="58"/>
      <c r="H908" s="58"/>
      <c r="I908" s="59"/>
      <c r="J908" s="59"/>
      <c r="K908" s="59"/>
      <c r="L908" s="5">
        <f t="shared" si="42"/>
        <v>0</v>
      </c>
    </row>
    <row r="909" spans="2:12" x14ac:dyDescent="0.3">
      <c r="B909" s="28" t="str">
        <f t="shared" ca="1" si="43"/>
        <v/>
      </c>
      <c r="C909" s="29" t="str">
        <f t="shared" ca="1" si="44"/>
        <v/>
      </c>
      <c r="D909" s="57"/>
      <c r="E909" s="57"/>
      <c r="F909" s="57"/>
      <c r="G909" s="58"/>
      <c r="H909" s="58"/>
      <c r="I909" s="59"/>
      <c r="J909" s="59"/>
      <c r="K909" s="59"/>
      <c r="L909" s="5">
        <f t="shared" si="42"/>
        <v>0</v>
      </c>
    </row>
    <row r="910" spans="2:12" x14ac:dyDescent="0.3">
      <c r="B910" s="28" t="str">
        <f t="shared" ca="1" si="43"/>
        <v/>
      </c>
      <c r="C910" s="29" t="str">
        <f t="shared" ca="1" si="44"/>
        <v/>
      </c>
      <c r="D910" s="57"/>
      <c r="E910" s="57"/>
      <c r="F910" s="57"/>
      <c r="G910" s="58"/>
      <c r="H910" s="58"/>
      <c r="I910" s="59"/>
      <c r="J910" s="59"/>
      <c r="K910" s="59"/>
      <c r="L910" s="5">
        <f t="shared" si="42"/>
        <v>0</v>
      </c>
    </row>
    <row r="911" spans="2:12" x14ac:dyDescent="0.3">
      <c r="B911" s="28" t="str">
        <f t="shared" ca="1" si="43"/>
        <v/>
      </c>
      <c r="C911" s="29" t="str">
        <f t="shared" ca="1" si="44"/>
        <v/>
      </c>
      <c r="D911" s="57"/>
      <c r="E911" s="57"/>
      <c r="F911" s="57"/>
      <c r="G911" s="58"/>
      <c r="H911" s="58"/>
      <c r="I911" s="59"/>
      <c r="J911" s="59"/>
      <c r="K911" s="59"/>
      <c r="L911" s="5">
        <f t="shared" si="42"/>
        <v>0</v>
      </c>
    </row>
    <row r="912" spans="2:12" x14ac:dyDescent="0.3">
      <c r="B912" s="28" t="str">
        <f t="shared" ca="1" si="43"/>
        <v/>
      </c>
      <c r="C912" s="29" t="str">
        <f t="shared" ca="1" si="44"/>
        <v/>
      </c>
      <c r="D912" s="57"/>
      <c r="E912" s="57"/>
      <c r="F912" s="57"/>
      <c r="G912" s="58"/>
      <c r="H912" s="58"/>
      <c r="I912" s="59"/>
      <c r="J912" s="59"/>
      <c r="K912" s="59"/>
      <c r="L912" s="5">
        <f t="shared" si="42"/>
        <v>0</v>
      </c>
    </row>
    <row r="913" spans="2:12" x14ac:dyDescent="0.3">
      <c r="B913" s="28" t="str">
        <f t="shared" ca="1" si="43"/>
        <v/>
      </c>
      <c r="C913" s="29" t="str">
        <f t="shared" ca="1" si="44"/>
        <v/>
      </c>
      <c r="D913" s="57"/>
      <c r="E913" s="57"/>
      <c r="F913" s="57"/>
      <c r="G913" s="58"/>
      <c r="H913" s="58"/>
      <c r="I913" s="59"/>
      <c r="J913" s="59"/>
      <c r="K913" s="59"/>
      <c r="L913" s="5">
        <f t="shared" si="42"/>
        <v>0</v>
      </c>
    </row>
    <row r="914" spans="2:12" x14ac:dyDescent="0.3">
      <c r="B914" s="28" t="str">
        <f t="shared" ca="1" si="43"/>
        <v/>
      </c>
      <c r="C914" s="29" t="str">
        <f t="shared" ca="1" si="44"/>
        <v/>
      </c>
      <c r="D914" s="57"/>
      <c r="E914" s="57"/>
      <c r="F914" s="57"/>
      <c r="G914" s="58"/>
      <c r="H914" s="58"/>
      <c r="I914" s="59"/>
      <c r="J914" s="59"/>
      <c r="K914" s="59"/>
      <c r="L914" s="5">
        <f t="shared" si="42"/>
        <v>0</v>
      </c>
    </row>
    <row r="915" spans="2:12" x14ac:dyDescent="0.3">
      <c r="B915" s="28" t="str">
        <f t="shared" ca="1" si="43"/>
        <v/>
      </c>
      <c r="C915" s="29" t="str">
        <f t="shared" ca="1" si="44"/>
        <v/>
      </c>
      <c r="D915" s="57"/>
      <c r="E915" s="57"/>
      <c r="F915" s="57"/>
      <c r="G915" s="58"/>
      <c r="H915" s="58"/>
      <c r="I915" s="59"/>
      <c r="J915" s="59"/>
      <c r="K915" s="59"/>
      <c r="L915" s="5">
        <f t="shared" si="42"/>
        <v>0</v>
      </c>
    </row>
    <row r="916" spans="2:12" x14ac:dyDescent="0.3">
      <c r="B916" s="28" t="str">
        <f t="shared" ca="1" si="43"/>
        <v/>
      </c>
      <c r="C916" s="29" t="str">
        <f t="shared" ca="1" si="44"/>
        <v/>
      </c>
      <c r="D916" s="57"/>
      <c r="E916" s="57"/>
      <c r="F916" s="57"/>
      <c r="G916" s="58"/>
      <c r="H916" s="58"/>
      <c r="I916" s="59"/>
      <c r="J916" s="59"/>
      <c r="K916" s="59"/>
      <c r="L916" s="5">
        <f t="shared" si="42"/>
        <v>0</v>
      </c>
    </row>
    <row r="917" spans="2:12" x14ac:dyDescent="0.3">
      <c r="B917" s="28" t="str">
        <f t="shared" ca="1" si="43"/>
        <v/>
      </c>
      <c r="C917" s="29" t="str">
        <f t="shared" ca="1" si="44"/>
        <v/>
      </c>
      <c r="D917" s="57"/>
      <c r="E917" s="57"/>
      <c r="F917" s="57"/>
      <c r="G917" s="58"/>
      <c r="H917" s="58"/>
      <c r="I917" s="59"/>
      <c r="J917" s="59"/>
      <c r="K917" s="59"/>
      <c r="L917" s="5">
        <f t="shared" si="42"/>
        <v>0</v>
      </c>
    </row>
    <row r="918" spans="2:12" x14ac:dyDescent="0.3">
      <c r="B918" s="28" t="str">
        <f t="shared" ca="1" si="43"/>
        <v/>
      </c>
      <c r="C918" s="29" t="str">
        <f t="shared" ca="1" si="44"/>
        <v/>
      </c>
      <c r="D918" s="57"/>
      <c r="E918" s="57"/>
      <c r="F918" s="57"/>
      <c r="G918" s="58"/>
      <c r="H918" s="58"/>
      <c r="I918" s="59"/>
      <c r="J918" s="59"/>
      <c r="K918" s="59"/>
      <c r="L918" s="5">
        <f t="shared" si="42"/>
        <v>0</v>
      </c>
    </row>
    <row r="919" spans="2:12" x14ac:dyDescent="0.3">
      <c r="B919" s="28" t="str">
        <f t="shared" ca="1" si="43"/>
        <v/>
      </c>
      <c r="C919" s="29" t="str">
        <f t="shared" ca="1" si="44"/>
        <v/>
      </c>
      <c r="D919" s="57"/>
      <c r="E919" s="57"/>
      <c r="F919" s="57"/>
      <c r="G919" s="58"/>
      <c r="H919" s="58"/>
      <c r="I919" s="59"/>
      <c r="J919" s="59"/>
      <c r="K919" s="59"/>
      <c r="L919" s="5">
        <f t="shared" si="42"/>
        <v>0</v>
      </c>
    </row>
    <row r="920" spans="2:12" x14ac:dyDescent="0.3">
      <c r="B920" s="28" t="str">
        <f t="shared" ca="1" si="43"/>
        <v/>
      </c>
      <c r="C920" s="29" t="str">
        <f t="shared" ca="1" si="44"/>
        <v/>
      </c>
      <c r="D920" s="57"/>
      <c r="E920" s="57"/>
      <c r="F920" s="57"/>
      <c r="G920" s="58"/>
      <c r="H920" s="58"/>
      <c r="I920" s="59"/>
      <c r="J920" s="59"/>
      <c r="K920" s="59"/>
      <c r="L920" s="5">
        <f t="shared" si="42"/>
        <v>0</v>
      </c>
    </row>
    <row r="921" spans="2:12" x14ac:dyDescent="0.3">
      <c r="B921" s="28" t="str">
        <f t="shared" ca="1" si="43"/>
        <v/>
      </c>
      <c r="C921" s="29" t="str">
        <f t="shared" ca="1" si="44"/>
        <v/>
      </c>
      <c r="D921" s="57"/>
      <c r="E921" s="57"/>
      <c r="F921" s="57"/>
      <c r="G921" s="58"/>
      <c r="H921" s="58"/>
      <c r="I921" s="59"/>
      <c r="J921" s="59"/>
      <c r="K921" s="59"/>
      <c r="L921" s="5">
        <f t="shared" si="42"/>
        <v>0</v>
      </c>
    </row>
    <row r="922" spans="2:12" x14ac:dyDescent="0.3">
      <c r="B922" s="28" t="str">
        <f t="shared" ca="1" si="43"/>
        <v/>
      </c>
      <c r="C922" s="29" t="str">
        <f t="shared" ca="1" si="44"/>
        <v/>
      </c>
      <c r="D922" s="57"/>
      <c r="E922" s="57"/>
      <c r="F922" s="57"/>
      <c r="G922" s="58"/>
      <c r="H922" s="58"/>
      <c r="I922" s="59"/>
      <c r="J922" s="59"/>
      <c r="K922" s="59"/>
      <c r="L922" s="5">
        <f t="shared" si="42"/>
        <v>0</v>
      </c>
    </row>
    <row r="923" spans="2:12" x14ac:dyDescent="0.3">
      <c r="B923" s="28" t="str">
        <f t="shared" ca="1" si="43"/>
        <v/>
      </c>
      <c r="C923" s="29" t="str">
        <f t="shared" ca="1" si="44"/>
        <v/>
      </c>
      <c r="D923" s="57"/>
      <c r="E923" s="57"/>
      <c r="F923" s="57"/>
      <c r="G923" s="58"/>
      <c r="H923" s="58"/>
      <c r="I923" s="59"/>
      <c r="J923" s="59"/>
      <c r="K923" s="59"/>
      <c r="L923" s="5">
        <f t="shared" si="42"/>
        <v>0</v>
      </c>
    </row>
    <row r="924" spans="2:12" x14ac:dyDescent="0.3">
      <c r="B924" s="28" t="str">
        <f t="shared" ca="1" si="43"/>
        <v/>
      </c>
      <c r="C924" s="29" t="str">
        <f t="shared" ca="1" si="44"/>
        <v/>
      </c>
      <c r="D924" s="57"/>
      <c r="E924" s="57"/>
      <c r="F924" s="57"/>
      <c r="G924" s="58"/>
      <c r="H924" s="58"/>
      <c r="I924" s="59"/>
      <c r="J924" s="59"/>
      <c r="K924" s="59"/>
      <c r="L924" s="5">
        <f t="shared" si="42"/>
        <v>0</v>
      </c>
    </row>
    <row r="925" spans="2:12" x14ac:dyDescent="0.3">
      <c r="B925" s="28" t="str">
        <f t="shared" ca="1" si="43"/>
        <v/>
      </c>
      <c r="C925" s="29" t="str">
        <f t="shared" ca="1" si="44"/>
        <v/>
      </c>
      <c r="D925" s="57"/>
      <c r="E925" s="57"/>
      <c r="F925" s="57"/>
      <c r="G925" s="58"/>
      <c r="H925" s="58"/>
      <c r="I925" s="59"/>
      <c r="J925" s="59"/>
      <c r="K925" s="59"/>
      <c r="L925" s="5">
        <f t="shared" si="42"/>
        <v>0</v>
      </c>
    </row>
    <row r="926" spans="2:12" x14ac:dyDescent="0.3">
      <c r="B926" s="28" t="str">
        <f t="shared" ca="1" si="43"/>
        <v/>
      </c>
      <c r="C926" s="29" t="str">
        <f t="shared" ca="1" si="44"/>
        <v/>
      </c>
      <c r="D926" s="57"/>
      <c r="E926" s="57"/>
      <c r="F926" s="57"/>
      <c r="G926" s="58"/>
      <c r="H926" s="58"/>
      <c r="I926" s="59"/>
      <c r="J926" s="59"/>
      <c r="K926" s="59"/>
      <c r="L926" s="5">
        <f t="shared" si="42"/>
        <v>0</v>
      </c>
    </row>
    <row r="927" spans="2:12" x14ac:dyDescent="0.3">
      <c r="B927" s="28" t="str">
        <f t="shared" ca="1" si="43"/>
        <v/>
      </c>
      <c r="C927" s="29" t="str">
        <f t="shared" ca="1" si="44"/>
        <v/>
      </c>
      <c r="D927" s="57"/>
      <c r="E927" s="57"/>
      <c r="F927" s="57"/>
      <c r="G927" s="58"/>
      <c r="H927" s="58"/>
      <c r="I927" s="59"/>
      <c r="J927" s="59"/>
      <c r="K927" s="59"/>
      <c r="L927" s="5">
        <f t="shared" si="42"/>
        <v>0</v>
      </c>
    </row>
    <row r="928" spans="2:12" x14ac:dyDescent="0.3">
      <c r="B928" s="28" t="str">
        <f t="shared" ca="1" si="43"/>
        <v/>
      </c>
      <c r="C928" s="29" t="str">
        <f t="shared" ca="1" si="44"/>
        <v/>
      </c>
      <c r="D928" s="57"/>
      <c r="E928" s="57"/>
      <c r="F928" s="57"/>
      <c r="G928" s="58"/>
      <c r="H928" s="58"/>
      <c r="I928" s="59"/>
      <c r="J928" s="59"/>
      <c r="K928" s="59"/>
      <c r="L928" s="5">
        <f t="shared" si="42"/>
        <v>0</v>
      </c>
    </row>
    <row r="929" spans="2:12" x14ac:dyDescent="0.3">
      <c r="B929" s="28" t="str">
        <f t="shared" ca="1" si="43"/>
        <v/>
      </c>
      <c r="C929" s="29" t="str">
        <f t="shared" ca="1" si="44"/>
        <v/>
      </c>
      <c r="D929" s="57"/>
      <c r="E929" s="57"/>
      <c r="F929" s="57"/>
      <c r="G929" s="58"/>
      <c r="H929" s="58"/>
      <c r="I929" s="59"/>
      <c r="J929" s="59"/>
      <c r="K929" s="59"/>
      <c r="L929" s="5">
        <f t="shared" si="42"/>
        <v>0</v>
      </c>
    </row>
    <row r="930" spans="2:12" x14ac:dyDescent="0.3">
      <c r="B930" s="28" t="str">
        <f t="shared" ca="1" si="43"/>
        <v/>
      </c>
      <c r="C930" s="29" t="str">
        <f t="shared" ca="1" si="44"/>
        <v/>
      </c>
      <c r="D930" s="57"/>
      <c r="E930" s="57"/>
      <c r="F930" s="57"/>
      <c r="G930" s="58"/>
      <c r="H930" s="58"/>
      <c r="I930" s="59"/>
      <c r="J930" s="59"/>
      <c r="K930" s="59"/>
      <c r="L930" s="5">
        <f t="shared" si="42"/>
        <v>0</v>
      </c>
    </row>
    <row r="931" spans="2:12" x14ac:dyDescent="0.3">
      <c r="B931" s="28" t="str">
        <f t="shared" ca="1" si="43"/>
        <v/>
      </c>
      <c r="C931" s="29" t="str">
        <f t="shared" ca="1" si="44"/>
        <v/>
      </c>
      <c r="D931" s="57"/>
      <c r="E931" s="57"/>
      <c r="F931" s="57"/>
      <c r="G931" s="58"/>
      <c r="H931" s="58"/>
      <c r="I931" s="59"/>
      <c r="J931" s="59"/>
      <c r="K931" s="59"/>
      <c r="L931" s="5">
        <f t="shared" si="42"/>
        <v>0</v>
      </c>
    </row>
    <row r="932" spans="2:12" x14ac:dyDescent="0.3">
      <c r="B932" s="28" t="str">
        <f t="shared" ca="1" si="43"/>
        <v/>
      </c>
      <c r="C932" s="29" t="str">
        <f t="shared" ca="1" si="44"/>
        <v/>
      </c>
      <c r="D932" s="57"/>
      <c r="E932" s="57"/>
      <c r="F932" s="57"/>
      <c r="G932" s="58"/>
      <c r="H932" s="58"/>
      <c r="I932" s="59"/>
      <c r="J932" s="59"/>
      <c r="K932" s="59"/>
      <c r="L932" s="5">
        <f t="shared" si="42"/>
        <v>0</v>
      </c>
    </row>
    <row r="933" spans="2:12" x14ac:dyDescent="0.3">
      <c r="B933" s="28" t="str">
        <f t="shared" ca="1" si="43"/>
        <v/>
      </c>
      <c r="C933" s="29" t="str">
        <f t="shared" ca="1" si="44"/>
        <v/>
      </c>
      <c r="D933" s="57"/>
      <c r="E933" s="57"/>
      <c r="F933" s="57"/>
      <c r="G933" s="58"/>
      <c r="H933" s="58"/>
      <c r="I933" s="59"/>
      <c r="J933" s="59"/>
      <c r="K933" s="59"/>
      <c r="L933" s="5">
        <f t="shared" si="42"/>
        <v>0</v>
      </c>
    </row>
    <row r="934" spans="2:12" x14ac:dyDescent="0.3">
      <c r="B934" s="28" t="str">
        <f t="shared" ca="1" si="43"/>
        <v/>
      </c>
      <c r="C934" s="29" t="str">
        <f t="shared" ca="1" si="44"/>
        <v/>
      </c>
      <c r="D934" s="57"/>
      <c r="E934" s="57"/>
      <c r="F934" s="57"/>
      <c r="G934" s="58"/>
      <c r="H934" s="58"/>
      <c r="I934" s="59"/>
      <c r="J934" s="59"/>
      <c r="K934" s="59"/>
      <c r="L934" s="5">
        <f t="shared" si="42"/>
        <v>0</v>
      </c>
    </row>
    <row r="935" spans="2:12" x14ac:dyDescent="0.3">
      <c r="B935" s="28" t="str">
        <f t="shared" ca="1" si="43"/>
        <v/>
      </c>
      <c r="C935" s="29" t="str">
        <f t="shared" ca="1" si="44"/>
        <v/>
      </c>
      <c r="D935" s="57"/>
      <c r="E935" s="57"/>
      <c r="F935" s="57"/>
      <c r="G935" s="58"/>
      <c r="H935" s="58"/>
      <c r="I935" s="59"/>
      <c r="J935" s="59"/>
      <c r="K935" s="59"/>
      <c r="L935" s="5">
        <f t="shared" si="42"/>
        <v>0</v>
      </c>
    </row>
    <row r="936" spans="2:12" x14ac:dyDescent="0.3">
      <c r="B936" s="28" t="str">
        <f t="shared" ca="1" si="43"/>
        <v/>
      </c>
      <c r="C936" s="29" t="str">
        <f t="shared" ca="1" si="44"/>
        <v/>
      </c>
      <c r="D936" s="57"/>
      <c r="E936" s="57"/>
      <c r="F936" s="57"/>
      <c r="G936" s="58"/>
      <c r="H936" s="58"/>
      <c r="I936" s="59"/>
      <c r="J936" s="59"/>
      <c r="K936" s="59"/>
      <c r="L936" s="5">
        <f t="shared" si="42"/>
        <v>0</v>
      </c>
    </row>
    <row r="937" spans="2:12" x14ac:dyDescent="0.3">
      <c r="B937" s="28" t="str">
        <f t="shared" ca="1" si="43"/>
        <v/>
      </c>
      <c r="C937" s="29" t="str">
        <f t="shared" ca="1" si="44"/>
        <v/>
      </c>
      <c r="D937" s="57"/>
      <c r="E937" s="57"/>
      <c r="F937" s="57"/>
      <c r="G937" s="58"/>
      <c r="H937" s="58"/>
      <c r="I937" s="59"/>
      <c r="J937" s="59"/>
      <c r="K937" s="59"/>
      <c r="L937" s="5">
        <f t="shared" si="42"/>
        <v>0</v>
      </c>
    </row>
    <row r="938" spans="2:12" x14ac:dyDescent="0.3">
      <c r="B938" s="28" t="str">
        <f t="shared" ca="1" si="43"/>
        <v/>
      </c>
      <c r="C938" s="29" t="str">
        <f t="shared" ca="1" si="44"/>
        <v/>
      </c>
      <c r="D938" s="57"/>
      <c r="E938" s="57"/>
      <c r="F938" s="57"/>
      <c r="G938" s="58"/>
      <c r="H938" s="58"/>
      <c r="I938" s="59"/>
      <c r="J938" s="59"/>
      <c r="K938" s="59"/>
      <c r="L938" s="5">
        <f t="shared" si="42"/>
        <v>0</v>
      </c>
    </row>
    <row r="939" spans="2:12" x14ac:dyDescent="0.3">
      <c r="B939" s="28" t="str">
        <f t="shared" ca="1" si="43"/>
        <v/>
      </c>
      <c r="C939" s="29" t="str">
        <f t="shared" ca="1" si="44"/>
        <v/>
      </c>
      <c r="D939" s="57"/>
      <c r="E939" s="57"/>
      <c r="F939" s="57"/>
      <c r="G939" s="58"/>
      <c r="H939" s="58"/>
      <c r="I939" s="59"/>
      <c r="J939" s="59"/>
      <c r="K939" s="59"/>
      <c r="L939" s="5">
        <f t="shared" si="42"/>
        <v>0</v>
      </c>
    </row>
    <row r="940" spans="2:12" x14ac:dyDescent="0.3">
      <c r="B940" s="28" t="str">
        <f t="shared" ca="1" si="43"/>
        <v/>
      </c>
      <c r="C940" s="29" t="str">
        <f t="shared" ca="1" si="44"/>
        <v/>
      </c>
      <c r="D940" s="57"/>
      <c r="E940" s="57"/>
      <c r="F940" s="57"/>
      <c r="G940" s="58"/>
      <c r="H940" s="58"/>
      <c r="I940" s="59"/>
      <c r="J940" s="59"/>
      <c r="K940" s="59"/>
      <c r="L940" s="5">
        <f t="shared" si="42"/>
        <v>0</v>
      </c>
    </row>
    <row r="941" spans="2:12" x14ac:dyDescent="0.3">
      <c r="B941" s="28" t="str">
        <f t="shared" ca="1" si="43"/>
        <v/>
      </c>
      <c r="C941" s="29" t="str">
        <f t="shared" ca="1" si="44"/>
        <v/>
      </c>
      <c r="D941" s="57"/>
      <c r="E941" s="57"/>
      <c r="F941" s="57"/>
      <c r="G941" s="58"/>
      <c r="H941" s="58"/>
      <c r="I941" s="59"/>
      <c r="J941" s="59"/>
      <c r="K941" s="59"/>
      <c r="L941" s="5">
        <f t="shared" si="42"/>
        <v>0</v>
      </c>
    </row>
    <row r="942" spans="2:12" x14ac:dyDescent="0.3">
      <c r="B942" s="28" t="str">
        <f t="shared" ca="1" si="43"/>
        <v/>
      </c>
      <c r="C942" s="29" t="str">
        <f t="shared" ca="1" si="44"/>
        <v/>
      </c>
      <c r="D942" s="57"/>
      <c r="E942" s="57"/>
      <c r="F942" s="57"/>
      <c r="G942" s="58"/>
      <c r="H942" s="58"/>
      <c r="I942" s="59"/>
      <c r="J942" s="59"/>
      <c r="K942" s="59"/>
      <c r="L942" s="5">
        <f t="shared" si="42"/>
        <v>0</v>
      </c>
    </row>
    <row r="943" spans="2:12" x14ac:dyDescent="0.3">
      <c r="B943" s="28" t="str">
        <f t="shared" ca="1" si="43"/>
        <v/>
      </c>
      <c r="C943" s="29" t="str">
        <f t="shared" ca="1" si="44"/>
        <v/>
      </c>
      <c r="D943" s="57"/>
      <c r="E943" s="57"/>
      <c r="F943" s="57"/>
      <c r="G943" s="58"/>
      <c r="H943" s="58"/>
      <c r="I943" s="59"/>
      <c r="J943" s="59"/>
      <c r="K943" s="59"/>
      <c r="L943" s="5">
        <f t="shared" si="42"/>
        <v>0</v>
      </c>
    </row>
    <row r="944" spans="2:12" x14ac:dyDescent="0.3">
      <c r="B944" s="28" t="str">
        <f t="shared" ca="1" si="43"/>
        <v/>
      </c>
      <c r="C944" s="29" t="str">
        <f t="shared" ca="1" si="44"/>
        <v/>
      </c>
      <c r="D944" s="57"/>
      <c r="E944" s="57"/>
      <c r="F944" s="57"/>
      <c r="G944" s="58"/>
      <c r="H944" s="58"/>
      <c r="I944" s="59"/>
      <c r="J944" s="59"/>
      <c r="K944" s="59"/>
      <c r="L944" s="5">
        <f t="shared" si="42"/>
        <v>0</v>
      </c>
    </row>
    <row r="945" spans="2:12" x14ac:dyDescent="0.3">
      <c r="B945" s="28" t="str">
        <f t="shared" ca="1" si="43"/>
        <v/>
      </c>
      <c r="C945" s="29" t="str">
        <f t="shared" ca="1" si="44"/>
        <v/>
      </c>
      <c r="D945" s="57"/>
      <c r="E945" s="57"/>
      <c r="F945" s="57"/>
      <c r="G945" s="58"/>
      <c r="H945" s="58"/>
      <c r="I945" s="59"/>
      <c r="J945" s="59"/>
      <c r="K945" s="59"/>
      <c r="L945" s="5">
        <f t="shared" si="42"/>
        <v>0</v>
      </c>
    </row>
    <row r="946" spans="2:12" x14ac:dyDescent="0.3">
      <c r="B946" s="28" t="str">
        <f t="shared" ca="1" si="43"/>
        <v/>
      </c>
      <c r="C946" s="29" t="str">
        <f t="shared" ca="1" si="44"/>
        <v/>
      </c>
      <c r="D946" s="57"/>
      <c r="E946" s="57"/>
      <c r="F946" s="57"/>
      <c r="G946" s="58"/>
      <c r="H946" s="58"/>
      <c r="I946" s="59"/>
      <c r="J946" s="59"/>
      <c r="K946" s="59"/>
      <c r="L946" s="5">
        <f t="shared" si="42"/>
        <v>0</v>
      </c>
    </row>
    <row r="947" spans="2:12" x14ac:dyDescent="0.3">
      <c r="B947" s="28" t="str">
        <f t="shared" ca="1" si="43"/>
        <v/>
      </c>
      <c r="C947" s="29" t="str">
        <f t="shared" ca="1" si="44"/>
        <v/>
      </c>
      <c r="D947" s="57"/>
      <c r="E947" s="57"/>
      <c r="F947" s="57"/>
      <c r="G947" s="58"/>
      <c r="H947" s="58"/>
      <c r="I947" s="59"/>
      <c r="J947" s="59"/>
      <c r="K947" s="59"/>
      <c r="L947" s="5">
        <f t="shared" si="42"/>
        <v>0</v>
      </c>
    </row>
    <row r="948" spans="2:12" x14ac:dyDescent="0.3">
      <c r="B948" s="28" t="str">
        <f t="shared" ca="1" si="43"/>
        <v/>
      </c>
      <c r="C948" s="29" t="str">
        <f t="shared" ca="1" si="44"/>
        <v/>
      </c>
      <c r="D948" s="57"/>
      <c r="E948" s="57"/>
      <c r="F948" s="57"/>
      <c r="G948" s="58"/>
      <c r="H948" s="58"/>
      <c r="I948" s="59"/>
      <c r="J948" s="59"/>
      <c r="K948" s="59"/>
      <c r="L948" s="5">
        <f t="shared" si="42"/>
        <v>0</v>
      </c>
    </row>
    <row r="949" spans="2:12" x14ac:dyDescent="0.3">
      <c r="B949" s="28" t="str">
        <f t="shared" ca="1" si="43"/>
        <v/>
      </c>
      <c r="C949" s="29" t="str">
        <f t="shared" ca="1" si="44"/>
        <v/>
      </c>
      <c r="D949" s="57"/>
      <c r="E949" s="57"/>
      <c r="F949" s="57"/>
      <c r="G949" s="58"/>
      <c r="H949" s="58"/>
      <c r="I949" s="59"/>
      <c r="J949" s="59"/>
      <c r="K949" s="59"/>
      <c r="L949" s="5">
        <f t="shared" si="42"/>
        <v>0</v>
      </c>
    </row>
    <row r="950" spans="2:12" x14ac:dyDescent="0.3">
      <c r="B950" s="28" t="str">
        <f t="shared" ca="1" si="43"/>
        <v/>
      </c>
      <c r="C950" s="29" t="str">
        <f t="shared" ca="1" si="44"/>
        <v/>
      </c>
      <c r="D950" s="57"/>
      <c r="E950" s="57"/>
      <c r="F950" s="57"/>
      <c r="G950" s="58"/>
      <c r="H950" s="58"/>
      <c r="I950" s="59"/>
      <c r="J950" s="59"/>
      <c r="K950" s="59"/>
      <c r="L950" s="5">
        <f t="shared" si="42"/>
        <v>0</v>
      </c>
    </row>
    <row r="951" spans="2:12" x14ac:dyDescent="0.3">
      <c r="B951" s="28" t="str">
        <f t="shared" ca="1" si="43"/>
        <v/>
      </c>
      <c r="C951" s="29" t="str">
        <f t="shared" ca="1" si="44"/>
        <v/>
      </c>
      <c r="D951" s="57"/>
      <c r="E951" s="57"/>
      <c r="F951" s="57"/>
      <c r="G951" s="58"/>
      <c r="H951" s="58"/>
      <c r="I951" s="59"/>
      <c r="J951" s="59"/>
      <c r="K951" s="59"/>
      <c r="L951" s="5">
        <f t="shared" si="42"/>
        <v>0</v>
      </c>
    </row>
    <row r="952" spans="2:12" x14ac:dyDescent="0.3">
      <c r="B952" s="28" t="str">
        <f t="shared" ca="1" si="43"/>
        <v/>
      </c>
      <c r="C952" s="29" t="str">
        <f t="shared" ca="1" si="44"/>
        <v/>
      </c>
      <c r="D952" s="57"/>
      <c r="E952" s="57"/>
      <c r="F952" s="57"/>
      <c r="G952" s="58"/>
      <c r="H952" s="58"/>
      <c r="I952" s="59"/>
      <c r="J952" s="59"/>
      <c r="K952" s="59"/>
      <c r="L952" s="5">
        <f t="shared" si="42"/>
        <v>0</v>
      </c>
    </row>
    <row r="953" spans="2:12" x14ac:dyDescent="0.3">
      <c r="B953" s="28" t="str">
        <f t="shared" ca="1" si="43"/>
        <v/>
      </c>
      <c r="C953" s="29" t="str">
        <f t="shared" ca="1" si="44"/>
        <v/>
      </c>
      <c r="D953" s="57"/>
      <c r="E953" s="57"/>
      <c r="F953" s="57"/>
      <c r="G953" s="58"/>
      <c r="H953" s="58"/>
      <c r="I953" s="59"/>
      <c r="J953" s="59"/>
      <c r="K953" s="59"/>
      <c r="L953" s="5">
        <f t="shared" si="42"/>
        <v>0</v>
      </c>
    </row>
    <row r="954" spans="2:12" x14ac:dyDescent="0.3">
      <c r="B954" s="28" t="str">
        <f t="shared" ca="1" si="43"/>
        <v/>
      </c>
      <c r="C954" s="29" t="str">
        <f t="shared" ca="1" si="44"/>
        <v/>
      </c>
      <c r="D954" s="57"/>
      <c r="E954" s="57"/>
      <c r="F954" s="57"/>
      <c r="G954" s="58"/>
      <c r="H954" s="58"/>
      <c r="I954" s="59"/>
      <c r="J954" s="59"/>
      <c r="K954" s="59"/>
      <c r="L954" s="5">
        <f t="shared" si="42"/>
        <v>0</v>
      </c>
    </row>
    <row r="955" spans="2:12" x14ac:dyDescent="0.3">
      <c r="B955" s="28" t="str">
        <f t="shared" ca="1" si="43"/>
        <v/>
      </c>
      <c r="C955" s="29" t="str">
        <f t="shared" ca="1" si="44"/>
        <v/>
      </c>
      <c r="D955" s="57"/>
      <c r="E955" s="57"/>
      <c r="F955" s="57"/>
      <c r="G955" s="58"/>
      <c r="H955" s="58"/>
      <c r="I955" s="59"/>
      <c r="J955" s="59"/>
      <c r="K955" s="59"/>
      <c r="L955" s="5">
        <f t="shared" si="42"/>
        <v>0</v>
      </c>
    </row>
    <row r="956" spans="2:12" x14ac:dyDescent="0.3">
      <c r="B956" s="28" t="str">
        <f t="shared" ca="1" si="43"/>
        <v/>
      </c>
      <c r="C956" s="29" t="str">
        <f t="shared" ca="1" si="44"/>
        <v/>
      </c>
      <c r="D956" s="57"/>
      <c r="E956" s="57"/>
      <c r="F956" s="57"/>
      <c r="G956" s="58"/>
      <c r="H956" s="58"/>
      <c r="I956" s="59"/>
      <c r="J956" s="59"/>
      <c r="K956" s="59"/>
      <c r="L956" s="5">
        <f t="shared" si="42"/>
        <v>0</v>
      </c>
    </row>
    <row r="957" spans="2:12" x14ac:dyDescent="0.3">
      <c r="B957" s="28" t="str">
        <f t="shared" ca="1" si="43"/>
        <v/>
      </c>
      <c r="C957" s="29" t="str">
        <f t="shared" ca="1" si="44"/>
        <v/>
      </c>
      <c r="D957" s="57"/>
      <c r="E957" s="57"/>
      <c r="F957" s="57"/>
      <c r="G957" s="58"/>
      <c r="H957" s="58"/>
      <c r="I957" s="59"/>
      <c r="J957" s="59"/>
      <c r="K957" s="59"/>
      <c r="L957" s="5">
        <f t="shared" si="42"/>
        <v>0</v>
      </c>
    </row>
    <row r="958" spans="2:12" x14ac:dyDescent="0.3">
      <c r="B958" s="28" t="str">
        <f t="shared" ca="1" si="43"/>
        <v/>
      </c>
      <c r="C958" s="29" t="str">
        <f t="shared" ca="1" si="44"/>
        <v/>
      </c>
      <c r="D958" s="57"/>
      <c r="E958" s="57"/>
      <c r="F958" s="57"/>
      <c r="G958" s="58"/>
      <c r="H958" s="58"/>
      <c r="I958" s="59"/>
      <c r="J958" s="59"/>
      <c r="K958" s="59"/>
      <c r="L958" s="5">
        <f t="shared" si="42"/>
        <v>0</v>
      </c>
    </row>
    <row r="959" spans="2:12" x14ac:dyDescent="0.3">
      <c r="B959" s="28" t="str">
        <f t="shared" ca="1" si="43"/>
        <v/>
      </c>
      <c r="C959" s="29" t="str">
        <f t="shared" ca="1" si="44"/>
        <v/>
      </c>
      <c r="D959" s="57"/>
      <c r="E959" s="57"/>
      <c r="F959" s="57"/>
      <c r="G959" s="58"/>
      <c r="H959" s="58"/>
      <c r="I959" s="59"/>
      <c r="J959" s="59"/>
      <c r="K959" s="59"/>
      <c r="L959" s="5">
        <f t="shared" si="42"/>
        <v>0</v>
      </c>
    </row>
    <row r="960" spans="2:12" x14ac:dyDescent="0.3">
      <c r="B960" s="28" t="str">
        <f t="shared" ca="1" si="43"/>
        <v/>
      </c>
      <c r="C960" s="29" t="str">
        <f t="shared" ca="1" si="44"/>
        <v/>
      </c>
      <c r="D960" s="57"/>
      <c r="E960" s="57"/>
      <c r="F960" s="57"/>
      <c r="G960" s="58"/>
      <c r="H960" s="58"/>
      <c r="I960" s="59"/>
      <c r="J960" s="59"/>
      <c r="K960" s="59"/>
      <c r="L960" s="5">
        <f t="shared" si="42"/>
        <v>0</v>
      </c>
    </row>
    <row r="961" spans="2:12" x14ac:dyDescent="0.3">
      <c r="B961" s="28" t="str">
        <f t="shared" ca="1" si="43"/>
        <v/>
      </c>
      <c r="C961" s="29" t="str">
        <f t="shared" ca="1" si="44"/>
        <v/>
      </c>
      <c r="D961" s="57"/>
      <c r="E961" s="57"/>
      <c r="F961" s="57"/>
      <c r="G961" s="58"/>
      <c r="H961" s="58"/>
      <c r="I961" s="59"/>
      <c r="J961" s="59"/>
      <c r="K961" s="59"/>
      <c r="L961" s="5">
        <f t="shared" si="42"/>
        <v>0</v>
      </c>
    </row>
    <row r="962" spans="2:12" x14ac:dyDescent="0.3">
      <c r="B962" s="28" t="str">
        <f t="shared" ca="1" si="43"/>
        <v/>
      </c>
      <c r="C962" s="29" t="str">
        <f t="shared" ca="1" si="44"/>
        <v/>
      </c>
      <c r="D962" s="57"/>
      <c r="E962" s="57"/>
      <c r="F962" s="57"/>
      <c r="G962" s="58"/>
      <c r="H962" s="58"/>
      <c r="I962" s="59"/>
      <c r="J962" s="59"/>
      <c r="K962" s="59"/>
      <c r="L962" s="5">
        <f t="shared" si="42"/>
        <v>0</v>
      </c>
    </row>
    <row r="963" spans="2:12" x14ac:dyDescent="0.3">
      <c r="B963" s="28" t="str">
        <f t="shared" ca="1" si="43"/>
        <v/>
      </c>
      <c r="C963" s="29" t="str">
        <f t="shared" ca="1" si="44"/>
        <v/>
      </c>
      <c r="D963" s="57"/>
      <c r="E963" s="57"/>
      <c r="F963" s="57"/>
      <c r="G963" s="58"/>
      <c r="H963" s="58"/>
      <c r="I963" s="59"/>
      <c r="J963" s="59"/>
      <c r="K963" s="59"/>
      <c r="L963" s="5">
        <f t="shared" si="42"/>
        <v>0</v>
      </c>
    </row>
    <row r="964" spans="2:12" x14ac:dyDescent="0.3">
      <c r="B964" s="28" t="str">
        <f t="shared" ca="1" si="43"/>
        <v/>
      </c>
      <c r="C964" s="29" t="str">
        <f t="shared" ca="1" si="44"/>
        <v/>
      </c>
      <c r="D964" s="57"/>
      <c r="E964" s="57"/>
      <c r="F964" s="57"/>
      <c r="G964" s="58"/>
      <c r="H964" s="58"/>
      <c r="I964" s="59"/>
      <c r="J964" s="59"/>
      <c r="K964" s="59"/>
      <c r="L964" s="5">
        <f t="shared" si="42"/>
        <v>0</v>
      </c>
    </row>
    <row r="965" spans="2:12" x14ac:dyDescent="0.3">
      <c r="B965" s="28" t="str">
        <f t="shared" ca="1" si="43"/>
        <v/>
      </c>
      <c r="C965" s="29" t="str">
        <f t="shared" ca="1" si="44"/>
        <v/>
      </c>
      <c r="D965" s="57"/>
      <c r="E965" s="57"/>
      <c r="F965" s="57"/>
      <c r="G965" s="58"/>
      <c r="H965" s="58"/>
      <c r="I965" s="59"/>
      <c r="J965" s="59"/>
      <c r="K965" s="59"/>
      <c r="L965" s="5">
        <f t="shared" si="42"/>
        <v>0</v>
      </c>
    </row>
    <row r="966" spans="2:12" x14ac:dyDescent="0.3">
      <c r="B966" s="28" t="str">
        <f t="shared" ca="1" si="43"/>
        <v/>
      </c>
      <c r="C966" s="29" t="str">
        <f t="shared" ca="1" si="44"/>
        <v/>
      </c>
      <c r="D966" s="57"/>
      <c r="E966" s="57"/>
      <c r="F966" s="57"/>
      <c r="G966" s="58"/>
      <c r="H966" s="58"/>
      <c r="I966" s="59"/>
      <c r="J966" s="59"/>
      <c r="K966" s="59"/>
      <c r="L966" s="5">
        <f t="shared" si="42"/>
        <v>0</v>
      </c>
    </row>
    <row r="967" spans="2:12" x14ac:dyDescent="0.3">
      <c r="B967" s="28" t="str">
        <f t="shared" ca="1" si="43"/>
        <v/>
      </c>
      <c r="C967" s="29" t="str">
        <f t="shared" ca="1" si="44"/>
        <v/>
      </c>
      <c r="D967" s="57"/>
      <c r="E967" s="57"/>
      <c r="F967" s="57"/>
      <c r="G967" s="58"/>
      <c r="H967" s="58"/>
      <c r="I967" s="59"/>
      <c r="J967" s="59"/>
      <c r="K967" s="59"/>
      <c r="L967" s="5">
        <f t="shared" si="42"/>
        <v>0</v>
      </c>
    </row>
    <row r="968" spans="2:12" x14ac:dyDescent="0.3">
      <c r="B968" s="28" t="str">
        <f t="shared" ca="1" si="43"/>
        <v/>
      </c>
      <c r="C968" s="29" t="str">
        <f t="shared" ca="1" si="44"/>
        <v/>
      </c>
      <c r="D968" s="57"/>
      <c r="E968" s="57"/>
      <c r="F968" s="57"/>
      <c r="G968" s="58"/>
      <c r="H968" s="58"/>
      <c r="I968" s="59"/>
      <c r="J968" s="59"/>
      <c r="K968" s="59"/>
      <c r="L968" s="5">
        <f t="shared" si="42"/>
        <v>0</v>
      </c>
    </row>
    <row r="969" spans="2:12" x14ac:dyDescent="0.3">
      <c r="B969" s="28" t="str">
        <f t="shared" ca="1" si="43"/>
        <v/>
      </c>
      <c r="C969" s="29" t="str">
        <f t="shared" ca="1" si="44"/>
        <v/>
      </c>
      <c r="D969" s="57"/>
      <c r="E969" s="57"/>
      <c r="F969" s="57"/>
      <c r="G969" s="58"/>
      <c r="H969" s="58"/>
      <c r="I969" s="59"/>
      <c r="J969" s="59"/>
      <c r="K969" s="59"/>
      <c r="L969" s="5">
        <f t="shared" si="42"/>
        <v>0</v>
      </c>
    </row>
    <row r="970" spans="2:12" x14ac:dyDescent="0.3">
      <c r="B970" s="28" t="str">
        <f t="shared" ca="1" si="43"/>
        <v/>
      </c>
      <c r="C970" s="29" t="str">
        <f t="shared" ca="1" si="44"/>
        <v/>
      </c>
      <c r="D970" s="57"/>
      <c r="E970" s="57"/>
      <c r="F970" s="57"/>
      <c r="G970" s="58"/>
      <c r="H970" s="58"/>
      <c r="I970" s="59"/>
      <c r="J970" s="59"/>
      <c r="K970" s="59"/>
      <c r="L970" s="5">
        <f t="shared" ref="L970:L999" si="45">J970-I970-K970</f>
        <v>0</v>
      </c>
    </row>
    <row r="971" spans="2:12" x14ac:dyDescent="0.3">
      <c r="B971" s="28" t="str">
        <f t="shared" ref="B971:B999" ca="1" si="46">IF(D971&lt;&gt;"",DATE(Jahr,_xlfn.SHEET()-2,D971),"")</f>
        <v/>
      </c>
      <c r="C971" s="29" t="str">
        <f t="shared" ref="C971:C999" ca="1" si="47">B971</f>
        <v/>
      </c>
      <c r="D971" s="57"/>
      <c r="E971" s="57"/>
      <c r="F971" s="57"/>
      <c r="G971" s="58"/>
      <c r="H971" s="58"/>
      <c r="I971" s="59"/>
      <c r="J971" s="59"/>
      <c r="K971" s="59"/>
      <c r="L971" s="5">
        <f t="shared" si="45"/>
        <v>0</v>
      </c>
    </row>
    <row r="972" spans="2:12" x14ac:dyDescent="0.3">
      <c r="B972" s="28" t="str">
        <f t="shared" ca="1" si="46"/>
        <v/>
      </c>
      <c r="C972" s="29" t="str">
        <f t="shared" ca="1" si="47"/>
        <v/>
      </c>
      <c r="D972" s="57"/>
      <c r="E972" s="57"/>
      <c r="F972" s="57"/>
      <c r="G972" s="58"/>
      <c r="H972" s="58"/>
      <c r="I972" s="59"/>
      <c r="J972" s="59"/>
      <c r="K972" s="59"/>
      <c r="L972" s="5">
        <f t="shared" si="45"/>
        <v>0</v>
      </c>
    </row>
    <row r="973" spans="2:12" x14ac:dyDescent="0.3">
      <c r="B973" s="28" t="str">
        <f t="shared" ca="1" si="46"/>
        <v/>
      </c>
      <c r="C973" s="29" t="str">
        <f t="shared" ca="1" si="47"/>
        <v/>
      </c>
      <c r="D973" s="57"/>
      <c r="E973" s="57"/>
      <c r="F973" s="57"/>
      <c r="G973" s="58"/>
      <c r="H973" s="58"/>
      <c r="I973" s="59"/>
      <c r="J973" s="59"/>
      <c r="K973" s="59"/>
      <c r="L973" s="5">
        <f t="shared" si="45"/>
        <v>0</v>
      </c>
    </row>
    <row r="974" spans="2:12" x14ac:dyDescent="0.3">
      <c r="B974" s="28" t="str">
        <f t="shared" ca="1" si="46"/>
        <v/>
      </c>
      <c r="C974" s="29" t="str">
        <f t="shared" ca="1" si="47"/>
        <v/>
      </c>
      <c r="D974" s="57"/>
      <c r="E974" s="57"/>
      <c r="F974" s="57"/>
      <c r="G974" s="58"/>
      <c r="H974" s="58"/>
      <c r="I974" s="59"/>
      <c r="J974" s="59"/>
      <c r="K974" s="59"/>
      <c r="L974" s="5">
        <f t="shared" si="45"/>
        <v>0</v>
      </c>
    </row>
    <row r="975" spans="2:12" x14ac:dyDescent="0.3">
      <c r="B975" s="28" t="str">
        <f t="shared" ca="1" si="46"/>
        <v/>
      </c>
      <c r="C975" s="29" t="str">
        <f t="shared" ca="1" si="47"/>
        <v/>
      </c>
      <c r="D975" s="57"/>
      <c r="E975" s="57"/>
      <c r="F975" s="57"/>
      <c r="G975" s="58"/>
      <c r="H975" s="58"/>
      <c r="I975" s="59"/>
      <c r="J975" s="59"/>
      <c r="K975" s="59"/>
      <c r="L975" s="5">
        <f t="shared" si="45"/>
        <v>0</v>
      </c>
    </row>
    <row r="976" spans="2:12" x14ac:dyDescent="0.3">
      <c r="B976" s="28" t="str">
        <f t="shared" ca="1" si="46"/>
        <v/>
      </c>
      <c r="C976" s="29" t="str">
        <f t="shared" ca="1" si="47"/>
        <v/>
      </c>
      <c r="D976" s="57"/>
      <c r="E976" s="57"/>
      <c r="F976" s="57"/>
      <c r="G976" s="58"/>
      <c r="H976" s="58"/>
      <c r="I976" s="59"/>
      <c r="J976" s="59"/>
      <c r="K976" s="59"/>
      <c r="L976" s="5">
        <f t="shared" si="45"/>
        <v>0</v>
      </c>
    </row>
    <row r="977" spans="2:12" x14ac:dyDescent="0.3">
      <c r="B977" s="28" t="str">
        <f t="shared" ca="1" si="46"/>
        <v/>
      </c>
      <c r="C977" s="29" t="str">
        <f t="shared" ca="1" si="47"/>
        <v/>
      </c>
      <c r="D977" s="57"/>
      <c r="E977" s="57"/>
      <c r="F977" s="57"/>
      <c r="G977" s="58"/>
      <c r="H977" s="58"/>
      <c r="I977" s="59"/>
      <c r="J977" s="59"/>
      <c r="K977" s="59"/>
      <c r="L977" s="5">
        <f t="shared" si="45"/>
        <v>0</v>
      </c>
    </row>
    <row r="978" spans="2:12" x14ac:dyDescent="0.3">
      <c r="B978" s="28" t="str">
        <f t="shared" ca="1" si="46"/>
        <v/>
      </c>
      <c r="C978" s="29" t="str">
        <f t="shared" ca="1" si="47"/>
        <v/>
      </c>
      <c r="D978" s="57"/>
      <c r="E978" s="57"/>
      <c r="F978" s="57"/>
      <c r="G978" s="58"/>
      <c r="H978" s="58"/>
      <c r="I978" s="59"/>
      <c r="J978" s="59"/>
      <c r="K978" s="59"/>
      <c r="L978" s="5">
        <f t="shared" si="45"/>
        <v>0</v>
      </c>
    </row>
    <row r="979" spans="2:12" x14ac:dyDescent="0.3">
      <c r="B979" s="28" t="str">
        <f t="shared" ca="1" si="46"/>
        <v/>
      </c>
      <c r="C979" s="29" t="str">
        <f t="shared" ca="1" si="47"/>
        <v/>
      </c>
      <c r="D979" s="57"/>
      <c r="E979" s="57"/>
      <c r="F979" s="57"/>
      <c r="G979" s="58"/>
      <c r="H979" s="58"/>
      <c r="I979" s="59"/>
      <c r="J979" s="59"/>
      <c r="K979" s="59"/>
      <c r="L979" s="5">
        <f t="shared" si="45"/>
        <v>0</v>
      </c>
    </row>
    <row r="980" spans="2:12" x14ac:dyDescent="0.3">
      <c r="B980" s="28" t="str">
        <f t="shared" ca="1" si="46"/>
        <v/>
      </c>
      <c r="C980" s="29" t="str">
        <f t="shared" ca="1" si="47"/>
        <v/>
      </c>
      <c r="D980" s="57"/>
      <c r="E980" s="57"/>
      <c r="F980" s="57"/>
      <c r="G980" s="58"/>
      <c r="H980" s="58"/>
      <c r="I980" s="59"/>
      <c r="J980" s="59"/>
      <c r="K980" s="59"/>
      <c r="L980" s="5">
        <f t="shared" si="45"/>
        <v>0</v>
      </c>
    </row>
    <row r="981" spans="2:12" x14ac:dyDescent="0.3">
      <c r="B981" s="28" t="str">
        <f t="shared" ca="1" si="46"/>
        <v/>
      </c>
      <c r="C981" s="29" t="str">
        <f t="shared" ca="1" si="47"/>
        <v/>
      </c>
      <c r="D981" s="57"/>
      <c r="E981" s="57"/>
      <c r="F981" s="57"/>
      <c r="G981" s="58"/>
      <c r="H981" s="58"/>
      <c r="I981" s="59"/>
      <c r="J981" s="59"/>
      <c r="K981" s="59"/>
      <c r="L981" s="5">
        <f t="shared" si="45"/>
        <v>0</v>
      </c>
    </row>
    <row r="982" spans="2:12" x14ac:dyDescent="0.3">
      <c r="B982" s="28" t="str">
        <f t="shared" ca="1" si="46"/>
        <v/>
      </c>
      <c r="C982" s="29" t="str">
        <f t="shared" ca="1" si="47"/>
        <v/>
      </c>
      <c r="D982" s="57"/>
      <c r="E982" s="57"/>
      <c r="F982" s="57"/>
      <c r="G982" s="58"/>
      <c r="H982" s="58"/>
      <c r="I982" s="59"/>
      <c r="J982" s="59"/>
      <c r="K982" s="59"/>
      <c r="L982" s="5">
        <f t="shared" si="45"/>
        <v>0</v>
      </c>
    </row>
    <row r="983" spans="2:12" x14ac:dyDescent="0.3">
      <c r="B983" s="28" t="str">
        <f t="shared" ca="1" si="46"/>
        <v/>
      </c>
      <c r="C983" s="29" t="str">
        <f t="shared" ca="1" si="47"/>
        <v/>
      </c>
      <c r="D983" s="57"/>
      <c r="E983" s="57"/>
      <c r="F983" s="57"/>
      <c r="G983" s="58"/>
      <c r="H983" s="58"/>
      <c r="I983" s="59"/>
      <c r="J983" s="59"/>
      <c r="K983" s="59"/>
      <c r="L983" s="5">
        <f t="shared" si="45"/>
        <v>0</v>
      </c>
    </row>
    <row r="984" spans="2:12" x14ac:dyDescent="0.3">
      <c r="B984" s="28" t="str">
        <f t="shared" ca="1" si="46"/>
        <v/>
      </c>
      <c r="C984" s="29" t="str">
        <f t="shared" ca="1" si="47"/>
        <v/>
      </c>
      <c r="D984" s="57"/>
      <c r="E984" s="57"/>
      <c r="F984" s="57"/>
      <c r="G984" s="58"/>
      <c r="H984" s="58"/>
      <c r="I984" s="59"/>
      <c r="J984" s="59"/>
      <c r="K984" s="59"/>
      <c r="L984" s="5">
        <f t="shared" si="45"/>
        <v>0</v>
      </c>
    </row>
    <row r="985" spans="2:12" x14ac:dyDescent="0.3">
      <c r="B985" s="28" t="str">
        <f t="shared" ca="1" si="46"/>
        <v/>
      </c>
      <c r="C985" s="29" t="str">
        <f t="shared" ca="1" si="47"/>
        <v/>
      </c>
      <c r="D985" s="57"/>
      <c r="E985" s="57"/>
      <c r="F985" s="57"/>
      <c r="G985" s="58"/>
      <c r="H985" s="58"/>
      <c r="I985" s="59"/>
      <c r="J985" s="59"/>
      <c r="K985" s="59"/>
      <c r="L985" s="5">
        <f t="shared" si="45"/>
        <v>0</v>
      </c>
    </row>
    <row r="986" spans="2:12" x14ac:dyDescent="0.3">
      <c r="B986" s="28" t="str">
        <f t="shared" ca="1" si="46"/>
        <v/>
      </c>
      <c r="C986" s="29" t="str">
        <f t="shared" ca="1" si="47"/>
        <v/>
      </c>
      <c r="D986" s="57"/>
      <c r="E986" s="57"/>
      <c r="F986" s="57"/>
      <c r="G986" s="58"/>
      <c r="H986" s="58"/>
      <c r="I986" s="59"/>
      <c r="J986" s="59"/>
      <c r="K986" s="59"/>
      <c r="L986" s="5">
        <f t="shared" si="45"/>
        <v>0</v>
      </c>
    </row>
    <row r="987" spans="2:12" x14ac:dyDescent="0.3">
      <c r="B987" s="28" t="str">
        <f t="shared" ca="1" si="46"/>
        <v/>
      </c>
      <c r="C987" s="29" t="str">
        <f t="shared" ca="1" si="47"/>
        <v/>
      </c>
      <c r="D987" s="57"/>
      <c r="E987" s="57"/>
      <c r="F987" s="57"/>
      <c r="G987" s="58"/>
      <c r="H987" s="58"/>
      <c r="I987" s="59"/>
      <c r="J987" s="59"/>
      <c r="K987" s="59"/>
      <c r="L987" s="5">
        <f t="shared" si="45"/>
        <v>0</v>
      </c>
    </row>
    <row r="988" spans="2:12" x14ac:dyDescent="0.3">
      <c r="B988" s="28" t="str">
        <f t="shared" ca="1" si="46"/>
        <v/>
      </c>
      <c r="C988" s="29" t="str">
        <f t="shared" ca="1" si="47"/>
        <v/>
      </c>
      <c r="D988" s="57"/>
      <c r="E988" s="57"/>
      <c r="F988" s="57"/>
      <c r="G988" s="58"/>
      <c r="H988" s="58"/>
      <c r="I988" s="59"/>
      <c r="J988" s="59"/>
      <c r="K988" s="59"/>
      <c r="L988" s="5">
        <f t="shared" si="45"/>
        <v>0</v>
      </c>
    </row>
    <row r="989" spans="2:12" x14ac:dyDescent="0.3">
      <c r="B989" s="28" t="str">
        <f t="shared" ca="1" si="46"/>
        <v/>
      </c>
      <c r="C989" s="29" t="str">
        <f t="shared" ca="1" si="47"/>
        <v/>
      </c>
      <c r="D989" s="57"/>
      <c r="E989" s="57"/>
      <c r="F989" s="57"/>
      <c r="G989" s="58"/>
      <c r="H989" s="58"/>
      <c r="I989" s="59"/>
      <c r="J989" s="59"/>
      <c r="K989" s="59"/>
      <c r="L989" s="5">
        <f t="shared" si="45"/>
        <v>0</v>
      </c>
    </row>
    <row r="990" spans="2:12" x14ac:dyDescent="0.3">
      <c r="B990" s="28" t="str">
        <f t="shared" ca="1" si="46"/>
        <v/>
      </c>
      <c r="C990" s="29" t="str">
        <f t="shared" ca="1" si="47"/>
        <v/>
      </c>
      <c r="D990" s="57"/>
      <c r="E990" s="57"/>
      <c r="F990" s="57"/>
      <c r="G990" s="58"/>
      <c r="H990" s="58"/>
      <c r="I990" s="59"/>
      <c r="J990" s="59"/>
      <c r="K990" s="59"/>
      <c r="L990" s="5">
        <f t="shared" si="45"/>
        <v>0</v>
      </c>
    </row>
    <row r="991" spans="2:12" x14ac:dyDescent="0.3">
      <c r="B991" s="28" t="str">
        <f t="shared" ca="1" si="46"/>
        <v/>
      </c>
      <c r="C991" s="29" t="str">
        <f t="shared" ca="1" si="47"/>
        <v/>
      </c>
      <c r="D991" s="57"/>
      <c r="E991" s="57"/>
      <c r="F991" s="57"/>
      <c r="G991" s="58"/>
      <c r="H991" s="58"/>
      <c r="I991" s="59"/>
      <c r="J991" s="59"/>
      <c r="K991" s="59"/>
      <c r="L991" s="5">
        <f t="shared" si="45"/>
        <v>0</v>
      </c>
    </row>
    <row r="992" spans="2:12" x14ac:dyDescent="0.3">
      <c r="B992" s="28" t="str">
        <f t="shared" ca="1" si="46"/>
        <v/>
      </c>
      <c r="C992" s="29" t="str">
        <f t="shared" ca="1" si="47"/>
        <v/>
      </c>
      <c r="D992" s="57"/>
      <c r="E992" s="57"/>
      <c r="F992" s="57"/>
      <c r="G992" s="58"/>
      <c r="H992" s="58"/>
      <c r="I992" s="59"/>
      <c r="J992" s="59"/>
      <c r="K992" s="59"/>
      <c r="L992" s="5">
        <f t="shared" si="45"/>
        <v>0</v>
      </c>
    </row>
    <row r="993" spans="2:12" x14ac:dyDescent="0.3">
      <c r="B993" s="28" t="str">
        <f t="shared" ca="1" si="46"/>
        <v/>
      </c>
      <c r="C993" s="29" t="str">
        <f t="shared" ca="1" si="47"/>
        <v/>
      </c>
      <c r="D993" s="57"/>
      <c r="E993" s="57"/>
      <c r="F993" s="57"/>
      <c r="G993" s="58"/>
      <c r="H993" s="58"/>
      <c r="I993" s="59"/>
      <c r="J993" s="59"/>
      <c r="K993" s="59"/>
      <c r="L993" s="5">
        <f t="shared" si="45"/>
        <v>0</v>
      </c>
    </row>
    <row r="994" spans="2:12" x14ac:dyDescent="0.3">
      <c r="B994" s="28" t="str">
        <f t="shared" ca="1" si="46"/>
        <v/>
      </c>
      <c r="C994" s="29" t="str">
        <f t="shared" ca="1" si="47"/>
        <v/>
      </c>
      <c r="D994" s="57"/>
      <c r="E994" s="57"/>
      <c r="F994" s="57"/>
      <c r="G994" s="58"/>
      <c r="H994" s="58"/>
      <c r="I994" s="59"/>
      <c r="J994" s="59"/>
      <c r="K994" s="59"/>
      <c r="L994" s="5">
        <f t="shared" si="45"/>
        <v>0</v>
      </c>
    </row>
    <row r="995" spans="2:12" x14ac:dyDescent="0.3">
      <c r="B995" s="28" t="str">
        <f t="shared" ca="1" si="46"/>
        <v/>
      </c>
      <c r="C995" s="29" t="str">
        <f t="shared" ca="1" si="47"/>
        <v/>
      </c>
      <c r="D995" s="57"/>
      <c r="E995" s="57"/>
      <c r="F995" s="57"/>
      <c r="G995" s="58"/>
      <c r="H995" s="58"/>
      <c r="I995" s="59"/>
      <c r="J995" s="59"/>
      <c r="K995" s="59"/>
      <c r="L995" s="5">
        <f t="shared" si="45"/>
        <v>0</v>
      </c>
    </row>
    <row r="996" spans="2:12" x14ac:dyDescent="0.3">
      <c r="B996" s="28" t="str">
        <f t="shared" ca="1" si="46"/>
        <v/>
      </c>
      <c r="C996" s="29" t="str">
        <f t="shared" ca="1" si="47"/>
        <v/>
      </c>
      <c r="D996" s="57"/>
      <c r="E996" s="57"/>
      <c r="F996" s="57"/>
      <c r="G996" s="58"/>
      <c r="H996" s="58"/>
      <c r="I996" s="59"/>
      <c r="J996" s="59"/>
      <c r="K996" s="59"/>
      <c r="L996" s="5">
        <f t="shared" si="45"/>
        <v>0</v>
      </c>
    </row>
    <row r="997" spans="2:12" x14ac:dyDescent="0.3">
      <c r="B997" s="28" t="str">
        <f t="shared" ca="1" si="46"/>
        <v/>
      </c>
      <c r="C997" s="29" t="str">
        <f t="shared" ca="1" si="47"/>
        <v/>
      </c>
      <c r="D997" s="57"/>
      <c r="E997" s="57"/>
      <c r="F997" s="57"/>
      <c r="G997" s="58"/>
      <c r="H997" s="58"/>
      <c r="I997" s="59"/>
      <c r="J997" s="59"/>
      <c r="K997" s="59"/>
      <c r="L997" s="5">
        <f t="shared" si="45"/>
        <v>0</v>
      </c>
    </row>
    <row r="998" spans="2:12" x14ac:dyDescent="0.3">
      <c r="B998" s="28" t="str">
        <f t="shared" ca="1" si="46"/>
        <v/>
      </c>
      <c r="C998" s="29" t="str">
        <f t="shared" ca="1" si="47"/>
        <v/>
      </c>
      <c r="D998" s="57"/>
      <c r="E998" s="57"/>
      <c r="F998" s="57"/>
      <c r="G998" s="58"/>
      <c r="H998" s="58"/>
      <c r="I998" s="59"/>
      <c r="J998" s="59"/>
      <c r="K998" s="59"/>
      <c r="L998" s="5">
        <f t="shared" si="45"/>
        <v>0</v>
      </c>
    </row>
    <row r="999" spans="2:12" x14ac:dyDescent="0.3">
      <c r="B999" s="28" t="str">
        <f t="shared" ca="1" si="46"/>
        <v/>
      </c>
      <c r="C999" s="29" t="str">
        <f t="shared" ca="1" si="47"/>
        <v/>
      </c>
      <c r="D999" s="57"/>
      <c r="E999" s="57"/>
      <c r="F999" s="57"/>
      <c r="G999" s="58"/>
      <c r="H999" s="58"/>
      <c r="I999" s="59"/>
      <c r="J999" s="59"/>
      <c r="K999" s="59"/>
      <c r="L999" s="5">
        <f t="shared" si="45"/>
        <v>0</v>
      </c>
    </row>
  </sheetData>
  <autoFilter ref="B8:L999" xr:uid="{00000000-0009-0000-0000-00000D000000}"/>
  <mergeCells count="7">
    <mergeCell ref="B6:C6"/>
    <mergeCell ref="I6:K6"/>
    <mergeCell ref="B2:L2"/>
    <mergeCell ref="I3:K3"/>
    <mergeCell ref="I4:K4"/>
    <mergeCell ref="G5:H5"/>
    <mergeCell ref="I5:K5"/>
  </mergeCells>
  <conditionalFormatting sqref="B9:B999">
    <cfRule type="expression" dxfId="9" priority="1">
      <formula>AND($D9&lt;&gt;"",NOT(ISNUMBER($D9)))</formula>
    </cfRule>
    <cfRule type="expression" dxfId="8" priority="2">
      <formula>OR($D9&lt;=0,DAY(DATE(YEAR($C9),MONTH($C9)+1,1)-1) &lt;$D9)</formula>
    </cfRule>
    <cfRule type="expression" dxfId="6" priority="4">
      <formula>AND($D9&lt;&gt;"",WEEKDAY($B9,2)=6)</formula>
    </cfRule>
    <cfRule type="expression" dxfId="5" priority="5">
      <formula>AND($D9&lt;&gt;"",WEEKDAY($B9,2)=7)</formula>
    </cfRule>
    <cfRule type="expression" dxfId="4" priority="6">
      <formula>AND($D9&lt;&gt;"",WEEKDAY($B9,2)&lt;6)</formula>
    </cfRule>
  </conditionalFormatting>
  <dataValidations count="2">
    <dataValidation type="list" allowBlank="1" showInputMessage="1" showErrorMessage="1" sqref="G9:G999" xr:uid="{EAA3AC96-8FC9-48BB-A475-F2334E9FED0E}">
      <formula1>Arbeitspakete</formula1>
    </dataValidation>
    <dataValidation type="list" allowBlank="1" showInputMessage="1" showErrorMessage="1" sqref="F9:F999" xr:uid="{D75DE425-7A8C-4753-A72B-B723C2394DE0}">
      <formula1>Projektnamen</formula1>
    </dataValidation>
  </dataValidations>
  <pageMargins left="0.70000000000000007" right="0.70000000000000007" top="0.78740157500000008" bottom="0.78740157500000008" header="0.30000000000000004" footer="0.30000000000000004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70CFB2A2-2DF7-40E3-9F92-C4C63266E30E}">
            <xm:f>NOT(ISERROR(VLOOKUP(B9,Stammdaten!$I$9:$J$26,2,FALSE)))</xm:f>
            <x14:dxf>
              <fill>
                <patternFill>
                  <bgColor rgb="FFCEF4F6"/>
                </patternFill>
              </fill>
            </x14:dxf>
          </x14:cfRule>
          <xm:sqref>B9:B999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C85E-0E9A-430B-9595-F7A7EA572B8F}">
  <dimension ref="A1:C367"/>
  <sheetViews>
    <sheetView workbookViewId="0">
      <selection activeCell="E9" sqref="E9"/>
    </sheetView>
  </sheetViews>
  <sheetFormatPr baseColWidth="10" defaultColWidth="9.33203125" defaultRowHeight="14.4" x14ac:dyDescent="0.3"/>
  <cols>
    <col min="1" max="1" width="9.33203125" style="104"/>
    <col min="2" max="2" width="10.33203125" style="104" bestFit="1" customWidth="1"/>
    <col min="3" max="3" width="43.6640625" style="104" customWidth="1"/>
    <col min="4" max="16384" width="9.33203125" style="104"/>
  </cols>
  <sheetData>
    <row r="1" spans="1:3" x14ac:dyDescent="0.3">
      <c r="A1" s="101" t="s">
        <v>118</v>
      </c>
      <c r="B1" s="102" t="s">
        <v>0</v>
      </c>
      <c r="C1" s="103" t="s">
        <v>13</v>
      </c>
    </row>
    <row r="2" spans="1:3" x14ac:dyDescent="0.3">
      <c r="A2" s="105" t="str">
        <f>IF(B2="","",1)</f>
        <v/>
      </c>
      <c r="B2" s="106"/>
      <c r="C2" s="107"/>
    </row>
    <row r="3" spans="1:3" x14ac:dyDescent="0.3">
      <c r="A3" s="105" t="str">
        <f t="shared" ref="A3:A66" si="0">IF(B3="","",1+A2)</f>
        <v/>
      </c>
      <c r="B3" s="106"/>
      <c r="C3" s="107"/>
    </row>
    <row r="4" spans="1:3" x14ac:dyDescent="0.3">
      <c r="A4" s="105" t="str">
        <f t="shared" si="0"/>
        <v/>
      </c>
      <c r="B4" s="106"/>
      <c r="C4" s="107"/>
    </row>
    <row r="5" spans="1:3" x14ac:dyDescent="0.3">
      <c r="A5" s="105" t="str">
        <f>IF(B5="","",1+A4)</f>
        <v/>
      </c>
      <c r="B5" s="106"/>
      <c r="C5" s="107"/>
    </row>
    <row r="6" spans="1:3" x14ac:dyDescent="0.3">
      <c r="A6" s="105" t="str">
        <f t="shared" si="0"/>
        <v/>
      </c>
      <c r="B6" s="106"/>
      <c r="C6" s="107"/>
    </row>
    <row r="7" spans="1:3" x14ac:dyDescent="0.3">
      <c r="A7" s="105" t="str">
        <f t="shared" si="0"/>
        <v/>
      </c>
      <c r="B7" s="106"/>
      <c r="C7" s="107"/>
    </row>
    <row r="8" spans="1:3" x14ac:dyDescent="0.3">
      <c r="A8" s="105" t="str">
        <f t="shared" si="0"/>
        <v/>
      </c>
      <c r="B8" s="106"/>
      <c r="C8" s="107"/>
    </row>
    <row r="9" spans="1:3" x14ac:dyDescent="0.3">
      <c r="A9" s="105" t="str">
        <f t="shared" si="0"/>
        <v/>
      </c>
      <c r="B9" s="106"/>
      <c r="C9" s="107"/>
    </row>
    <row r="10" spans="1:3" x14ac:dyDescent="0.3">
      <c r="A10" s="105" t="str">
        <f t="shared" si="0"/>
        <v/>
      </c>
      <c r="B10" s="106"/>
      <c r="C10" s="107"/>
    </row>
    <row r="11" spans="1:3" x14ac:dyDescent="0.3">
      <c r="A11" s="105" t="str">
        <f t="shared" si="0"/>
        <v/>
      </c>
      <c r="B11" s="106"/>
      <c r="C11" s="107"/>
    </row>
    <row r="12" spans="1:3" x14ac:dyDescent="0.3">
      <c r="A12" s="105" t="str">
        <f t="shared" si="0"/>
        <v/>
      </c>
      <c r="B12" s="106"/>
      <c r="C12" s="107"/>
    </row>
    <row r="13" spans="1:3" x14ac:dyDescent="0.3">
      <c r="A13" s="105" t="str">
        <f t="shared" si="0"/>
        <v/>
      </c>
      <c r="B13" s="106"/>
      <c r="C13" s="107"/>
    </row>
    <row r="14" spans="1:3" x14ac:dyDescent="0.3">
      <c r="A14" s="105" t="str">
        <f t="shared" si="0"/>
        <v/>
      </c>
      <c r="B14" s="106"/>
      <c r="C14" s="107"/>
    </row>
    <row r="15" spans="1:3" x14ac:dyDescent="0.3">
      <c r="A15" s="105" t="str">
        <f t="shared" si="0"/>
        <v/>
      </c>
      <c r="B15" s="106"/>
      <c r="C15" s="107"/>
    </row>
    <row r="16" spans="1:3" x14ac:dyDescent="0.3">
      <c r="A16" s="105" t="str">
        <f t="shared" si="0"/>
        <v/>
      </c>
      <c r="B16" s="106"/>
      <c r="C16" s="107"/>
    </row>
    <row r="17" spans="1:3" x14ac:dyDescent="0.3">
      <c r="A17" s="105" t="str">
        <f t="shared" si="0"/>
        <v/>
      </c>
      <c r="B17" s="106"/>
      <c r="C17" s="107"/>
    </row>
    <row r="18" spans="1:3" x14ac:dyDescent="0.3">
      <c r="A18" s="105" t="str">
        <f t="shared" si="0"/>
        <v/>
      </c>
      <c r="B18" s="106"/>
      <c r="C18" s="107"/>
    </row>
    <row r="19" spans="1:3" x14ac:dyDescent="0.3">
      <c r="A19" s="105" t="str">
        <f t="shared" si="0"/>
        <v/>
      </c>
      <c r="B19" s="106"/>
      <c r="C19" s="107"/>
    </row>
    <row r="20" spans="1:3" x14ac:dyDescent="0.3">
      <c r="A20" s="105" t="str">
        <f t="shared" si="0"/>
        <v/>
      </c>
      <c r="B20" s="106"/>
      <c r="C20" s="107"/>
    </row>
    <row r="21" spans="1:3" x14ac:dyDescent="0.3">
      <c r="A21" s="105" t="str">
        <f t="shared" si="0"/>
        <v/>
      </c>
      <c r="B21" s="106"/>
      <c r="C21" s="107"/>
    </row>
    <row r="22" spans="1:3" x14ac:dyDescent="0.3">
      <c r="A22" s="105" t="str">
        <f t="shared" si="0"/>
        <v/>
      </c>
      <c r="B22" s="106"/>
      <c r="C22" s="107"/>
    </row>
    <row r="23" spans="1:3" x14ac:dyDescent="0.3">
      <c r="A23" s="105" t="str">
        <f t="shared" si="0"/>
        <v/>
      </c>
      <c r="B23" s="106"/>
      <c r="C23" s="107"/>
    </row>
    <row r="24" spans="1:3" x14ac:dyDescent="0.3">
      <c r="A24" s="105" t="str">
        <f t="shared" si="0"/>
        <v/>
      </c>
      <c r="B24" s="106"/>
      <c r="C24" s="107"/>
    </row>
    <row r="25" spans="1:3" x14ac:dyDescent="0.3">
      <c r="A25" s="105" t="str">
        <f t="shared" si="0"/>
        <v/>
      </c>
      <c r="B25" s="106"/>
      <c r="C25" s="107"/>
    </row>
    <row r="26" spans="1:3" x14ac:dyDescent="0.3">
      <c r="A26" s="105" t="str">
        <f t="shared" si="0"/>
        <v/>
      </c>
      <c r="B26" s="106"/>
      <c r="C26" s="107"/>
    </row>
    <row r="27" spans="1:3" x14ac:dyDescent="0.3">
      <c r="A27" s="105" t="str">
        <f t="shared" si="0"/>
        <v/>
      </c>
      <c r="B27" s="106"/>
      <c r="C27" s="107"/>
    </row>
    <row r="28" spans="1:3" x14ac:dyDescent="0.3">
      <c r="A28" s="105" t="str">
        <f t="shared" si="0"/>
        <v/>
      </c>
      <c r="B28" s="106"/>
      <c r="C28" s="107"/>
    </row>
    <row r="29" spans="1:3" x14ac:dyDescent="0.3">
      <c r="A29" s="105" t="str">
        <f t="shared" si="0"/>
        <v/>
      </c>
      <c r="B29" s="106"/>
      <c r="C29" s="107"/>
    </row>
    <row r="30" spans="1:3" x14ac:dyDescent="0.3">
      <c r="A30" s="105" t="str">
        <f t="shared" si="0"/>
        <v/>
      </c>
      <c r="B30" s="106"/>
      <c r="C30" s="107"/>
    </row>
    <row r="31" spans="1:3" x14ac:dyDescent="0.3">
      <c r="A31" s="105" t="str">
        <f t="shared" si="0"/>
        <v/>
      </c>
      <c r="B31" s="106"/>
      <c r="C31" s="107"/>
    </row>
    <row r="32" spans="1:3" x14ac:dyDescent="0.3">
      <c r="A32" s="105" t="str">
        <f t="shared" si="0"/>
        <v/>
      </c>
      <c r="B32" s="106"/>
      <c r="C32" s="107"/>
    </row>
    <row r="33" spans="1:3" x14ac:dyDescent="0.3">
      <c r="A33" s="105" t="str">
        <f t="shared" si="0"/>
        <v/>
      </c>
      <c r="B33" s="106"/>
      <c r="C33" s="107"/>
    </row>
    <row r="34" spans="1:3" x14ac:dyDescent="0.3">
      <c r="A34" s="105" t="str">
        <f t="shared" si="0"/>
        <v/>
      </c>
      <c r="B34" s="106"/>
      <c r="C34" s="107"/>
    </row>
    <row r="35" spans="1:3" x14ac:dyDescent="0.3">
      <c r="A35" s="105" t="str">
        <f t="shared" si="0"/>
        <v/>
      </c>
      <c r="B35" s="106"/>
      <c r="C35" s="107"/>
    </row>
    <row r="36" spans="1:3" x14ac:dyDescent="0.3">
      <c r="A36" s="105" t="str">
        <f t="shared" si="0"/>
        <v/>
      </c>
      <c r="B36" s="106"/>
      <c r="C36" s="107"/>
    </row>
    <row r="37" spans="1:3" x14ac:dyDescent="0.3">
      <c r="A37" s="105" t="str">
        <f t="shared" si="0"/>
        <v/>
      </c>
      <c r="B37" s="106"/>
      <c r="C37" s="107"/>
    </row>
    <row r="38" spans="1:3" x14ac:dyDescent="0.3">
      <c r="A38" s="105" t="str">
        <f t="shared" si="0"/>
        <v/>
      </c>
      <c r="B38" s="106"/>
      <c r="C38" s="107"/>
    </row>
    <row r="39" spans="1:3" x14ac:dyDescent="0.3">
      <c r="A39" s="105" t="str">
        <f t="shared" si="0"/>
        <v/>
      </c>
      <c r="B39" s="106"/>
      <c r="C39" s="107"/>
    </row>
    <row r="40" spans="1:3" x14ac:dyDescent="0.3">
      <c r="A40" s="105" t="str">
        <f t="shared" si="0"/>
        <v/>
      </c>
      <c r="B40" s="106"/>
      <c r="C40" s="107"/>
    </row>
    <row r="41" spans="1:3" x14ac:dyDescent="0.3">
      <c r="A41" s="105" t="str">
        <f t="shared" si="0"/>
        <v/>
      </c>
      <c r="B41" s="106"/>
      <c r="C41" s="107"/>
    </row>
    <row r="42" spans="1:3" x14ac:dyDescent="0.3">
      <c r="A42" s="105" t="str">
        <f t="shared" si="0"/>
        <v/>
      </c>
      <c r="B42" s="106"/>
      <c r="C42" s="107"/>
    </row>
    <row r="43" spans="1:3" x14ac:dyDescent="0.3">
      <c r="A43" s="105" t="str">
        <f t="shared" si="0"/>
        <v/>
      </c>
      <c r="B43" s="106"/>
      <c r="C43" s="107"/>
    </row>
    <row r="44" spans="1:3" x14ac:dyDescent="0.3">
      <c r="A44" s="105" t="str">
        <f t="shared" si="0"/>
        <v/>
      </c>
      <c r="B44" s="106"/>
      <c r="C44" s="107"/>
    </row>
    <row r="45" spans="1:3" x14ac:dyDescent="0.3">
      <c r="A45" s="105" t="str">
        <f t="shared" si="0"/>
        <v/>
      </c>
      <c r="B45" s="106"/>
      <c r="C45" s="107"/>
    </row>
    <row r="46" spans="1:3" x14ac:dyDescent="0.3">
      <c r="A46" s="105" t="str">
        <f t="shared" si="0"/>
        <v/>
      </c>
      <c r="B46" s="106"/>
      <c r="C46" s="107"/>
    </row>
    <row r="47" spans="1:3" x14ac:dyDescent="0.3">
      <c r="A47" s="105" t="str">
        <f t="shared" si="0"/>
        <v/>
      </c>
      <c r="B47" s="106"/>
      <c r="C47" s="107"/>
    </row>
    <row r="48" spans="1:3" x14ac:dyDescent="0.3">
      <c r="A48" s="105" t="str">
        <f t="shared" si="0"/>
        <v/>
      </c>
      <c r="B48" s="106"/>
      <c r="C48" s="107"/>
    </row>
    <row r="49" spans="1:3" x14ac:dyDescent="0.3">
      <c r="A49" s="105" t="str">
        <f t="shared" si="0"/>
        <v/>
      </c>
      <c r="B49" s="106"/>
      <c r="C49" s="107"/>
    </row>
    <row r="50" spans="1:3" x14ac:dyDescent="0.3">
      <c r="A50" s="105" t="str">
        <f t="shared" si="0"/>
        <v/>
      </c>
      <c r="B50" s="106"/>
      <c r="C50" s="107"/>
    </row>
    <row r="51" spans="1:3" x14ac:dyDescent="0.3">
      <c r="A51" s="105" t="str">
        <f t="shared" si="0"/>
        <v/>
      </c>
      <c r="B51" s="106"/>
      <c r="C51" s="107"/>
    </row>
    <row r="52" spans="1:3" x14ac:dyDescent="0.3">
      <c r="A52" s="105" t="str">
        <f t="shared" si="0"/>
        <v/>
      </c>
      <c r="B52" s="106"/>
      <c r="C52" s="107"/>
    </row>
    <row r="53" spans="1:3" x14ac:dyDescent="0.3">
      <c r="A53" s="105" t="str">
        <f t="shared" si="0"/>
        <v/>
      </c>
      <c r="B53" s="106"/>
      <c r="C53" s="107"/>
    </row>
    <row r="54" spans="1:3" x14ac:dyDescent="0.3">
      <c r="A54" s="105" t="str">
        <f t="shared" si="0"/>
        <v/>
      </c>
      <c r="B54" s="106"/>
      <c r="C54" s="107"/>
    </row>
    <row r="55" spans="1:3" x14ac:dyDescent="0.3">
      <c r="A55" s="105" t="str">
        <f t="shared" si="0"/>
        <v/>
      </c>
      <c r="B55" s="106"/>
      <c r="C55" s="107"/>
    </row>
    <row r="56" spans="1:3" x14ac:dyDescent="0.3">
      <c r="A56" s="105" t="str">
        <f t="shared" si="0"/>
        <v/>
      </c>
      <c r="B56" s="106"/>
      <c r="C56" s="107"/>
    </row>
    <row r="57" spans="1:3" x14ac:dyDescent="0.3">
      <c r="A57" s="105" t="str">
        <f t="shared" si="0"/>
        <v/>
      </c>
      <c r="B57" s="106"/>
      <c r="C57" s="107"/>
    </row>
    <row r="58" spans="1:3" x14ac:dyDescent="0.3">
      <c r="A58" s="105" t="str">
        <f t="shared" si="0"/>
        <v/>
      </c>
      <c r="B58" s="106"/>
      <c r="C58" s="107"/>
    </row>
    <row r="59" spans="1:3" x14ac:dyDescent="0.3">
      <c r="A59" s="105" t="str">
        <f t="shared" si="0"/>
        <v/>
      </c>
      <c r="B59" s="106"/>
      <c r="C59" s="107"/>
    </row>
    <row r="60" spans="1:3" x14ac:dyDescent="0.3">
      <c r="A60" s="105" t="str">
        <f t="shared" si="0"/>
        <v/>
      </c>
      <c r="B60" s="106"/>
      <c r="C60" s="107"/>
    </row>
    <row r="61" spans="1:3" x14ac:dyDescent="0.3">
      <c r="A61" s="105" t="str">
        <f t="shared" si="0"/>
        <v/>
      </c>
      <c r="B61" s="106"/>
      <c r="C61" s="107"/>
    </row>
    <row r="62" spans="1:3" x14ac:dyDescent="0.3">
      <c r="A62" s="105" t="str">
        <f t="shared" si="0"/>
        <v/>
      </c>
      <c r="B62" s="106"/>
      <c r="C62" s="107"/>
    </row>
    <row r="63" spans="1:3" x14ac:dyDescent="0.3">
      <c r="A63" s="105" t="str">
        <f t="shared" si="0"/>
        <v/>
      </c>
      <c r="B63" s="106"/>
      <c r="C63" s="107"/>
    </row>
    <row r="64" spans="1:3" x14ac:dyDescent="0.3">
      <c r="A64" s="105" t="str">
        <f t="shared" si="0"/>
        <v/>
      </c>
      <c r="B64" s="106"/>
      <c r="C64" s="107"/>
    </row>
    <row r="65" spans="1:3" x14ac:dyDescent="0.3">
      <c r="A65" s="105" t="str">
        <f t="shared" si="0"/>
        <v/>
      </c>
      <c r="B65" s="106"/>
      <c r="C65" s="107"/>
    </row>
    <row r="66" spans="1:3" x14ac:dyDescent="0.3">
      <c r="A66" s="105" t="str">
        <f t="shared" si="0"/>
        <v/>
      </c>
      <c r="B66" s="106"/>
      <c r="C66" s="107"/>
    </row>
    <row r="67" spans="1:3" x14ac:dyDescent="0.3">
      <c r="A67" s="105" t="str">
        <f t="shared" ref="A67:A130" si="1">IF(B67="","",1+A66)</f>
        <v/>
      </c>
      <c r="B67" s="106"/>
      <c r="C67" s="107"/>
    </row>
    <row r="68" spans="1:3" x14ac:dyDescent="0.3">
      <c r="A68" s="105" t="str">
        <f t="shared" si="1"/>
        <v/>
      </c>
      <c r="B68" s="106"/>
      <c r="C68" s="107"/>
    </row>
    <row r="69" spans="1:3" x14ac:dyDescent="0.3">
      <c r="A69" s="105" t="str">
        <f t="shared" si="1"/>
        <v/>
      </c>
      <c r="B69" s="106"/>
      <c r="C69" s="107"/>
    </row>
    <row r="70" spans="1:3" x14ac:dyDescent="0.3">
      <c r="A70" s="105" t="str">
        <f t="shared" si="1"/>
        <v/>
      </c>
      <c r="B70" s="106"/>
      <c r="C70" s="107"/>
    </row>
    <row r="71" spans="1:3" x14ac:dyDescent="0.3">
      <c r="A71" s="105" t="str">
        <f t="shared" si="1"/>
        <v/>
      </c>
      <c r="B71" s="106"/>
      <c r="C71" s="107"/>
    </row>
    <row r="72" spans="1:3" x14ac:dyDescent="0.3">
      <c r="A72" s="105" t="str">
        <f t="shared" si="1"/>
        <v/>
      </c>
      <c r="B72" s="106"/>
      <c r="C72" s="107"/>
    </row>
    <row r="73" spans="1:3" x14ac:dyDescent="0.3">
      <c r="A73" s="105" t="str">
        <f t="shared" si="1"/>
        <v/>
      </c>
      <c r="B73" s="106"/>
      <c r="C73" s="107"/>
    </row>
    <row r="74" spans="1:3" x14ac:dyDescent="0.3">
      <c r="A74" s="105" t="str">
        <f t="shared" si="1"/>
        <v/>
      </c>
      <c r="B74" s="106"/>
      <c r="C74" s="107"/>
    </row>
    <row r="75" spans="1:3" x14ac:dyDescent="0.3">
      <c r="A75" s="105" t="str">
        <f t="shared" si="1"/>
        <v/>
      </c>
      <c r="B75" s="106"/>
      <c r="C75" s="107"/>
    </row>
    <row r="76" spans="1:3" x14ac:dyDescent="0.3">
      <c r="A76" s="105" t="str">
        <f t="shared" si="1"/>
        <v/>
      </c>
      <c r="B76" s="106"/>
      <c r="C76" s="107"/>
    </row>
    <row r="77" spans="1:3" x14ac:dyDescent="0.3">
      <c r="A77" s="105" t="str">
        <f t="shared" si="1"/>
        <v/>
      </c>
      <c r="B77" s="106"/>
      <c r="C77" s="107"/>
    </row>
    <row r="78" spans="1:3" x14ac:dyDescent="0.3">
      <c r="A78" s="105" t="str">
        <f t="shared" si="1"/>
        <v/>
      </c>
      <c r="B78" s="106"/>
      <c r="C78" s="107"/>
    </row>
    <row r="79" spans="1:3" x14ac:dyDescent="0.3">
      <c r="A79" s="105" t="str">
        <f t="shared" si="1"/>
        <v/>
      </c>
      <c r="B79" s="106"/>
      <c r="C79" s="107"/>
    </row>
    <row r="80" spans="1:3" x14ac:dyDescent="0.3">
      <c r="A80" s="105" t="str">
        <f t="shared" si="1"/>
        <v/>
      </c>
      <c r="B80" s="106"/>
      <c r="C80" s="107"/>
    </row>
    <row r="81" spans="1:3" x14ac:dyDescent="0.3">
      <c r="A81" s="105" t="str">
        <f t="shared" si="1"/>
        <v/>
      </c>
      <c r="B81" s="106"/>
      <c r="C81" s="107"/>
    </row>
    <row r="82" spans="1:3" x14ac:dyDescent="0.3">
      <c r="A82" s="105" t="str">
        <f t="shared" si="1"/>
        <v/>
      </c>
      <c r="B82" s="106"/>
      <c r="C82" s="107"/>
    </row>
    <row r="83" spans="1:3" x14ac:dyDescent="0.3">
      <c r="A83" s="105" t="str">
        <f t="shared" si="1"/>
        <v/>
      </c>
      <c r="B83" s="106"/>
      <c r="C83" s="107"/>
    </row>
    <row r="84" spans="1:3" x14ac:dyDescent="0.3">
      <c r="A84" s="105" t="str">
        <f t="shared" si="1"/>
        <v/>
      </c>
      <c r="B84" s="106"/>
      <c r="C84" s="107"/>
    </row>
    <row r="85" spans="1:3" x14ac:dyDescent="0.3">
      <c r="A85" s="105" t="str">
        <f t="shared" si="1"/>
        <v/>
      </c>
      <c r="B85" s="106"/>
      <c r="C85" s="107"/>
    </row>
    <row r="86" spans="1:3" x14ac:dyDescent="0.3">
      <c r="A86" s="105" t="str">
        <f t="shared" si="1"/>
        <v/>
      </c>
      <c r="B86" s="106"/>
      <c r="C86" s="107"/>
    </row>
    <row r="87" spans="1:3" x14ac:dyDescent="0.3">
      <c r="A87" s="105" t="str">
        <f t="shared" si="1"/>
        <v/>
      </c>
      <c r="B87" s="106"/>
      <c r="C87" s="107"/>
    </row>
    <row r="88" spans="1:3" x14ac:dyDescent="0.3">
      <c r="A88" s="105" t="str">
        <f t="shared" si="1"/>
        <v/>
      </c>
      <c r="B88" s="106"/>
      <c r="C88" s="107"/>
    </row>
    <row r="89" spans="1:3" x14ac:dyDescent="0.3">
      <c r="A89" s="105" t="str">
        <f t="shared" si="1"/>
        <v/>
      </c>
      <c r="B89" s="106"/>
      <c r="C89" s="107"/>
    </row>
    <row r="90" spans="1:3" x14ac:dyDescent="0.3">
      <c r="A90" s="105" t="str">
        <f t="shared" si="1"/>
        <v/>
      </c>
      <c r="B90" s="106"/>
      <c r="C90" s="107"/>
    </row>
    <row r="91" spans="1:3" x14ac:dyDescent="0.3">
      <c r="A91" s="105" t="str">
        <f t="shared" si="1"/>
        <v/>
      </c>
      <c r="B91" s="106"/>
      <c r="C91" s="107"/>
    </row>
    <row r="92" spans="1:3" x14ac:dyDescent="0.3">
      <c r="A92" s="105" t="str">
        <f t="shared" si="1"/>
        <v/>
      </c>
      <c r="B92" s="106"/>
      <c r="C92" s="107"/>
    </row>
    <row r="93" spans="1:3" x14ac:dyDescent="0.3">
      <c r="A93" s="105" t="str">
        <f t="shared" si="1"/>
        <v/>
      </c>
      <c r="B93" s="106"/>
      <c r="C93" s="107"/>
    </row>
    <row r="94" spans="1:3" x14ac:dyDescent="0.3">
      <c r="A94" s="105" t="str">
        <f t="shared" si="1"/>
        <v/>
      </c>
      <c r="B94" s="106"/>
      <c r="C94" s="107"/>
    </row>
    <row r="95" spans="1:3" x14ac:dyDescent="0.3">
      <c r="A95" s="105" t="str">
        <f t="shared" si="1"/>
        <v/>
      </c>
      <c r="B95" s="106"/>
      <c r="C95" s="107"/>
    </row>
    <row r="96" spans="1:3" x14ac:dyDescent="0.3">
      <c r="A96" s="105" t="str">
        <f t="shared" si="1"/>
        <v/>
      </c>
      <c r="B96" s="106"/>
      <c r="C96" s="107"/>
    </row>
    <row r="97" spans="1:3" x14ac:dyDescent="0.3">
      <c r="A97" s="105" t="str">
        <f t="shared" si="1"/>
        <v/>
      </c>
      <c r="B97" s="106"/>
      <c r="C97" s="107"/>
    </row>
    <row r="98" spans="1:3" x14ac:dyDescent="0.3">
      <c r="A98" s="105" t="str">
        <f t="shared" si="1"/>
        <v/>
      </c>
      <c r="B98" s="106"/>
      <c r="C98" s="107"/>
    </row>
    <row r="99" spans="1:3" x14ac:dyDescent="0.3">
      <c r="A99" s="105" t="str">
        <f t="shared" si="1"/>
        <v/>
      </c>
      <c r="B99" s="106"/>
      <c r="C99" s="107"/>
    </row>
    <row r="100" spans="1:3" x14ac:dyDescent="0.3">
      <c r="A100" s="105" t="str">
        <f t="shared" si="1"/>
        <v/>
      </c>
      <c r="B100" s="106"/>
      <c r="C100" s="107"/>
    </row>
    <row r="101" spans="1:3" x14ac:dyDescent="0.3">
      <c r="A101" s="105" t="str">
        <f t="shared" si="1"/>
        <v/>
      </c>
      <c r="B101" s="106"/>
      <c r="C101" s="107"/>
    </row>
    <row r="102" spans="1:3" x14ac:dyDescent="0.3">
      <c r="A102" s="105" t="str">
        <f t="shared" si="1"/>
        <v/>
      </c>
      <c r="B102" s="106"/>
      <c r="C102" s="107"/>
    </row>
    <row r="103" spans="1:3" x14ac:dyDescent="0.3">
      <c r="A103" s="105" t="str">
        <f t="shared" si="1"/>
        <v/>
      </c>
      <c r="B103" s="106"/>
      <c r="C103" s="107"/>
    </row>
    <row r="104" spans="1:3" x14ac:dyDescent="0.3">
      <c r="A104" s="105" t="str">
        <f t="shared" si="1"/>
        <v/>
      </c>
      <c r="B104" s="106"/>
      <c r="C104" s="107"/>
    </row>
    <row r="105" spans="1:3" x14ac:dyDescent="0.3">
      <c r="A105" s="105" t="str">
        <f t="shared" si="1"/>
        <v/>
      </c>
      <c r="B105" s="106"/>
      <c r="C105" s="107"/>
    </row>
    <row r="106" spans="1:3" x14ac:dyDescent="0.3">
      <c r="A106" s="105" t="str">
        <f t="shared" si="1"/>
        <v/>
      </c>
      <c r="B106" s="106"/>
      <c r="C106" s="107"/>
    </row>
    <row r="107" spans="1:3" x14ac:dyDescent="0.3">
      <c r="A107" s="105" t="str">
        <f t="shared" si="1"/>
        <v/>
      </c>
      <c r="B107" s="106"/>
      <c r="C107" s="107"/>
    </row>
    <row r="108" spans="1:3" x14ac:dyDescent="0.3">
      <c r="A108" s="105" t="str">
        <f t="shared" si="1"/>
        <v/>
      </c>
      <c r="B108" s="106"/>
      <c r="C108" s="107"/>
    </row>
    <row r="109" spans="1:3" x14ac:dyDescent="0.3">
      <c r="A109" s="105" t="str">
        <f t="shared" si="1"/>
        <v/>
      </c>
      <c r="B109" s="106"/>
      <c r="C109" s="107"/>
    </row>
    <row r="110" spans="1:3" x14ac:dyDescent="0.3">
      <c r="A110" s="105" t="str">
        <f t="shared" si="1"/>
        <v/>
      </c>
      <c r="B110" s="106"/>
      <c r="C110" s="107"/>
    </row>
    <row r="111" spans="1:3" x14ac:dyDescent="0.3">
      <c r="A111" s="105" t="str">
        <f t="shared" si="1"/>
        <v/>
      </c>
      <c r="B111" s="106"/>
      <c r="C111" s="107"/>
    </row>
    <row r="112" spans="1:3" x14ac:dyDescent="0.3">
      <c r="A112" s="105" t="str">
        <f t="shared" si="1"/>
        <v/>
      </c>
      <c r="B112" s="106"/>
      <c r="C112" s="107"/>
    </row>
    <row r="113" spans="1:3" x14ac:dyDescent="0.3">
      <c r="A113" s="105" t="str">
        <f t="shared" si="1"/>
        <v/>
      </c>
      <c r="B113" s="106"/>
      <c r="C113" s="107"/>
    </row>
    <row r="114" spans="1:3" x14ac:dyDescent="0.3">
      <c r="A114" s="105" t="str">
        <f t="shared" si="1"/>
        <v/>
      </c>
      <c r="B114" s="106"/>
      <c r="C114" s="107"/>
    </row>
    <row r="115" spans="1:3" x14ac:dyDescent="0.3">
      <c r="A115" s="105" t="str">
        <f t="shared" si="1"/>
        <v/>
      </c>
      <c r="B115" s="106"/>
      <c r="C115" s="107"/>
    </row>
    <row r="116" spans="1:3" x14ac:dyDescent="0.3">
      <c r="A116" s="105" t="str">
        <f t="shared" si="1"/>
        <v/>
      </c>
      <c r="B116" s="106"/>
      <c r="C116" s="107"/>
    </row>
    <row r="117" spans="1:3" x14ac:dyDescent="0.3">
      <c r="A117" s="105" t="str">
        <f t="shared" si="1"/>
        <v/>
      </c>
      <c r="B117" s="106"/>
      <c r="C117" s="107"/>
    </row>
    <row r="118" spans="1:3" x14ac:dyDescent="0.3">
      <c r="A118" s="105" t="str">
        <f t="shared" si="1"/>
        <v/>
      </c>
      <c r="B118" s="106"/>
      <c r="C118" s="107"/>
    </row>
    <row r="119" spans="1:3" x14ac:dyDescent="0.3">
      <c r="A119" s="105" t="str">
        <f t="shared" si="1"/>
        <v/>
      </c>
      <c r="B119" s="106"/>
      <c r="C119" s="107"/>
    </row>
    <row r="120" spans="1:3" x14ac:dyDescent="0.3">
      <c r="A120" s="105" t="str">
        <f t="shared" si="1"/>
        <v/>
      </c>
      <c r="B120" s="106"/>
      <c r="C120" s="107"/>
    </row>
    <row r="121" spans="1:3" x14ac:dyDescent="0.3">
      <c r="A121" s="105" t="str">
        <f t="shared" si="1"/>
        <v/>
      </c>
      <c r="B121" s="106"/>
      <c r="C121" s="107"/>
    </row>
    <row r="122" spans="1:3" x14ac:dyDescent="0.3">
      <c r="A122" s="105" t="str">
        <f t="shared" si="1"/>
        <v/>
      </c>
      <c r="B122" s="106"/>
      <c r="C122" s="107"/>
    </row>
    <row r="123" spans="1:3" x14ac:dyDescent="0.3">
      <c r="A123" s="105" t="str">
        <f t="shared" si="1"/>
        <v/>
      </c>
      <c r="B123" s="106"/>
      <c r="C123" s="107"/>
    </row>
    <row r="124" spans="1:3" x14ac:dyDescent="0.3">
      <c r="A124" s="105" t="str">
        <f t="shared" si="1"/>
        <v/>
      </c>
      <c r="B124" s="106"/>
      <c r="C124" s="107"/>
    </row>
    <row r="125" spans="1:3" x14ac:dyDescent="0.3">
      <c r="A125" s="105" t="str">
        <f t="shared" si="1"/>
        <v/>
      </c>
      <c r="B125" s="106"/>
      <c r="C125" s="107"/>
    </row>
    <row r="126" spans="1:3" x14ac:dyDescent="0.3">
      <c r="A126" s="105" t="str">
        <f t="shared" si="1"/>
        <v/>
      </c>
      <c r="B126" s="106"/>
      <c r="C126" s="107"/>
    </row>
    <row r="127" spans="1:3" x14ac:dyDescent="0.3">
      <c r="A127" s="105" t="str">
        <f t="shared" si="1"/>
        <v/>
      </c>
      <c r="B127" s="106"/>
      <c r="C127" s="107"/>
    </row>
    <row r="128" spans="1:3" x14ac:dyDescent="0.3">
      <c r="A128" s="105" t="str">
        <f t="shared" si="1"/>
        <v/>
      </c>
      <c r="B128" s="106"/>
      <c r="C128" s="107"/>
    </row>
    <row r="129" spans="1:3" x14ac:dyDescent="0.3">
      <c r="A129" s="105" t="str">
        <f t="shared" si="1"/>
        <v/>
      </c>
      <c r="B129" s="106"/>
      <c r="C129" s="107"/>
    </row>
    <row r="130" spans="1:3" x14ac:dyDescent="0.3">
      <c r="A130" s="105" t="str">
        <f t="shared" si="1"/>
        <v/>
      </c>
      <c r="B130" s="106"/>
      <c r="C130" s="107"/>
    </row>
    <row r="131" spans="1:3" x14ac:dyDescent="0.3">
      <c r="A131" s="105" t="str">
        <f t="shared" ref="A131:A194" si="2">IF(B131="","",1+A130)</f>
        <v/>
      </c>
      <c r="B131" s="106"/>
      <c r="C131" s="107"/>
    </row>
    <row r="132" spans="1:3" x14ac:dyDescent="0.3">
      <c r="A132" s="105" t="str">
        <f t="shared" si="2"/>
        <v/>
      </c>
      <c r="B132" s="106"/>
      <c r="C132" s="107"/>
    </row>
    <row r="133" spans="1:3" x14ac:dyDescent="0.3">
      <c r="A133" s="105" t="str">
        <f t="shared" si="2"/>
        <v/>
      </c>
      <c r="B133" s="106"/>
      <c r="C133" s="107"/>
    </row>
    <row r="134" spans="1:3" x14ac:dyDescent="0.3">
      <c r="A134" s="105" t="str">
        <f t="shared" si="2"/>
        <v/>
      </c>
      <c r="B134" s="106"/>
      <c r="C134" s="107"/>
    </row>
    <row r="135" spans="1:3" x14ac:dyDescent="0.3">
      <c r="A135" s="105" t="str">
        <f t="shared" si="2"/>
        <v/>
      </c>
      <c r="B135" s="106"/>
      <c r="C135" s="107"/>
    </row>
    <row r="136" spans="1:3" x14ac:dyDescent="0.3">
      <c r="A136" s="105" t="str">
        <f t="shared" si="2"/>
        <v/>
      </c>
      <c r="B136" s="106"/>
      <c r="C136" s="107"/>
    </row>
    <row r="137" spans="1:3" x14ac:dyDescent="0.3">
      <c r="A137" s="105" t="str">
        <f t="shared" si="2"/>
        <v/>
      </c>
      <c r="B137" s="106"/>
      <c r="C137" s="107"/>
    </row>
    <row r="138" spans="1:3" x14ac:dyDescent="0.3">
      <c r="A138" s="105" t="str">
        <f t="shared" si="2"/>
        <v/>
      </c>
      <c r="B138" s="106"/>
      <c r="C138" s="107"/>
    </row>
    <row r="139" spans="1:3" x14ac:dyDescent="0.3">
      <c r="A139" s="105" t="str">
        <f t="shared" si="2"/>
        <v/>
      </c>
      <c r="B139" s="106"/>
      <c r="C139" s="107"/>
    </row>
    <row r="140" spans="1:3" x14ac:dyDescent="0.3">
      <c r="A140" s="105" t="str">
        <f t="shared" si="2"/>
        <v/>
      </c>
      <c r="B140" s="106"/>
      <c r="C140" s="107"/>
    </row>
    <row r="141" spans="1:3" x14ac:dyDescent="0.3">
      <c r="A141" s="105" t="str">
        <f t="shared" si="2"/>
        <v/>
      </c>
      <c r="B141" s="106"/>
      <c r="C141" s="107"/>
    </row>
    <row r="142" spans="1:3" x14ac:dyDescent="0.3">
      <c r="A142" s="105" t="str">
        <f t="shared" si="2"/>
        <v/>
      </c>
      <c r="B142" s="106"/>
      <c r="C142" s="107"/>
    </row>
    <row r="143" spans="1:3" x14ac:dyDescent="0.3">
      <c r="A143" s="105" t="str">
        <f t="shared" si="2"/>
        <v/>
      </c>
      <c r="B143" s="106"/>
      <c r="C143" s="107"/>
    </row>
    <row r="144" spans="1:3" x14ac:dyDescent="0.3">
      <c r="A144" s="105" t="str">
        <f t="shared" si="2"/>
        <v/>
      </c>
      <c r="B144" s="106"/>
      <c r="C144" s="107"/>
    </row>
    <row r="145" spans="1:3" x14ac:dyDescent="0.3">
      <c r="A145" s="105" t="str">
        <f t="shared" si="2"/>
        <v/>
      </c>
      <c r="B145" s="106"/>
      <c r="C145" s="107"/>
    </row>
    <row r="146" spans="1:3" x14ac:dyDescent="0.3">
      <c r="A146" s="105" t="str">
        <f t="shared" si="2"/>
        <v/>
      </c>
      <c r="B146" s="106"/>
      <c r="C146" s="107"/>
    </row>
    <row r="147" spans="1:3" x14ac:dyDescent="0.3">
      <c r="A147" s="105" t="str">
        <f t="shared" si="2"/>
        <v/>
      </c>
      <c r="B147" s="106"/>
      <c r="C147" s="107"/>
    </row>
    <row r="148" spans="1:3" x14ac:dyDescent="0.3">
      <c r="A148" s="105" t="str">
        <f t="shared" si="2"/>
        <v/>
      </c>
      <c r="B148" s="106"/>
      <c r="C148" s="107"/>
    </row>
    <row r="149" spans="1:3" x14ac:dyDescent="0.3">
      <c r="A149" s="105" t="str">
        <f t="shared" si="2"/>
        <v/>
      </c>
      <c r="B149" s="106"/>
      <c r="C149" s="107"/>
    </row>
    <row r="150" spans="1:3" x14ac:dyDescent="0.3">
      <c r="A150" s="105" t="str">
        <f t="shared" si="2"/>
        <v/>
      </c>
      <c r="B150" s="106"/>
      <c r="C150" s="107"/>
    </row>
    <row r="151" spans="1:3" x14ac:dyDescent="0.3">
      <c r="A151" s="105" t="str">
        <f t="shared" si="2"/>
        <v/>
      </c>
      <c r="B151" s="106"/>
      <c r="C151" s="107"/>
    </row>
    <row r="152" spans="1:3" x14ac:dyDescent="0.3">
      <c r="A152" s="105" t="str">
        <f t="shared" si="2"/>
        <v/>
      </c>
      <c r="B152" s="106"/>
      <c r="C152" s="107"/>
    </row>
    <row r="153" spans="1:3" x14ac:dyDescent="0.3">
      <c r="A153" s="105" t="str">
        <f t="shared" si="2"/>
        <v/>
      </c>
      <c r="B153" s="106"/>
      <c r="C153" s="107"/>
    </row>
    <row r="154" spans="1:3" x14ac:dyDescent="0.3">
      <c r="A154" s="105" t="str">
        <f t="shared" si="2"/>
        <v/>
      </c>
      <c r="B154" s="106"/>
      <c r="C154" s="107"/>
    </row>
    <row r="155" spans="1:3" x14ac:dyDescent="0.3">
      <c r="A155" s="105" t="str">
        <f t="shared" si="2"/>
        <v/>
      </c>
      <c r="B155" s="106"/>
      <c r="C155" s="107"/>
    </row>
    <row r="156" spans="1:3" x14ac:dyDescent="0.3">
      <c r="A156" s="105" t="str">
        <f t="shared" si="2"/>
        <v/>
      </c>
      <c r="B156" s="106"/>
      <c r="C156" s="107"/>
    </row>
    <row r="157" spans="1:3" x14ac:dyDescent="0.3">
      <c r="A157" s="105" t="str">
        <f t="shared" si="2"/>
        <v/>
      </c>
      <c r="B157" s="106"/>
      <c r="C157" s="107"/>
    </row>
    <row r="158" spans="1:3" x14ac:dyDescent="0.3">
      <c r="A158" s="105" t="str">
        <f t="shared" si="2"/>
        <v/>
      </c>
      <c r="B158" s="106"/>
      <c r="C158" s="107"/>
    </row>
    <row r="159" spans="1:3" x14ac:dyDescent="0.3">
      <c r="A159" s="105" t="str">
        <f t="shared" si="2"/>
        <v/>
      </c>
      <c r="B159" s="106"/>
      <c r="C159" s="107"/>
    </row>
    <row r="160" spans="1:3" x14ac:dyDescent="0.3">
      <c r="A160" s="105" t="str">
        <f t="shared" si="2"/>
        <v/>
      </c>
      <c r="B160" s="106"/>
      <c r="C160" s="107"/>
    </row>
    <row r="161" spans="1:3" x14ac:dyDescent="0.3">
      <c r="A161" s="105" t="str">
        <f t="shared" si="2"/>
        <v/>
      </c>
      <c r="B161" s="106"/>
      <c r="C161" s="107"/>
    </row>
    <row r="162" spans="1:3" x14ac:dyDescent="0.3">
      <c r="A162" s="105" t="str">
        <f t="shared" si="2"/>
        <v/>
      </c>
      <c r="B162" s="106"/>
      <c r="C162" s="107"/>
    </row>
    <row r="163" spans="1:3" x14ac:dyDescent="0.3">
      <c r="A163" s="105" t="str">
        <f t="shared" si="2"/>
        <v/>
      </c>
      <c r="B163" s="106"/>
      <c r="C163" s="107"/>
    </row>
    <row r="164" spans="1:3" x14ac:dyDescent="0.3">
      <c r="A164" s="105" t="str">
        <f t="shared" si="2"/>
        <v/>
      </c>
      <c r="B164" s="106"/>
      <c r="C164" s="107"/>
    </row>
    <row r="165" spans="1:3" x14ac:dyDescent="0.3">
      <c r="A165" s="105" t="str">
        <f t="shared" si="2"/>
        <v/>
      </c>
      <c r="B165" s="106"/>
      <c r="C165" s="107"/>
    </row>
    <row r="166" spans="1:3" x14ac:dyDescent="0.3">
      <c r="A166" s="105" t="str">
        <f t="shared" si="2"/>
        <v/>
      </c>
      <c r="B166" s="106"/>
      <c r="C166" s="107"/>
    </row>
    <row r="167" spans="1:3" x14ac:dyDescent="0.3">
      <c r="A167" s="105" t="str">
        <f t="shared" si="2"/>
        <v/>
      </c>
      <c r="B167" s="106"/>
      <c r="C167" s="107"/>
    </row>
    <row r="168" spans="1:3" x14ac:dyDescent="0.3">
      <c r="A168" s="105" t="str">
        <f t="shared" si="2"/>
        <v/>
      </c>
      <c r="B168" s="106"/>
      <c r="C168" s="107"/>
    </row>
    <row r="169" spans="1:3" x14ac:dyDescent="0.3">
      <c r="A169" s="105" t="str">
        <f t="shared" si="2"/>
        <v/>
      </c>
      <c r="B169" s="106"/>
      <c r="C169" s="107"/>
    </row>
    <row r="170" spans="1:3" x14ac:dyDescent="0.3">
      <c r="A170" s="105" t="str">
        <f t="shared" si="2"/>
        <v/>
      </c>
      <c r="B170" s="106"/>
      <c r="C170" s="107"/>
    </row>
    <row r="171" spans="1:3" x14ac:dyDescent="0.3">
      <c r="A171" s="105" t="str">
        <f t="shared" si="2"/>
        <v/>
      </c>
      <c r="B171" s="106"/>
      <c r="C171" s="107"/>
    </row>
    <row r="172" spans="1:3" x14ac:dyDescent="0.3">
      <c r="A172" s="105" t="str">
        <f t="shared" si="2"/>
        <v/>
      </c>
      <c r="B172" s="106"/>
      <c r="C172" s="107"/>
    </row>
    <row r="173" spans="1:3" x14ac:dyDescent="0.3">
      <c r="A173" s="105" t="str">
        <f t="shared" si="2"/>
        <v/>
      </c>
      <c r="B173" s="106"/>
      <c r="C173" s="107"/>
    </row>
    <row r="174" spans="1:3" x14ac:dyDescent="0.3">
      <c r="A174" s="105" t="str">
        <f t="shared" si="2"/>
        <v/>
      </c>
      <c r="B174" s="106"/>
      <c r="C174" s="107"/>
    </row>
    <row r="175" spans="1:3" x14ac:dyDescent="0.3">
      <c r="A175" s="105" t="str">
        <f t="shared" si="2"/>
        <v/>
      </c>
      <c r="B175" s="106"/>
      <c r="C175" s="107"/>
    </row>
    <row r="176" spans="1:3" x14ac:dyDescent="0.3">
      <c r="A176" s="105" t="str">
        <f t="shared" si="2"/>
        <v/>
      </c>
      <c r="B176" s="106"/>
      <c r="C176" s="107"/>
    </row>
    <row r="177" spans="1:3" x14ac:dyDescent="0.3">
      <c r="A177" s="105" t="str">
        <f t="shared" si="2"/>
        <v/>
      </c>
      <c r="B177" s="106"/>
      <c r="C177" s="107"/>
    </row>
    <row r="178" spans="1:3" x14ac:dyDescent="0.3">
      <c r="A178" s="105" t="str">
        <f t="shared" si="2"/>
        <v/>
      </c>
      <c r="B178" s="106"/>
      <c r="C178" s="107"/>
    </row>
    <row r="179" spans="1:3" x14ac:dyDescent="0.3">
      <c r="A179" s="105" t="str">
        <f t="shared" si="2"/>
        <v/>
      </c>
      <c r="B179" s="106"/>
      <c r="C179" s="107"/>
    </row>
    <row r="180" spans="1:3" x14ac:dyDescent="0.3">
      <c r="A180" s="105" t="str">
        <f t="shared" si="2"/>
        <v/>
      </c>
      <c r="B180" s="106"/>
      <c r="C180" s="107"/>
    </row>
    <row r="181" spans="1:3" x14ac:dyDescent="0.3">
      <c r="A181" s="105" t="str">
        <f t="shared" si="2"/>
        <v/>
      </c>
      <c r="B181" s="106"/>
      <c r="C181" s="107"/>
    </row>
    <row r="182" spans="1:3" x14ac:dyDescent="0.3">
      <c r="A182" s="105" t="str">
        <f t="shared" si="2"/>
        <v/>
      </c>
      <c r="B182" s="106"/>
      <c r="C182" s="107"/>
    </row>
    <row r="183" spans="1:3" x14ac:dyDescent="0.3">
      <c r="A183" s="105" t="str">
        <f t="shared" si="2"/>
        <v/>
      </c>
      <c r="B183" s="106"/>
      <c r="C183" s="107"/>
    </row>
    <row r="184" spans="1:3" x14ac:dyDescent="0.3">
      <c r="A184" s="105" t="str">
        <f t="shared" si="2"/>
        <v/>
      </c>
      <c r="B184" s="106"/>
      <c r="C184" s="107"/>
    </row>
    <row r="185" spans="1:3" x14ac:dyDescent="0.3">
      <c r="A185" s="105" t="str">
        <f t="shared" si="2"/>
        <v/>
      </c>
      <c r="B185" s="106"/>
      <c r="C185" s="107"/>
    </row>
    <row r="186" spans="1:3" x14ac:dyDescent="0.3">
      <c r="A186" s="105" t="str">
        <f t="shared" si="2"/>
        <v/>
      </c>
      <c r="B186" s="106"/>
      <c r="C186" s="107"/>
    </row>
    <row r="187" spans="1:3" x14ac:dyDescent="0.3">
      <c r="A187" s="105" t="str">
        <f t="shared" si="2"/>
        <v/>
      </c>
      <c r="B187" s="106"/>
      <c r="C187" s="107"/>
    </row>
    <row r="188" spans="1:3" x14ac:dyDescent="0.3">
      <c r="A188" s="105" t="str">
        <f t="shared" si="2"/>
        <v/>
      </c>
      <c r="B188" s="106"/>
      <c r="C188" s="107"/>
    </row>
    <row r="189" spans="1:3" x14ac:dyDescent="0.3">
      <c r="A189" s="105" t="str">
        <f t="shared" si="2"/>
        <v/>
      </c>
      <c r="B189" s="106"/>
      <c r="C189" s="107"/>
    </row>
    <row r="190" spans="1:3" x14ac:dyDescent="0.3">
      <c r="A190" s="105" t="str">
        <f t="shared" si="2"/>
        <v/>
      </c>
      <c r="B190" s="106"/>
      <c r="C190" s="107"/>
    </row>
    <row r="191" spans="1:3" x14ac:dyDescent="0.3">
      <c r="A191" s="105" t="str">
        <f t="shared" si="2"/>
        <v/>
      </c>
      <c r="B191" s="106"/>
      <c r="C191" s="107"/>
    </row>
    <row r="192" spans="1:3" x14ac:dyDescent="0.3">
      <c r="A192" s="105" t="str">
        <f t="shared" si="2"/>
        <v/>
      </c>
      <c r="B192" s="106"/>
      <c r="C192" s="107"/>
    </row>
    <row r="193" spans="1:3" x14ac:dyDescent="0.3">
      <c r="A193" s="105" t="str">
        <f t="shared" si="2"/>
        <v/>
      </c>
      <c r="B193" s="106"/>
      <c r="C193" s="107"/>
    </row>
    <row r="194" spans="1:3" x14ac:dyDescent="0.3">
      <c r="A194" s="105" t="str">
        <f t="shared" si="2"/>
        <v/>
      </c>
      <c r="B194" s="106"/>
      <c r="C194" s="107"/>
    </row>
    <row r="195" spans="1:3" x14ac:dyDescent="0.3">
      <c r="A195" s="105" t="str">
        <f t="shared" ref="A195:A258" si="3">IF(B195="","",1+A194)</f>
        <v/>
      </c>
      <c r="B195" s="106"/>
      <c r="C195" s="107"/>
    </row>
    <row r="196" spans="1:3" x14ac:dyDescent="0.3">
      <c r="A196" s="105" t="str">
        <f t="shared" si="3"/>
        <v/>
      </c>
      <c r="B196" s="106"/>
      <c r="C196" s="107"/>
    </row>
    <row r="197" spans="1:3" x14ac:dyDescent="0.3">
      <c r="A197" s="105" t="str">
        <f t="shared" si="3"/>
        <v/>
      </c>
      <c r="B197" s="106"/>
      <c r="C197" s="107"/>
    </row>
    <row r="198" spans="1:3" x14ac:dyDescent="0.3">
      <c r="A198" s="105" t="str">
        <f t="shared" si="3"/>
        <v/>
      </c>
      <c r="B198" s="106"/>
      <c r="C198" s="107"/>
    </row>
    <row r="199" spans="1:3" x14ac:dyDescent="0.3">
      <c r="A199" s="105" t="str">
        <f t="shared" si="3"/>
        <v/>
      </c>
      <c r="B199" s="106"/>
      <c r="C199" s="107"/>
    </row>
    <row r="200" spans="1:3" x14ac:dyDescent="0.3">
      <c r="A200" s="105" t="str">
        <f t="shared" si="3"/>
        <v/>
      </c>
      <c r="B200" s="106"/>
      <c r="C200" s="107"/>
    </row>
    <row r="201" spans="1:3" x14ac:dyDescent="0.3">
      <c r="A201" s="105" t="str">
        <f t="shared" si="3"/>
        <v/>
      </c>
      <c r="B201" s="106"/>
      <c r="C201" s="107"/>
    </row>
    <row r="202" spans="1:3" x14ac:dyDescent="0.3">
      <c r="A202" s="105" t="str">
        <f t="shared" si="3"/>
        <v/>
      </c>
      <c r="B202" s="106"/>
      <c r="C202" s="107"/>
    </row>
    <row r="203" spans="1:3" x14ac:dyDescent="0.3">
      <c r="A203" s="105" t="str">
        <f t="shared" si="3"/>
        <v/>
      </c>
      <c r="B203" s="106"/>
      <c r="C203" s="107"/>
    </row>
    <row r="204" spans="1:3" x14ac:dyDescent="0.3">
      <c r="A204" s="105" t="str">
        <f t="shared" si="3"/>
        <v/>
      </c>
      <c r="B204" s="106"/>
      <c r="C204" s="107"/>
    </row>
    <row r="205" spans="1:3" x14ac:dyDescent="0.3">
      <c r="A205" s="105" t="str">
        <f t="shared" si="3"/>
        <v/>
      </c>
      <c r="B205" s="106"/>
      <c r="C205" s="107"/>
    </row>
    <row r="206" spans="1:3" x14ac:dyDescent="0.3">
      <c r="A206" s="105" t="str">
        <f t="shared" si="3"/>
        <v/>
      </c>
      <c r="B206" s="106"/>
      <c r="C206" s="107"/>
    </row>
    <row r="207" spans="1:3" x14ac:dyDescent="0.3">
      <c r="A207" s="105" t="str">
        <f t="shared" si="3"/>
        <v/>
      </c>
      <c r="B207" s="106"/>
      <c r="C207" s="107"/>
    </row>
    <row r="208" spans="1:3" x14ac:dyDescent="0.3">
      <c r="A208" s="105" t="str">
        <f t="shared" si="3"/>
        <v/>
      </c>
      <c r="B208" s="106"/>
      <c r="C208" s="107"/>
    </row>
    <row r="209" spans="1:3" x14ac:dyDescent="0.3">
      <c r="A209" s="105" t="str">
        <f t="shared" si="3"/>
        <v/>
      </c>
      <c r="B209" s="106"/>
      <c r="C209" s="107"/>
    </row>
    <row r="210" spans="1:3" x14ac:dyDescent="0.3">
      <c r="A210" s="105" t="str">
        <f t="shared" si="3"/>
        <v/>
      </c>
      <c r="B210" s="106"/>
      <c r="C210" s="107"/>
    </row>
    <row r="211" spans="1:3" x14ac:dyDescent="0.3">
      <c r="A211" s="105" t="str">
        <f t="shared" si="3"/>
        <v/>
      </c>
      <c r="B211" s="106"/>
      <c r="C211" s="107"/>
    </row>
    <row r="212" spans="1:3" x14ac:dyDescent="0.3">
      <c r="A212" s="105" t="str">
        <f t="shared" si="3"/>
        <v/>
      </c>
      <c r="B212" s="106"/>
      <c r="C212" s="107"/>
    </row>
    <row r="213" spans="1:3" x14ac:dyDescent="0.3">
      <c r="A213" s="105" t="str">
        <f t="shared" si="3"/>
        <v/>
      </c>
      <c r="B213" s="106"/>
      <c r="C213" s="107"/>
    </row>
    <row r="214" spans="1:3" x14ac:dyDescent="0.3">
      <c r="A214" s="105" t="str">
        <f t="shared" si="3"/>
        <v/>
      </c>
      <c r="B214" s="106"/>
      <c r="C214" s="107"/>
    </row>
    <row r="215" spans="1:3" x14ac:dyDescent="0.3">
      <c r="A215" s="105" t="str">
        <f t="shared" si="3"/>
        <v/>
      </c>
      <c r="B215" s="106"/>
      <c r="C215" s="107"/>
    </row>
    <row r="216" spans="1:3" x14ac:dyDescent="0.3">
      <c r="A216" s="105" t="str">
        <f t="shared" si="3"/>
        <v/>
      </c>
      <c r="B216" s="106"/>
      <c r="C216" s="107"/>
    </row>
    <row r="217" spans="1:3" x14ac:dyDescent="0.3">
      <c r="A217" s="105" t="str">
        <f t="shared" si="3"/>
        <v/>
      </c>
      <c r="B217" s="106"/>
      <c r="C217" s="107"/>
    </row>
    <row r="218" spans="1:3" x14ac:dyDescent="0.3">
      <c r="A218" s="105" t="str">
        <f t="shared" si="3"/>
        <v/>
      </c>
      <c r="B218" s="106"/>
      <c r="C218" s="107"/>
    </row>
    <row r="219" spans="1:3" x14ac:dyDescent="0.3">
      <c r="A219" s="105" t="str">
        <f t="shared" si="3"/>
        <v/>
      </c>
      <c r="B219" s="106"/>
      <c r="C219" s="107"/>
    </row>
    <row r="220" spans="1:3" x14ac:dyDescent="0.3">
      <c r="A220" s="105" t="str">
        <f t="shared" si="3"/>
        <v/>
      </c>
      <c r="B220" s="106"/>
      <c r="C220" s="107"/>
    </row>
    <row r="221" spans="1:3" x14ac:dyDescent="0.3">
      <c r="A221" s="105" t="str">
        <f t="shared" si="3"/>
        <v/>
      </c>
      <c r="B221" s="106"/>
      <c r="C221" s="107"/>
    </row>
    <row r="222" spans="1:3" x14ac:dyDescent="0.3">
      <c r="A222" s="105" t="str">
        <f t="shared" si="3"/>
        <v/>
      </c>
      <c r="B222" s="106"/>
      <c r="C222" s="107"/>
    </row>
    <row r="223" spans="1:3" x14ac:dyDescent="0.3">
      <c r="A223" s="105" t="str">
        <f t="shared" si="3"/>
        <v/>
      </c>
      <c r="B223" s="106"/>
      <c r="C223" s="107"/>
    </row>
    <row r="224" spans="1:3" x14ac:dyDescent="0.3">
      <c r="A224" s="105" t="str">
        <f t="shared" si="3"/>
        <v/>
      </c>
      <c r="B224" s="106"/>
      <c r="C224" s="107"/>
    </row>
    <row r="225" spans="1:3" x14ac:dyDescent="0.3">
      <c r="A225" s="105" t="str">
        <f t="shared" si="3"/>
        <v/>
      </c>
      <c r="B225" s="106"/>
      <c r="C225" s="107"/>
    </row>
    <row r="226" spans="1:3" x14ac:dyDescent="0.3">
      <c r="A226" s="105" t="str">
        <f t="shared" si="3"/>
        <v/>
      </c>
      <c r="B226" s="106"/>
      <c r="C226" s="107"/>
    </row>
    <row r="227" spans="1:3" x14ac:dyDescent="0.3">
      <c r="A227" s="105" t="str">
        <f t="shared" si="3"/>
        <v/>
      </c>
      <c r="B227" s="106"/>
      <c r="C227" s="107"/>
    </row>
    <row r="228" spans="1:3" x14ac:dyDescent="0.3">
      <c r="A228" s="105" t="str">
        <f t="shared" si="3"/>
        <v/>
      </c>
      <c r="B228" s="106"/>
      <c r="C228" s="107"/>
    </row>
    <row r="229" spans="1:3" x14ac:dyDescent="0.3">
      <c r="A229" s="105" t="str">
        <f t="shared" si="3"/>
        <v/>
      </c>
      <c r="B229" s="106"/>
      <c r="C229" s="107"/>
    </row>
    <row r="230" spans="1:3" x14ac:dyDescent="0.3">
      <c r="A230" s="105" t="str">
        <f t="shared" si="3"/>
        <v/>
      </c>
      <c r="B230" s="106"/>
      <c r="C230" s="107"/>
    </row>
    <row r="231" spans="1:3" x14ac:dyDescent="0.3">
      <c r="A231" s="105" t="str">
        <f t="shared" si="3"/>
        <v/>
      </c>
      <c r="B231" s="106"/>
      <c r="C231" s="107"/>
    </row>
    <row r="232" spans="1:3" x14ac:dyDescent="0.3">
      <c r="A232" s="105" t="str">
        <f t="shared" si="3"/>
        <v/>
      </c>
      <c r="B232" s="106"/>
      <c r="C232" s="107"/>
    </row>
    <row r="233" spans="1:3" x14ac:dyDescent="0.3">
      <c r="A233" s="105" t="str">
        <f t="shared" si="3"/>
        <v/>
      </c>
      <c r="B233" s="106"/>
      <c r="C233" s="107"/>
    </row>
    <row r="234" spans="1:3" x14ac:dyDescent="0.3">
      <c r="A234" s="105" t="str">
        <f t="shared" si="3"/>
        <v/>
      </c>
      <c r="B234" s="106"/>
      <c r="C234" s="107"/>
    </row>
    <row r="235" spans="1:3" x14ac:dyDescent="0.3">
      <c r="A235" s="105" t="str">
        <f t="shared" si="3"/>
        <v/>
      </c>
      <c r="B235" s="106"/>
      <c r="C235" s="107"/>
    </row>
    <row r="236" spans="1:3" x14ac:dyDescent="0.3">
      <c r="A236" s="105" t="str">
        <f t="shared" si="3"/>
        <v/>
      </c>
      <c r="B236" s="106"/>
      <c r="C236" s="107"/>
    </row>
    <row r="237" spans="1:3" x14ac:dyDescent="0.3">
      <c r="A237" s="105" t="str">
        <f t="shared" si="3"/>
        <v/>
      </c>
      <c r="B237" s="106"/>
      <c r="C237" s="107"/>
    </row>
    <row r="238" spans="1:3" x14ac:dyDescent="0.3">
      <c r="A238" s="105" t="str">
        <f t="shared" si="3"/>
        <v/>
      </c>
      <c r="B238" s="106"/>
      <c r="C238" s="107"/>
    </row>
    <row r="239" spans="1:3" x14ac:dyDescent="0.3">
      <c r="A239" s="105" t="str">
        <f t="shared" si="3"/>
        <v/>
      </c>
      <c r="B239" s="106"/>
      <c r="C239" s="107"/>
    </row>
    <row r="240" spans="1:3" x14ac:dyDescent="0.3">
      <c r="A240" s="105" t="str">
        <f t="shared" si="3"/>
        <v/>
      </c>
      <c r="B240" s="106"/>
      <c r="C240" s="107"/>
    </row>
    <row r="241" spans="1:3" x14ac:dyDescent="0.3">
      <c r="A241" s="105" t="str">
        <f t="shared" si="3"/>
        <v/>
      </c>
      <c r="B241" s="106"/>
      <c r="C241" s="107"/>
    </row>
    <row r="242" spans="1:3" x14ac:dyDescent="0.3">
      <c r="A242" s="105" t="str">
        <f t="shared" si="3"/>
        <v/>
      </c>
      <c r="B242" s="106"/>
      <c r="C242" s="107"/>
    </row>
    <row r="243" spans="1:3" x14ac:dyDescent="0.3">
      <c r="A243" s="105" t="str">
        <f t="shared" si="3"/>
        <v/>
      </c>
      <c r="B243" s="106"/>
      <c r="C243" s="107"/>
    </row>
    <row r="244" spans="1:3" x14ac:dyDescent="0.3">
      <c r="A244" s="105" t="str">
        <f t="shared" si="3"/>
        <v/>
      </c>
      <c r="B244" s="106"/>
      <c r="C244" s="107"/>
    </row>
    <row r="245" spans="1:3" x14ac:dyDescent="0.3">
      <c r="A245" s="105" t="str">
        <f t="shared" si="3"/>
        <v/>
      </c>
      <c r="B245" s="106"/>
      <c r="C245" s="107"/>
    </row>
    <row r="246" spans="1:3" x14ac:dyDescent="0.3">
      <c r="A246" s="105" t="str">
        <f t="shared" si="3"/>
        <v/>
      </c>
      <c r="B246" s="106"/>
      <c r="C246" s="107"/>
    </row>
    <row r="247" spans="1:3" x14ac:dyDescent="0.3">
      <c r="A247" s="105" t="str">
        <f t="shared" si="3"/>
        <v/>
      </c>
      <c r="B247" s="106"/>
      <c r="C247" s="107"/>
    </row>
    <row r="248" spans="1:3" x14ac:dyDescent="0.3">
      <c r="A248" s="105" t="str">
        <f t="shared" si="3"/>
        <v/>
      </c>
      <c r="B248" s="106"/>
      <c r="C248" s="107"/>
    </row>
    <row r="249" spans="1:3" x14ac:dyDescent="0.3">
      <c r="A249" s="105" t="str">
        <f t="shared" si="3"/>
        <v/>
      </c>
      <c r="B249" s="106"/>
      <c r="C249" s="107"/>
    </row>
    <row r="250" spans="1:3" x14ac:dyDescent="0.3">
      <c r="A250" s="105" t="str">
        <f t="shared" si="3"/>
        <v/>
      </c>
      <c r="B250" s="106"/>
      <c r="C250" s="107"/>
    </row>
    <row r="251" spans="1:3" x14ac:dyDescent="0.3">
      <c r="A251" s="105" t="str">
        <f t="shared" si="3"/>
        <v/>
      </c>
      <c r="B251" s="106"/>
      <c r="C251" s="107"/>
    </row>
    <row r="252" spans="1:3" x14ac:dyDescent="0.3">
      <c r="A252" s="105" t="str">
        <f t="shared" si="3"/>
        <v/>
      </c>
      <c r="B252" s="106"/>
      <c r="C252" s="107"/>
    </row>
    <row r="253" spans="1:3" x14ac:dyDescent="0.3">
      <c r="A253" s="105" t="str">
        <f t="shared" si="3"/>
        <v/>
      </c>
      <c r="B253" s="106"/>
      <c r="C253" s="107"/>
    </row>
    <row r="254" spans="1:3" x14ac:dyDescent="0.3">
      <c r="A254" s="105" t="str">
        <f t="shared" si="3"/>
        <v/>
      </c>
      <c r="B254" s="106"/>
      <c r="C254" s="107"/>
    </row>
    <row r="255" spans="1:3" x14ac:dyDescent="0.3">
      <c r="A255" s="105" t="str">
        <f t="shared" si="3"/>
        <v/>
      </c>
      <c r="B255" s="106"/>
      <c r="C255" s="107"/>
    </row>
    <row r="256" spans="1:3" x14ac:dyDescent="0.3">
      <c r="A256" s="105" t="str">
        <f t="shared" si="3"/>
        <v/>
      </c>
      <c r="B256" s="106"/>
      <c r="C256" s="107"/>
    </row>
    <row r="257" spans="1:3" x14ac:dyDescent="0.3">
      <c r="A257" s="105" t="str">
        <f t="shared" si="3"/>
        <v/>
      </c>
      <c r="B257" s="106"/>
      <c r="C257" s="107"/>
    </row>
    <row r="258" spans="1:3" x14ac:dyDescent="0.3">
      <c r="A258" s="105" t="str">
        <f t="shared" si="3"/>
        <v/>
      </c>
      <c r="B258" s="106"/>
      <c r="C258" s="107"/>
    </row>
    <row r="259" spans="1:3" x14ac:dyDescent="0.3">
      <c r="A259" s="105" t="str">
        <f t="shared" ref="A259:A322" si="4">IF(B259="","",1+A258)</f>
        <v/>
      </c>
      <c r="B259" s="106"/>
      <c r="C259" s="107"/>
    </row>
    <row r="260" spans="1:3" x14ac:dyDescent="0.3">
      <c r="A260" s="105" t="str">
        <f t="shared" si="4"/>
        <v/>
      </c>
      <c r="B260" s="106"/>
      <c r="C260" s="107"/>
    </row>
    <row r="261" spans="1:3" x14ac:dyDescent="0.3">
      <c r="A261" s="105" t="str">
        <f t="shared" si="4"/>
        <v/>
      </c>
      <c r="B261" s="106"/>
      <c r="C261" s="107"/>
    </row>
    <row r="262" spans="1:3" x14ac:dyDescent="0.3">
      <c r="A262" s="105" t="str">
        <f t="shared" si="4"/>
        <v/>
      </c>
      <c r="B262" s="106"/>
      <c r="C262" s="107"/>
    </row>
    <row r="263" spans="1:3" x14ac:dyDescent="0.3">
      <c r="A263" s="105" t="str">
        <f t="shared" si="4"/>
        <v/>
      </c>
      <c r="B263" s="106"/>
      <c r="C263" s="107"/>
    </row>
    <row r="264" spans="1:3" x14ac:dyDescent="0.3">
      <c r="A264" s="105" t="str">
        <f t="shared" si="4"/>
        <v/>
      </c>
      <c r="B264" s="106"/>
      <c r="C264" s="107"/>
    </row>
    <row r="265" spans="1:3" x14ac:dyDescent="0.3">
      <c r="A265" s="105" t="str">
        <f t="shared" si="4"/>
        <v/>
      </c>
      <c r="B265" s="106"/>
      <c r="C265" s="107"/>
    </row>
    <row r="266" spans="1:3" x14ac:dyDescent="0.3">
      <c r="A266" s="105" t="str">
        <f t="shared" si="4"/>
        <v/>
      </c>
      <c r="B266" s="106"/>
      <c r="C266" s="107"/>
    </row>
    <row r="267" spans="1:3" x14ac:dyDescent="0.3">
      <c r="A267" s="105" t="str">
        <f t="shared" si="4"/>
        <v/>
      </c>
      <c r="B267" s="106"/>
      <c r="C267" s="107"/>
    </row>
    <row r="268" spans="1:3" x14ac:dyDescent="0.3">
      <c r="A268" s="105" t="str">
        <f t="shared" si="4"/>
        <v/>
      </c>
      <c r="B268" s="106"/>
      <c r="C268" s="107"/>
    </row>
    <row r="269" spans="1:3" x14ac:dyDescent="0.3">
      <c r="A269" s="105" t="str">
        <f t="shared" si="4"/>
        <v/>
      </c>
      <c r="B269" s="106"/>
      <c r="C269" s="107"/>
    </row>
    <row r="270" spans="1:3" x14ac:dyDescent="0.3">
      <c r="A270" s="105" t="str">
        <f t="shared" si="4"/>
        <v/>
      </c>
      <c r="B270" s="106"/>
      <c r="C270" s="107"/>
    </row>
    <row r="271" spans="1:3" x14ac:dyDescent="0.3">
      <c r="A271" s="105" t="str">
        <f t="shared" si="4"/>
        <v/>
      </c>
      <c r="B271" s="106"/>
      <c r="C271" s="107"/>
    </row>
    <row r="272" spans="1:3" x14ac:dyDescent="0.3">
      <c r="A272" s="105" t="str">
        <f t="shared" si="4"/>
        <v/>
      </c>
      <c r="B272" s="106"/>
      <c r="C272" s="107"/>
    </row>
    <row r="273" spans="1:3" x14ac:dyDescent="0.3">
      <c r="A273" s="105" t="str">
        <f t="shared" si="4"/>
        <v/>
      </c>
      <c r="B273" s="106"/>
      <c r="C273" s="107"/>
    </row>
    <row r="274" spans="1:3" x14ac:dyDescent="0.3">
      <c r="A274" s="105" t="str">
        <f t="shared" si="4"/>
        <v/>
      </c>
      <c r="B274" s="106"/>
      <c r="C274" s="107"/>
    </row>
    <row r="275" spans="1:3" x14ac:dyDescent="0.3">
      <c r="A275" s="105" t="str">
        <f t="shared" si="4"/>
        <v/>
      </c>
      <c r="B275" s="106"/>
      <c r="C275" s="107"/>
    </row>
    <row r="276" spans="1:3" x14ac:dyDescent="0.3">
      <c r="A276" s="105" t="str">
        <f t="shared" si="4"/>
        <v/>
      </c>
      <c r="B276" s="106"/>
      <c r="C276" s="107"/>
    </row>
    <row r="277" spans="1:3" x14ac:dyDescent="0.3">
      <c r="A277" s="105" t="str">
        <f t="shared" si="4"/>
        <v/>
      </c>
      <c r="B277" s="106"/>
      <c r="C277" s="107"/>
    </row>
    <row r="278" spans="1:3" x14ac:dyDescent="0.3">
      <c r="A278" s="105" t="str">
        <f t="shared" si="4"/>
        <v/>
      </c>
      <c r="B278" s="106"/>
      <c r="C278" s="107"/>
    </row>
    <row r="279" spans="1:3" x14ac:dyDescent="0.3">
      <c r="A279" s="105" t="str">
        <f t="shared" si="4"/>
        <v/>
      </c>
      <c r="B279" s="106"/>
      <c r="C279" s="107"/>
    </row>
    <row r="280" spans="1:3" x14ac:dyDescent="0.3">
      <c r="A280" s="105" t="str">
        <f t="shared" si="4"/>
        <v/>
      </c>
      <c r="B280" s="106"/>
      <c r="C280" s="107"/>
    </row>
    <row r="281" spans="1:3" x14ac:dyDescent="0.3">
      <c r="A281" s="105" t="str">
        <f t="shared" si="4"/>
        <v/>
      </c>
      <c r="B281" s="106"/>
      <c r="C281" s="107"/>
    </row>
    <row r="282" spans="1:3" x14ac:dyDescent="0.3">
      <c r="A282" s="105" t="str">
        <f t="shared" si="4"/>
        <v/>
      </c>
      <c r="B282" s="106"/>
      <c r="C282" s="107"/>
    </row>
    <row r="283" spans="1:3" x14ac:dyDescent="0.3">
      <c r="A283" s="105" t="str">
        <f t="shared" si="4"/>
        <v/>
      </c>
      <c r="B283" s="106"/>
      <c r="C283" s="107"/>
    </row>
    <row r="284" spans="1:3" x14ac:dyDescent="0.3">
      <c r="A284" s="105" t="str">
        <f t="shared" si="4"/>
        <v/>
      </c>
      <c r="B284" s="106"/>
      <c r="C284" s="107"/>
    </row>
    <row r="285" spans="1:3" x14ac:dyDescent="0.3">
      <c r="A285" s="105" t="str">
        <f t="shared" si="4"/>
        <v/>
      </c>
      <c r="B285" s="106"/>
      <c r="C285" s="107"/>
    </row>
    <row r="286" spans="1:3" x14ac:dyDescent="0.3">
      <c r="A286" s="105" t="str">
        <f t="shared" si="4"/>
        <v/>
      </c>
      <c r="B286" s="106"/>
      <c r="C286" s="107"/>
    </row>
    <row r="287" spans="1:3" x14ac:dyDescent="0.3">
      <c r="A287" s="105" t="str">
        <f t="shared" si="4"/>
        <v/>
      </c>
      <c r="B287" s="106"/>
      <c r="C287" s="107"/>
    </row>
    <row r="288" spans="1:3" x14ac:dyDescent="0.3">
      <c r="A288" s="105" t="str">
        <f t="shared" si="4"/>
        <v/>
      </c>
      <c r="B288" s="106"/>
      <c r="C288" s="107"/>
    </row>
    <row r="289" spans="1:3" x14ac:dyDescent="0.3">
      <c r="A289" s="105" t="str">
        <f t="shared" si="4"/>
        <v/>
      </c>
      <c r="B289" s="106"/>
      <c r="C289" s="107"/>
    </row>
    <row r="290" spans="1:3" x14ac:dyDescent="0.3">
      <c r="A290" s="105" t="str">
        <f t="shared" si="4"/>
        <v/>
      </c>
      <c r="B290" s="106"/>
      <c r="C290" s="107"/>
    </row>
    <row r="291" spans="1:3" x14ac:dyDescent="0.3">
      <c r="A291" s="105" t="str">
        <f t="shared" si="4"/>
        <v/>
      </c>
      <c r="B291" s="106"/>
      <c r="C291" s="107"/>
    </row>
    <row r="292" spans="1:3" x14ac:dyDescent="0.3">
      <c r="A292" s="105" t="str">
        <f t="shared" si="4"/>
        <v/>
      </c>
      <c r="B292" s="106"/>
      <c r="C292" s="107"/>
    </row>
    <row r="293" spans="1:3" x14ac:dyDescent="0.3">
      <c r="A293" s="105" t="str">
        <f t="shared" si="4"/>
        <v/>
      </c>
      <c r="B293" s="106"/>
      <c r="C293" s="107"/>
    </row>
    <row r="294" spans="1:3" x14ac:dyDescent="0.3">
      <c r="A294" s="105" t="str">
        <f t="shared" si="4"/>
        <v/>
      </c>
      <c r="B294" s="106"/>
      <c r="C294" s="107"/>
    </row>
    <row r="295" spans="1:3" x14ac:dyDescent="0.3">
      <c r="A295" s="105" t="str">
        <f t="shared" si="4"/>
        <v/>
      </c>
      <c r="B295" s="106"/>
      <c r="C295" s="107"/>
    </row>
    <row r="296" spans="1:3" x14ac:dyDescent="0.3">
      <c r="A296" s="105" t="str">
        <f t="shared" si="4"/>
        <v/>
      </c>
      <c r="B296" s="106"/>
      <c r="C296" s="107"/>
    </row>
    <row r="297" spans="1:3" x14ac:dyDescent="0.3">
      <c r="A297" s="105" t="str">
        <f t="shared" si="4"/>
        <v/>
      </c>
      <c r="B297" s="106"/>
      <c r="C297" s="107"/>
    </row>
    <row r="298" spans="1:3" x14ac:dyDescent="0.3">
      <c r="A298" s="105" t="str">
        <f t="shared" si="4"/>
        <v/>
      </c>
      <c r="B298" s="106"/>
      <c r="C298" s="107"/>
    </row>
    <row r="299" spans="1:3" x14ac:dyDescent="0.3">
      <c r="A299" s="105" t="str">
        <f t="shared" si="4"/>
        <v/>
      </c>
      <c r="B299" s="106"/>
      <c r="C299" s="107"/>
    </row>
    <row r="300" spans="1:3" x14ac:dyDescent="0.3">
      <c r="A300" s="105" t="str">
        <f t="shared" si="4"/>
        <v/>
      </c>
      <c r="B300" s="106"/>
      <c r="C300" s="107"/>
    </row>
    <row r="301" spans="1:3" x14ac:dyDescent="0.3">
      <c r="A301" s="105" t="str">
        <f t="shared" si="4"/>
        <v/>
      </c>
      <c r="B301" s="106"/>
      <c r="C301" s="107"/>
    </row>
    <row r="302" spans="1:3" x14ac:dyDescent="0.3">
      <c r="A302" s="105" t="str">
        <f t="shared" si="4"/>
        <v/>
      </c>
      <c r="B302" s="106"/>
      <c r="C302" s="107"/>
    </row>
    <row r="303" spans="1:3" x14ac:dyDescent="0.3">
      <c r="A303" s="105" t="str">
        <f t="shared" si="4"/>
        <v/>
      </c>
      <c r="B303" s="106"/>
      <c r="C303" s="107"/>
    </row>
    <row r="304" spans="1:3" x14ac:dyDescent="0.3">
      <c r="A304" s="105" t="str">
        <f t="shared" si="4"/>
        <v/>
      </c>
      <c r="B304" s="106"/>
      <c r="C304" s="107"/>
    </row>
    <row r="305" spans="1:3" x14ac:dyDescent="0.3">
      <c r="A305" s="105" t="str">
        <f t="shared" si="4"/>
        <v/>
      </c>
      <c r="B305" s="106"/>
      <c r="C305" s="107"/>
    </row>
    <row r="306" spans="1:3" x14ac:dyDescent="0.3">
      <c r="A306" s="105" t="str">
        <f t="shared" si="4"/>
        <v/>
      </c>
      <c r="B306" s="106"/>
      <c r="C306" s="107"/>
    </row>
    <row r="307" spans="1:3" x14ac:dyDescent="0.3">
      <c r="A307" s="105" t="str">
        <f t="shared" si="4"/>
        <v/>
      </c>
      <c r="B307" s="106"/>
      <c r="C307" s="107"/>
    </row>
    <row r="308" spans="1:3" x14ac:dyDescent="0.3">
      <c r="A308" s="105" t="str">
        <f t="shared" si="4"/>
        <v/>
      </c>
      <c r="B308" s="106"/>
      <c r="C308" s="107"/>
    </row>
    <row r="309" spans="1:3" x14ac:dyDescent="0.3">
      <c r="A309" s="105" t="str">
        <f t="shared" si="4"/>
        <v/>
      </c>
      <c r="B309" s="106"/>
      <c r="C309" s="107"/>
    </row>
    <row r="310" spans="1:3" x14ac:dyDescent="0.3">
      <c r="A310" s="105" t="str">
        <f t="shared" si="4"/>
        <v/>
      </c>
      <c r="B310" s="106"/>
      <c r="C310" s="107"/>
    </row>
    <row r="311" spans="1:3" x14ac:dyDescent="0.3">
      <c r="A311" s="105" t="str">
        <f t="shared" si="4"/>
        <v/>
      </c>
      <c r="B311" s="106"/>
      <c r="C311" s="107"/>
    </row>
    <row r="312" spans="1:3" x14ac:dyDescent="0.3">
      <c r="A312" s="105" t="str">
        <f t="shared" si="4"/>
        <v/>
      </c>
      <c r="B312" s="106"/>
      <c r="C312" s="107"/>
    </row>
    <row r="313" spans="1:3" x14ac:dyDescent="0.3">
      <c r="A313" s="105" t="str">
        <f t="shared" si="4"/>
        <v/>
      </c>
      <c r="B313" s="106"/>
      <c r="C313" s="107"/>
    </row>
    <row r="314" spans="1:3" x14ac:dyDescent="0.3">
      <c r="A314" s="105" t="str">
        <f t="shared" si="4"/>
        <v/>
      </c>
      <c r="B314" s="106"/>
      <c r="C314" s="107"/>
    </row>
    <row r="315" spans="1:3" x14ac:dyDescent="0.3">
      <c r="A315" s="105" t="str">
        <f t="shared" si="4"/>
        <v/>
      </c>
      <c r="B315" s="106"/>
      <c r="C315" s="107"/>
    </row>
    <row r="316" spans="1:3" x14ac:dyDescent="0.3">
      <c r="A316" s="105" t="str">
        <f t="shared" si="4"/>
        <v/>
      </c>
      <c r="B316" s="106"/>
      <c r="C316" s="107"/>
    </row>
    <row r="317" spans="1:3" x14ac:dyDescent="0.3">
      <c r="A317" s="105" t="str">
        <f t="shared" si="4"/>
        <v/>
      </c>
      <c r="B317" s="106"/>
      <c r="C317" s="107"/>
    </row>
    <row r="318" spans="1:3" x14ac:dyDescent="0.3">
      <c r="A318" s="105" t="str">
        <f t="shared" si="4"/>
        <v/>
      </c>
      <c r="B318" s="106"/>
      <c r="C318" s="107"/>
    </row>
    <row r="319" spans="1:3" x14ac:dyDescent="0.3">
      <c r="A319" s="105" t="str">
        <f t="shared" si="4"/>
        <v/>
      </c>
      <c r="B319" s="106"/>
      <c r="C319" s="107"/>
    </row>
    <row r="320" spans="1:3" x14ac:dyDescent="0.3">
      <c r="A320" s="105" t="str">
        <f t="shared" si="4"/>
        <v/>
      </c>
      <c r="B320" s="106"/>
      <c r="C320" s="107"/>
    </row>
    <row r="321" spans="1:3" x14ac:dyDescent="0.3">
      <c r="A321" s="105" t="str">
        <f t="shared" si="4"/>
        <v/>
      </c>
      <c r="B321" s="106"/>
      <c r="C321" s="107"/>
    </row>
    <row r="322" spans="1:3" x14ac:dyDescent="0.3">
      <c r="A322" s="105" t="str">
        <f t="shared" si="4"/>
        <v/>
      </c>
      <c r="B322" s="106"/>
      <c r="C322" s="107"/>
    </row>
    <row r="323" spans="1:3" x14ac:dyDescent="0.3">
      <c r="A323" s="105" t="str">
        <f t="shared" ref="A323:A367" si="5">IF(B323="","",1+A322)</f>
        <v/>
      </c>
      <c r="B323" s="106"/>
      <c r="C323" s="107"/>
    </row>
    <row r="324" spans="1:3" x14ac:dyDescent="0.3">
      <c r="A324" s="105" t="str">
        <f t="shared" si="5"/>
        <v/>
      </c>
      <c r="B324" s="106"/>
      <c r="C324" s="107"/>
    </row>
    <row r="325" spans="1:3" x14ac:dyDescent="0.3">
      <c r="A325" s="105" t="str">
        <f t="shared" si="5"/>
        <v/>
      </c>
      <c r="B325" s="106"/>
      <c r="C325" s="107"/>
    </row>
    <row r="326" spans="1:3" x14ac:dyDescent="0.3">
      <c r="A326" s="105" t="str">
        <f t="shared" si="5"/>
        <v/>
      </c>
      <c r="B326" s="106"/>
      <c r="C326" s="107"/>
    </row>
    <row r="327" spans="1:3" x14ac:dyDescent="0.3">
      <c r="A327" s="105" t="str">
        <f t="shared" si="5"/>
        <v/>
      </c>
      <c r="B327" s="106"/>
      <c r="C327" s="107"/>
    </row>
    <row r="328" spans="1:3" x14ac:dyDescent="0.3">
      <c r="A328" s="105" t="str">
        <f t="shared" si="5"/>
        <v/>
      </c>
      <c r="B328" s="106"/>
      <c r="C328" s="107"/>
    </row>
    <row r="329" spans="1:3" x14ac:dyDescent="0.3">
      <c r="A329" s="105" t="str">
        <f t="shared" si="5"/>
        <v/>
      </c>
      <c r="B329" s="106"/>
      <c r="C329" s="107"/>
    </row>
    <row r="330" spans="1:3" x14ac:dyDescent="0.3">
      <c r="A330" s="105" t="str">
        <f t="shared" si="5"/>
        <v/>
      </c>
      <c r="B330" s="106"/>
      <c r="C330" s="107"/>
    </row>
    <row r="331" spans="1:3" x14ac:dyDescent="0.3">
      <c r="A331" s="105" t="str">
        <f t="shared" si="5"/>
        <v/>
      </c>
      <c r="B331" s="106"/>
      <c r="C331" s="107"/>
    </row>
    <row r="332" spans="1:3" x14ac:dyDescent="0.3">
      <c r="A332" s="105" t="str">
        <f t="shared" si="5"/>
        <v/>
      </c>
      <c r="B332" s="106"/>
      <c r="C332" s="107"/>
    </row>
    <row r="333" spans="1:3" x14ac:dyDescent="0.3">
      <c r="A333" s="105" t="str">
        <f t="shared" si="5"/>
        <v/>
      </c>
      <c r="B333" s="106"/>
      <c r="C333" s="107"/>
    </row>
    <row r="334" spans="1:3" x14ac:dyDescent="0.3">
      <c r="A334" s="105" t="str">
        <f t="shared" si="5"/>
        <v/>
      </c>
      <c r="B334" s="106"/>
      <c r="C334" s="107"/>
    </row>
    <row r="335" spans="1:3" x14ac:dyDescent="0.3">
      <c r="A335" s="105" t="str">
        <f t="shared" si="5"/>
        <v/>
      </c>
      <c r="B335" s="106"/>
      <c r="C335" s="107"/>
    </row>
    <row r="336" spans="1:3" x14ac:dyDescent="0.3">
      <c r="A336" s="105" t="str">
        <f t="shared" si="5"/>
        <v/>
      </c>
      <c r="B336" s="106"/>
      <c r="C336" s="107"/>
    </row>
    <row r="337" spans="1:3" x14ac:dyDescent="0.3">
      <c r="A337" s="105" t="str">
        <f t="shared" si="5"/>
        <v/>
      </c>
      <c r="B337" s="106"/>
      <c r="C337" s="107"/>
    </row>
    <row r="338" spans="1:3" x14ac:dyDescent="0.3">
      <c r="A338" s="105" t="str">
        <f t="shared" si="5"/>
        <v/>
      </c>
      <c r="B338" s="106"/>
      <c r="C338" s="107"/>
    </row>
    <row r="339" spans="1:3" x14ac:dyDescent="0.3">
      <c r="A339" s="105" t="str">
        <f t="shared" si="5"/>
        <v/>
      </c>
      <c r="B339" s="106"/>
      <c r="C339" s="107"/>
    </row>
    <row r="340" spans="1:3" x14ac:dyDescent="0.3">
      <c r="A340" s="105" t="str">
        <f t="shared" si="5"/>
        <v/>
      </c>
      <c r="B340" s="106"/>
      <c r="C340" s="107"/>
    </row>
    <row r="341" spans="1:3" x14ac:dyDescent="0.3">
      <c r="A341" s="105" t="str">
        <f t="shared" si="5"/>
        <v/>
      </c>
      <c r="B341" s="106"/>
      <c r="C341" s="107"/>
    </row>
    <row r="342" spans="1:3" x14ac:dyDescent="0.3">
      <c r="A342" s="105" t="str">
        <f t="shared" si="5"/>
        <v/>
      </c>
      <c r="B342" s="106"/>
      <c r="C342" s="107"/>
    </row>
    <row r="343" spans="1:3" x14ac:dyDescent="0.3">
      <c r="A343" s="105" t="str">
        <f t="shared" si="5"/>
        <v/>
      </c>
      <c r="B343" s="106"/>
      <c r="C343" s="107"/>
    </row>
    <row r="344" spans="1:3" x14ac:dyDescent="0.3">
      <c r="A344" s="105" t="str">
        <f t="shared" si="5"/>
        <v/>
      </c>
      <c r="B344" s="106"/>
      <c r="C344" s="107"/>
    </row>
    <row r="345" spans="1:3" x14ac:dyDescent="0.3">
      <c r="A345" s="105" t="str">
        <f t="shared" si="5"/>
        <v/>
      </c>
      <c r="B345" s="106"/>
      <c r="C345" s="107"/>
    </row>
    <row r="346" spans="1:3" x14ac:dyDescent="0.3">
      <c r="A346" s="105" t="str">
        <f t="shared" si="5"/>
        <v/>
      </c>
      <c r="B346" s="106"/>
      <c r="C346" s="107"/>
    </row>
    <row r="347" spans="1:3" x14ac:dyDescent="0.3">
      <c r="A347" s="105" t="str">
        <f t="shared" si="5"/>
        <v/>
      </c>
      <c r="B347" s="106"/>
      <c r="C347" s="107"/>
    </row>
    <row r="348" spans="1:3" x14ac:dyDescent="0.3">
      <c r="A348" s="105" t="str">
        <f t="shared" si="5"/>
        <v/>
      </c>
      <c r="B348" s="106"/>
      <c r="C348" s="107"/>
    </row>
    <row r="349" spans="1:3" x14ac:dyDescent="0.3">
      <c r="A349" s="105" t="str">
        <f t="shared" si="5"/>
        <v/>
      </c>
      <c r="B349" s="106"/>
      <c r="C349" s="107"/>
    </row>
    <row r="350" spans="1:3" x14ac:dyDescent="0.3">
      <c r="A350" s="105" t="str">
        <f t="shared" si="5"/>
        <v/>
      </c>
      <c r="B350" s="106"/>
      <c r="C350" s="107"/>
    </row>
    <row r="351" spans="1:3" x14ac:dyDescent="0.3">
      <c r="A351" s="105" t="str">
        <f t="shared" si="5"/>
        <v/>
      </c>
      <c r="B351" s="106"/>
      <c r="C351" s="107"/>
    </row>
    <row r="352" spans="1:3" x14ac:dyDescent="0.3">
      <c r="A352" s="105" t="str">
        <f t="shared" si="5"/>
        <v/>
      </c>
      <c r="B352" s="106"/>
      <c r="C352" s="107"/>
    </row>
    <row r="353" spans="1:3" x14ac:dyDescent="0.3">
      <c r="A353" s="105" t="str">
        <f t="shared" si="5"/>
        <v/>
      </c>
      <c r="B353" s="106"/>
      <c r="C353" s="107"/>
    </row>
    <row r="354" spans="1:3" x14ac:dyDescent="0.3">
      <c r="A354" s="105" t="str">
        <f t="shared" si="5"/>
        <v/>
      </c>
      <c r="B354" s="106"/>
      <c r="C354" s="107"/>
    </row>
    <row r="355" spans="1:3" x14ac:dyDescent="0.3">
      <c r="A355" s="105" t="str">
        <f t="shared" si="5"/>
        <v/>
      </c>
      <c r="B355" s="106"/>
      <c r="C355" s="107"/>
    </row>
    <row r="356" spans="1:3" x14ac:dyDescent="0.3">
      <c r="A356" s="105" t="str">
        <f t="shared" si="5"/>
        <v/>
      </c>
      <c r="B356" s="106"/>
      <c r="C356" s="107"/>
    </row>
    <row r="357" spans="1:3" x14ac:dyDescent="0.3">
      <c r="A357" s="105" t="str">
        <f t="shared" si="5"/>
        <v/>
      </c>
      <c r="B357" s="106"/>
      <c r="C357" s="107"/>
    </row>
    <row r="358" spans="1:3" x14ac:dyDescent="0.3">
      <c r="A358" s="105" t="str">
        <f t="shared" si="5"/>
        <v/>
      </c>
      <c r="B358" s="106"/>
      <c r="C358" s="107"/>
    </row>
    <row r="359" spans="1:3" x14ac:dyDescent="0.3">
      <c r="A359" s="105" t="str">
        <f t="shared" si="5"/>
        <v/>
      </c>
      <c r="B359" s="106"/>
      <c r="C359" s="107"/>
    </row>
    <row r="360" spans="1:3" x14ac:dyDescent="0.3">
      <c r="A360" s="105" t="str">
        <f t="shared" si="5"/>
        <v/>
      </c>
      <c r="B360" s="106"/>
      <c r="C360" s="107"/>
    </row>
    <row r="361" spans="1:3" x14ac:dyDescent="0.3">
      <c r="A361" s="105" t="str">
        <f t="shared" si="5"/>
        <v/>
      </c>
      <c r="B361" s="106"/>
      <c r="C361" s="107"/>
    </row>
    <row r="362" spans="1:3" x14ac:dyDescent="0.3">
      <c r="A362" s="105" t="str">
        <f t="shared" si="5"/>
        <v/>
      </c>
      <c r="B362" s="106"/>
      <c r="C362" s="107"/>
    </row>
    <row r="363" spans="1:3" x14ac:dyDescent="0.3">
      <c r="A363" s="105" t="str">
        <f t="shared" si="5"/>
        <v/>
      </c>
      <c r="B363" s="106"/>
      <c r="C363" s="107"/>
    </row>
    <row r="364" spans="1:3" x14ac:dyDescent="0.3">
      <c r="A364" s="105" t="str">
        <f t="shared" si="5"/>
        <v/>
      </c>
      <c r="B364" s="106"/>
      <c r="C364" s="107"/>
    </row>
    <row r="365" spans="1:3" x14ac:dyDescent="0.3">
      <c r="A365" s="105" t="str">
        <f t="shared" si="5"/>
        <v/>
      </c>
      <c r="B365" s="106"/>
      <c r="C365" s="107"/>
    </row>
    <row r="366" spans="1:3" x14ac:dyDescent="0.3">
      <c r="A366" s="105" t="str">
        <f t="shared" si="5"/>
        <v/>
      </c>
      <c r="B366" s="106"/>
      <c r="C366" s="107"/>
    </row>
    <row r="367" spans="1:3" x14ac:dyDescent="0.3">
      <c r="A367" s="105" t="str">
        <f t="shared" si="5"/>
        <v/>
      </c>
      <c r="B367" s="106"/>
      <c r="C367" s="107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N997"/>
  <sheetViews>
    <sheetView showGridLines="0" workbookViewId="0">
      <selection activeCell="D3" sqref="D3"/>
    </sheetView>
  </sheetViews>
  <sheetFormatPr baseColWidth="10" defaultRowHeight="14.4" x14ac:dyDescent="0.3"/>
  <cols>
    <col min="1" max="2" width="2.5546875" customWidth="1"/>
    <col min="3" max="3" width="3.6640625" customWidth="1"/>
    <col min="4" max="4" width="11.33203125" customWidth="1"/>
    <col min="5" max="6" width="56.33203125" customWidth="1"/>
    <col min="7" max="9" width="6.6640625" customWidth="1"/>
    <col min="10" max="10" width="8.33203125" customWidth="1"/>
    <col min="12" max="12" width="16" customWidth="1"/>
    <col min="13" max="13" width="2.5546875" customWidth="1"/>
  </cols>
  <sheetData>
    <row r="2" spans="2:14" x14ac:dyDescent="0.3">
      <c r="B2" s="31" t="s">
        <v>80</v>
      </c>
      <c r="C2" s="31" t="s">
        <v>54</v>
      </c>
      <c r="D2" s="31" t="s">
        <v>0</v>
      </c>
      <c r="E2" s="41" t="s">
        <v>13</v>
      </c>
      <c r="F2" s="41" t="s">
        <v>91</v>
      </c>
      <c r="G2" s="32" t="s">
        <v>4</v>
      </c>
      <c r="H2" s="32" t="s">
        <v>5</v>
      </c>
      <c r="I2" s="32" t="s">
        <v>6</v>
      </c>
      <c r="J2" s="32" t="s">
        <v>7</v>
      </c>
      <c r="L2" s="43" t="s">
        <v>13</v>
      </c>
      <c r="M2" s="43" t="s">
        <v>80</v>
      </c>
      <c r="N2" s="43" t="s">
        <v>7</v>
      </c>
    </row>
    <row r="3" spans="2:14" x14ac:dyDescent="0.3">
      <c r="B3" s="50" t="str">
        <f>IF(ISBLANK(E3),"",VLOOKUP(E3,$L$2:$M$11,2,FALSE))</f>
        <v/>
      </c>
      <c r="C3" s="42" t="str">
        <f>IF(D3="","",D3)</f>
        <v/>
      </c>
      <c r="D3" s="60"/>
      <c r="E3" s="63"/>
      <c r="F3" s="61"/>
      <c r="G3" s="62"/>
      <c r="H3" s="62"/>
      <c r="I3" s="62"/>
      <c r="J3" s="49">
        <f>IF(AND(ISBLANK(G3),ISBLANK(H3),ISBLANK(I3)),VLOOKUP(TEXT(D3,"TTT"),Stammdaten!$B$20:$F$26,5,FALSE),H3-G3-I3)-IF(ISERROR(VLOOKUP(D3,Stammdaten!$I$9:$J$26,2,FALSE)),0,VLOOKUP(D3,Stammdaten!$I$9:$J$26,2,FALSE)/24)</f>
        <v>0</v>
      </c>
      <c r="L3" s="53" t="s">
        <v>8</v>
      </c>
      <c r="M3" s="44" t="s">
        <v>18</v>
      </c>
      <c r="N3" s="54">
        <f t="shared" ref="N3:N11" si="0">SUMIFS($J$3:$J$997,$E$3:$E$997,Grund)*24</f>
        <v>0</v>
      </c>
    </row>
    <row r="4" spans="2:14" x14ac:dyDescent="0.3">
      <c r="B4" s="50" t="str">
        <f t="shared" ref="B4:B67" si="1">IF(ISBLANK(E4),"",VLOOKUP(E4,$L$2:$M$11,2,FALSE))</f>
        <v/>
      </c>
      <c r="C4" s="42" t="str">
        <f t="shared" ref="C4:C65" si="2">IF(D4="","",D4)</f>
        <v/>
      </c>
      <c r="D4" s="60"/>
      <c r="E4" s="63"/>
      <c r="F4" s="61"/>
      <c r="G4" s="62"/>
      <c r="H4" s="62"/>
      <c r="I4" s="62"/>
      <c r="J4" s="49">
        <f>IF(AND(ISBLANK(G4),ISBLANK(H4),ISBLANK(I4)),VLOOKUP(TEXT(D4,"TTT"),Stammdaten!$B$20:$F$26,5,FALSE),H4-G4-I4)-IF(ISERROR(VLOOKUP(D4,Stammdaten!$I$9:$J$26,2,FALSE)),0,VLOOKUP(D4,Stammdaten!$I$9:$J$26,2,FALSE)/24)</f>
        <v>0</v>
      </c>
      <c r="L4" s="53" t="s">
        <v>9</v>
      </c>
      <c r="M4" s="44" t="s">
        <v>19</v>
      </c>
      <c r="N4" s="54">
        <f t="shared" si="0"/>
        <v>0</v>
      </c>
    </row>
    <row r="5" spans="2:14" x14ac:dyDescent="0.3">
      <c r="B5" s="50" t="str">
        <f t="shared" si="1"/>
        <v/>
      </c>
      <c r="C5" s="42" t="str">
        <f t="shared" si="2"/>
        <v/>
      </c>
      <c r="D5" s="60"/>
      <c r="E5" s="63"/>
      <c r="F5" s="61"/>
      <c r="G5" s="62"/>
      <c r="H5" s="62"/>
      <c r="I5" s="62"/>
      <c r="J5" s="49">
        <f>IF(AND(ISBLANK(G5),ISBLANK(H5),ISBLANK(I5)),VLOOKUP(TEXT(D5,"TTT"),Stammdaten!$B$20:$F$26,5,FALSE),H5-G5-I5)-IF(ISERROR(VLOOKUP(D5,Stammdaten!$I$9:$J$26,2,FALSE)),0,VLOOKUP(D5,Stammdaten!$I$9:$J$26,2,FALSE)/24)</f>
        <v>0</v>
      </c>
      <c r="L5" s="53" t="s">
        <v>10</v>
      </c>
      <c r="M5" s="44" t="s">
        <v>20</v>
      </c>
      <c r="N5" s="54">
        <f t="shared" si="0"/>
        <v>0</v>
      </c>
    </row>
    <row r="6" spans="2:14" x14ac:dyDescent="0.3">
      <c r="B6" s="50" t="str">
        <f t="shared" si="1"/>
        <v/>
      </c>
      <c r="C6" s="42" t="str">
        <f t="shared" si="2"/>
        <v/>
      </c>
      <c r="D6" s="60"/>
      <c r="E6" s="63"/>
      <c r="F6" s="61"/>
      <c r="G6" s="62"/>
      <c r="H6" s="62"/>
      <c r="I6" s="62"/>
      <c r="J6" s="49">
        <f>IF(AND(ISBLANK(G6),ISBLANK(H6),ISBLANK(I6)),VLOOKUP(TEXT(D6,"TTT"),Stammdaten!$B$20:$F$26,5,FALSE),H6-G6-I6)-IF(ISERROR(VLOOKUP(D6,Stammdaten!$I$9:$J$26,2,FALSE)),0,VLOOKUP(D6,Stammdaten!$I$9:$J$26,2,FALSE)/24)</f>
        <v>0</v>
      </c>
      <c r="L6" s="53" t="s">
        <v>14</v>
      </c>
      <c r="M6" s="44" t="s">
        <v>21</v>
      </c>
      <c r="N6" s="54">
        <f t="shared" si="0"/>
        <v>0</v>
      </c>
    </row>
    <row r="7" spans="2:14" x14ac:dyDescent="0.3">
      <c r="B7" s="50" t="str">
        <f t="shared" si="1"/>
        <v/>
      </c>
      <c r="C7" s="42" t="str">
        <f t="shared" si="2"/>
        <v/>
      </c>
      <c r="D7" s="60"/>
      <c r="E7" s="63"/>
      <c r="F7" s="61"/>
      <c r="G7" s="62"/>
      <c r="H7" s="62"/>
      <c r="I7" s="62"/>
      <c r="J7" s="49">
        <f>IF(AND(ISBLANK(G7),ISBLANK(H7),ISBLANK(I7)),VLOOKUP(TEXT(D7,"TTT"),Stammdaten!$B$20:$F$26,5,FALSE),H7-G7-I7)-IF(ISERROR(VLOOKUP(D7,Stammdaten!$I$9:$J$26,2,FALSE)),0,VLOOKUP(D7,Stammdaten!$I$9:$J$26,2,FALSE)/24)</f>
        <v>0</v>
      </c>
      <c r="L7" s="53" t="s">
        <v>15</v>
      </c>
      <c r="M7" s="44" t="s">
        <v>18</v>
      </c>
      <c r="N7" s="54">
        <f t="shared" si="0"/>
        <v>0</v>
      </c>
    </row>
    <row r="8" spans="2:14" x14ac:dyDescent="0.3">
      <c r="B8" s="50" t="str">
        <f t="shared" si="1"/>
        <v/>
      </c>
      <c r="C8" s="42" t="str">
        <f t="shared" si="2"/>
        <v/>
      </c>
      <c r="D8" s="60"/>
      <c r="E8" s="63"/>
      <c r="F8" s="61"/>
      <c r="G8" s="62"/>
      <c r="H8" s="62"/>
      <c r="I8" s="62"/>
      <c r="J8" s="49">
        <f>IF(AND(ISBLANK(G8),ISBLANK(H8),ISBLANK(I8)),VLOOKUP(TEXT(D8,"TTT"),Stammdaten!$B$20:$F$26,5,FALSE),H8-G8-I8)-IF(ISERROR(VLOOKUP(D8,Stammdaten!$I$9:$J$26,2,FALSE)),0,VLOOKUP(D8,Stammdaten!$I$9:$J$26,2,FALSE)/24)</f>
        <v>0</v>
      </c>
      <c r="L8" s="53" t="s">
        <v>16</v>
      </c>
      <c r="M8" s="44" t="s">
        <v>22</v>
      </c>
      <c r="N8" s="54">
        <f t="shared" si="0"/>
        <v>0</v>
      </c>
    </row>
    <row r="9" spans="2:14" x14ac:dyDescent="0.3">
      <c r="B9" s="50" t="str">
        <f t="shared" si="1"/>
        <v/>
      </c>
      <c r="C9" s="42" t="str">
        <f t="shared" si="2"/>
        <v/>
      </c>
      <c r="D9" s="60"/>
      <c r="E9" s="63"/>
      <c r="F9" s="61"/>
      <c r="G9" s="62"/>
      <c r="H9" s="62"/>
      <c r="I9" s="62"/>
      <c r="J9" s="49">
        <f>IF(AND(ISBLANK(G9),ISBLANK(H9),ISBLANK(I9)),VLOOKUP(TEXT(D9,"TTT"),Stammdaten!$B$20:$F$26,5,FALSE),H9-G9-I9)-IF(ISERROR(VLOOKUP(D9,Stammdaten!$I$9:$J$26,2,FALSE)),0,VLOOKUP(D9,Stammdaten!$I$9:$J$26,2,FALSE)/24)</f>
        <v>0</v>
      </c>
      <c r="L9" s="53" t="s">
        <v>17</v>
      </c>
      <c r="M9" s="44" t="s">
        <v>23</v>
      </c>
      <c r="N9" s="54">
        <f t="shared" si="0"/>
        <v>0</v>
      </c>
    </row>
    <row r="10" spans="2:14" x14ac:dyDescent="0.3">
      <c r="B10" s="50" t="str">
        <f t="shared" si="1"/>
        <v/>
      </c>
      <c r="C10" s="42" t="str">
        <f t="shared" si="2"/>
        <v/>
      </c>
      <c r="D10" s="60"/>
      <c r="E10" s="63"/>
      <c r="F10" s="61"/>
      <c r="G10" s="62"/>
      <c r="H10" s="62"/>
      <c r="I10" s="62"/>
      <c r="J10" s="49">
        <f>IF(AND(ISBLANK(G10),ISBLANK(H10),ISBLANK(I10)),VLOOKUP(TEXT(D10,"TTT"),Stammdaten!$B$20:$F$26,5,FALSE),H10-G10-I10)-IF(ISERROR(VLOOKUP(D10,Stammdaten!$I$9:$J$26,2,FALSE)),0,VLOOKUP(D10,Stammdaten!$I$9:$J$26,2,FALSE)/24)</f>
        <v>0</v>
      </c>
      <c r="L10" s="53" t="s">
        <v>83</v>
      </c>
      <c r="M10" s="44" t="s">
        <v>24</v>
      </c>
      <c r="N10" s="54">
        <f t="shared" si="0"/>
        <v>0</v>
      </c>
    </row>
    <row r="11" spans="2:14" x14ac:dyDescent="0.3">
      <c r="B11" s="50" t="str">
        <f t="shared" si="1"/>
        <v/>
      </c>
      <c r="C11" s="42" t="str">
        <f t="shared" si="2"/>
        <v/>
      </c>
      <c r="D11" s="60"/>
      <c r="E11" s="63"/>
      <c r="F11" s="61"/>
      <c r="G11" s="62"/>
      <c r="H11" s="62"/>
      <c r="I11" s="62"/>
      <c r="J11" s="49">
        <f>IF(AND(ISBLANK(G11),ISBLANK(H11),ISBLANK(I11)),VLOOKUP(TEXT(D11,"TTT"),Stammdaten!$B$20:$F$26,5,FALSE),H11-G11-I11)-IF(ISERROR(VLOOKUP(D11,Stammdaten!$I$9:$J$26,2,FALSE)),0,VLOOKUP(D11,Stammdaten!$I$9:$J$26,2,FALSE)/24)</f>
        <v>0</v>
      </c>
      <c r="L11" s="53" t="s">
        <v>119</v>
      </c>
      <c r="M11" s="44" t="s">
        <v>120</v>
      </c>
      <c r="N11" s="54">
        <f t="shared" si="0"/>
        <v>0</v>
      </c>
    </row>
    <row r="12" spans="2:14" x14ac:dyDescent="0.3">
      <c r="B12" s="50" t="str">
        <f t="shared" si="1"/>
        <v/>
      </c>
      <c r="C12" s="42" t="str">
        <f t="shared" si="2"/>
        <v/>
      </c>
      <c r="D12" s="60"/>
      <c r="E12" s="63"/>
      <c r="F12" s="61"/>
      <c r="G12" s="62"/>
      <c r="H12" s="62"/>
      <c r="I12" s="62"/>
      <c r="J12" s="49">
        <f>IF(AND(ISBLANK(G12),ISBLANK(H12),ISBLANK(I12)),VLOOKUP(TEXT(D12,"TTT"),Stammdaten!$B$20:$F$26,5,FALSE),H12-G12-I12)-IF(ISERROR(VLOOKUP(D12,Stammdaten!$I$9:$J$26,2,FALSE)),0,VLOOKUP(D12,Stammdaten!$I$9:$J$26,2,FALSE)/24)</f>
        <v>0</v>
      </c>
    </row>
    <row r="13" spans="2:14" x14ac:dyDescent="0.3">
      <c r="B13" s="50" t="str">
        <f t="shared" si="1"/>
        <v/>
      </c>
      <c r="C13" s="42" t="str">
        <f t="shared" si="2"/>
        <v/>
      </c>
      <c r="D13" s="60"/>
      <c r="E13" s="63"/>
      <c r="F13" s="61"/>
      <c r="G13" s="62"/>
      <c r="H13" s="62"/>
      <c r="I13" s="62"/>
      <c r="J13" s="49">
        <f>IF(AND(ISBLANK(G13),ISBLANK(H13),ISBLANK(I13)),VLOOKUP(TEXT(D13,"TTT"),Stammdaten!$B$20:$F$26,5,FALSE),H13-G13-I13)-IF(ISERROR(VLOOKUP(D13,Stammdaten!$I$9:$J$26,2,FALSE)),0,VLOOKUP(D13,Stammdaten!$I$9:$J$26,2,FALSE)/24)</f>
        <v>0</v>
      </c>
    </row>
    <row r="14" spans="2:14" x14ac:dyDescent="0.3">
      <c r="B14" s="50" t="str">
        <f t="shared" si="1"/>
        <v/>
      </c>
      <c r="C14" s="42" t="str">
        <f t="shared" si="2"/>
        <v/>
      </c>
      <c r="D14" s="60"/>
      <c r="E14" s="63"/>
      <c r="F14" s="61"/>
      <c r="G14" s="62"/>
      <c r="H14" s="62"/>
      <c r="I14" s="62"/>
      <c r="J14" s="49">
        <f>IF(AND(ISBLANK(G14),ISBLANK(H14),ISBLANK(I14)),VLOOKUP(TEXT(D14,"TTT"),Stammdaten!$B$20:$F$26,5,FALSE),H14-G14-I14)-IF(ISERROR(VLOOKUP(D14,Stammdaten!$I$9:$J$26,2,FALSE)),0,VLOOKUP(D14,Stammdaten!$I$9:$J$26,2,FALSE)/24)</f>
        <v>0</v>
      </c>
    </row>
    <row r="15" spans="2:14" x14ac:dyDescent="0.3">
      <c r="B15" s="50" t="str">
        <f t="shared" si="1"/>
        <v/>
      </c>
      <c r="C15" s="42" t="str">
        <f t="shared" si="2"/>
        <v/>
      </c>
      <c r="D15" s="60"/>
      <c r="E15" s="63"/>
      <c r="F15" s="61"/>
      <c r="G15" s="62"/>
      <c r="H15" s="62"/>
      <c r="I15" s="62"/>
      <c r="J15" s="49">
        <f>IF(AND(ISBLANK(G15),ISBLANK(H15),ISBLANK(I15)),VLOOKUP(TEXT(D15,"TTT"),Stammdaten!$B$20:$F$26,5,FALSE),H15-G15-I15)-IF(ISERROR(VLOOKUP(D15,Stammdaten!$I$9:$J$26,2,FALSE)),0,VLOOKUP(D15,Stammdaten!$I$9:$J$26,2,FALSE)/24)</f>
        <v>0</v>
      </c>
    </row>
    <row r="16" spans="2:14" x14ac:dyDescent="0.3">
      <c r="B16" s="50" t="str">
        <f t="shared" si="1"/>
        <v/>
      </c>
      <c r="C16" s="42" t="str">
        <f t="shared" si="2"/>
        <v/>
      </c>
      <c r="D16" s="60"/>
      <c r="E16" s="63"/>
      <c r="F16" s="61"/>
      <c r="G16" s="62"/>
      <c r="H16" s="62"/>
      <c r="I16" s="62"/>
      <c r="J16" s="49">
        <f>IF(AND(ISBLANK(G16),ISBLANK(H16),ISBLANK(I16)),VLOOKUP(TEXT(D16,"TTT"),Stammdaten!$B$20:$F$26,5,FALSE),H16-G16-I16)-IF(ISERROR(VLOOKUP(D16,Stammdaten!$I$9:$J$26,2,FALSE)),0,VLOOKUP(D16,Stammdaten!$I$9:$J$26,2,FALSE)/24)</f>
        <v>0</v>
      </c>
    </row>
    <row r="17" spans="2:10" x14ac:dyDescent="0.3">
      <c r="B17" s="50" t="str">
        <f t="shared" si="1"/>
        <v/>
      </c>
      <c r="C17" s="42" t="str">
        <f t="shared" si="2"/>
        <v/>
      </c>
      <c r="D17" s="60"/>
      <c r="E17" s="63"/>
      <c r="F17" s="61"/>
      <c r="G17" s="62"/>
      <c r="H17" s="62"/>
      <c r="I17" s="62"/>
      <c r="J17" s="49">
        <f>IF(AND(ISBLANK(G17),ISBLANK(H17),ISBLANK(I17)),VLOOKUP(TEXT(D17,"TTT"),Stammdaten!$B$20:$F$26,5,FALSE),H17-G17-I17)-IF(ISERROR(VLOOKUP(D17,Stammdaten!$I$9:$J$26,2,FALSE)),0,VLOOKUP(D17,Stammdaten!$I$9:$J$26,2,FALSE)/24)</f>
        <v>0</v>
      </c>
    </row>
    <row r="18" spans="2:10" x14ac:dyDescent="0.3">
      <c r="B18" s="50" t="str">
        <f t="shared" si="1"/>
        <v/>
      </c>
      <c r="C18" s="42" t="str">
        <f t="shared" si="2"/>
        <v/>
      </c>
      <c r="D18" s="60"/>
      <c r="E18" s="63"/>
      <c r="F18" s="61"/>
      <c r="G18" s="62"/>
      <c r="H18" s="62"/>
      <c r="I18" s="62"/>
      <c r="J18" s="49">
        <f>IF(AND(ISBLANK(G18),ISBLANK(H18),ISBLANK(I18)),VLOOKUP(TEXT(D18,"TTT"),Stammdaten!$B$20:$F$26,5,FALSE),H18-G18-I18)-IF(ISERROR(VLOOKUP(D18,Stammdaten!$I$9:$J$26,2,FALSE)),0,VLOOKUP(D18,Stammdaten!$I$9:$J$26,2,FALSE)/24)</f>
        <v>0</v>
      </c>
    </row>
    <row r="19" spans="2:10" x14ac:dyDescent="0.3">
      <c r="B19" s="50" t="str">
        <f t="shared" si="1"/>
        <v/>
      </c>
      <c r="C19" s="42" t="str">
        <f t="shared" si="2"/>
        <v/>
      </c>
      <c r="D19" s="60"/>
      <c r="E19" s="63"/>
      <c r="F19" s="61"/>
      <c r="G19" s="62"/>
      <c r="H19" s="62"/>
      <c r="I19" s="62"/>
      <c r="J19" s="49">
        <f>IF(AND(ISBLANK(G19),ISBLANK(H19),ISBLANK(I19)),VLOOKUP(TEXT(D19,"TTT"),Stammdaten!$B$20:$F$26,5,FALSE),H19-G19-I19)-IF(ISERROR(VLOOKUP(D19,Stammdaten!$I$9:$J$26,2,FALSE)),0,VLOOKUP(D19,Stammdaten!$I$9:$J$26,2,FALSE)/24)</f>
        <v>0</v>
      </c>
    </row>
    <row r="20" spans="2:10" x14ac:dyDescent="0.3">
      <c r="B20" s="50" t="str">
        <f t="shared" si="1"/>
        <v/>
      </c>
      <c r="C20" s="42" t="str">
        <f t="shared" si="2"/>
        <v/>
      </c>
      <c r="D20" s="60"/>
      <c r="E20" s="63"/>
      <c r="F20" s="61"/>
      <c r="G20" s="62"/>
      <c r="H20" s="62"/>
      <c r="I20" s="62"/>
      <c r="J20" s="49">
        <f>IF(AND(ISBLANK(G20),ISBLANK(H20),ISBLANK(I20)),VLOOKUP(TEXT(D20,"TTT"),Stammdaten!$B$20:$F$26,5,FALSE),H20-G20-I20)-IF(ISERROR(VLOOKUP(D20,Stammdaten!$I$9:$J$26,2,FALSE)),0,VLOOKUP(D20,Stammdaten!$I$9:$J$26,2,FALSE)/24)</f>
        <v>0</v>
      </c>
    </row>
    <row r="21" spans="2:10" x14ac:dyDescent="0.3">
      <c r="B21" s="50" t="str">
        <f t="shared" si="1"/>
        <v/>
      </c>
      <c r="C21" s="42" t="str">
        <f t="shared" si="2"/>
        <v/>
      </c>
      <c r="D21" s="60"/>
      <c r="E21" s="63"/>
      <c r="F21" s="61"/>
      <c r="G21" s="62"/>
      <c r="H21" s="62"/>
      <c r="I21" s="62"/>
      <c r="J21" s="49">
        <f>IF(AND(ISBLANK(G21),ISBLANK(H21),ISBLANK(I21)),VLOOKUP(TEXT(D21,"TTT"),Stammdaten!$B$20:$F$26,5,FALSE),H21-G21-I21)-IF(ISERROR(VLOOKUP(D21,Stammdaten!$I$9:$J$26,2,FALSE)),0,VLOOKUP(D21,Stammdaten!$I$9:$J$26,2,FALSE)/24)</f>
        <v>0</v>
      </c>
    </row>
    <row r="22" spans="2:10" x14ac:dyDescent="0.3">
      <c r="B22" s="50" t="str">
        <f t="shared" si="1"/>
        <v/>
      </c>
      <c r="C22" s="42" t="str">
        <f t="shared" si="2"/>
        <v/>
      </c>
      <c r="D22" s="60"/>
      <c r="E22" s="63"/>
      <c r="F22" s="61"/>
      <c r="G22" s="62"/>
      <c r="H22" s="62"/>
      <c r="I22" s="62"/>
      <c r="J22" s="49">
        <f>IF(AND(ISBLANK(G22),ISBLANK(H22),ISBLANK(I22)),VLOOKUP(TEXT(D22,"TTT"),Stammdaten!$B$20:$F$26,5,FALSE),H22-G22-I22)-IF(ISERROR(VLOOKUP(D22,Stammdaten!$I$9:$J$26,2,FALSE)),0,VLOOKUP(D22,Stammdaten!$I$9:$J$26,2,FALSE)/24)</f>
        <v>0</v>
      </c>
    </row>
    <row r="23" spans="2:10" x14ac:dyDescent="0.3">
      <c r="B23" s="50" t="str">
        <f t="shared" si="1"/>
        <v/>
      </c>
      <c r="C23" s="42" t="str">
        <f t="shared" si="2"/>
        <v/>
      </c>
      <c r="D23" s="60"/>
      <c r="E23" s="63"/>
      <c r="F23" s="61"/>
      <c r="G23" s="62"/>
      <c r="H23" s="62"/>
      <c r="I23" s="62"/>
      <c r="J23" s="49">
        <f>IF(AND(ISBLANK(G23),ISBLANK(H23),ISBLANK(I23)),VLOOKUP(TEXT(D23,"TTT"),Stammdaten!$B$20:$F$26,5,FALSE),H23-G23-I23)-IF(ISERROR(VLOOKUP(D23,Stammdaten!$I$9:$J$26,2,FALSE)),0,VLOOKUP(D23,Stammdaten!$I$9:$J$26,2,FALSE)/24)</f>
        <v>0</v>
      </c>
    </row>
    <row r="24" spans="2:10" x14ac:dyDescent="0.3">
      <c r="B24" s="50" t="str">
        <f t="shared" si="1"/>
        <v/>
      </c>
      <c r="C24" s="42" t="str">
        <f t="shared" si="2"/>
        <v/>
      </c>
      <c r="D24" s="60"/>
      <c r="E24" s="63"/>
      <c r="F24" s="61"/>
      <c r="G24" s="62"/>
      <c r="H24" s="62"/>
      <c r="I24" s="62"/>
      <c r="J24" s="49">
        <f>IF(AND(ISBLANK(G24),ISBLANK(H24),ISBLANK(I24)),VLOOKUP(TEXT(D24,"TTT"),Stammdaten!$B$20:$F$26,5,FALSE),H24-G24-I24)-IF(ISERROR(VLOOKUP(D24,Stammdaten!$I$9:$J$26,2,FALSE)),0,VLOOKUP(D24,Stammdaten!$I$9:$J$26,2,FALSE)/24)</f>
        <v>0</v>
      </c>
    </row>
    <row r="25" spans="2:10" x14ac:dyDescent="0.3">
      <c r="B25" s="50" t="str">
        <f t="shared" si="1"/>
        <v/>
      </c>
      <c r="C25" s="42" t="str">
        <f t="shared" si="2"/>
        <v/>
      </c>
      <c r="D25" s="60"/>
      <c r="E25" s="63"/>
      <c r="F25" s="61"/>
      <c r="G25" s="62"/>
      <c r="H25" s="62"/>
      <c r="I25" s="62"/>
      <c r="J25" s="49">
        <f>IF(AND(ISBLANK(G25),ISBLANK(H25),ISBLANK(I25)),VLOOKUP(TEXT(D25,"TTT"),Stammdaten!$B$20:$F$26,5,FALSE),H25-G25-I25)-IF(ISERROR(VLOOKUP(D25,Stammdaten!$I$9:$J$26,2,FALSE)),0,VLOOKUP(D25,Stammdaten!$I$9:$J$26,2,FALSE)/24)</f>
        <v>0</v>
      </c>
    </row>
    <row r="26" spans="2:10" x14ac:dyDescent="0.3">
      <c r="B26" s="50" t="str">
        <f t="shared" si="1"/>
        <v/>
      </c>
      <c r="C26" s="42" t="str">
        <f t="shared" si="2"/>
        <v/>
      </c>
      <c r="D26" s="60"/>
      <c r="E26" s="63"/>
      <c r="F26" s="61"/>
      <c r="G26" s="62"/>
      <c r="H26" s="62"/>
      <c r="I26" s="62"/>
      <c r="J26" s="49">
        <f>IF(AND(ISBLANK(G26),ISBLANK(H26),ISBLANK(I26)),VLOOKUP(TEXT(D26,"TTT"),Stammdaten!$B$20:$F$26,5,FALSE),H26-G26-I26)-IF(ISERROR(VLOOKUP(D26,Stammdaten!$I$9:$J$26,2,FALSE)),0,VLOOKUP(D26,Stammdaten!$I$9:$J$26,2,FALSE)/24)</f>
        <v>0</v>
      </c>
    </row>
    <row r="27" spans="2:10" x14ac:dyDescent="0.3">
      <c r="B27" s="50" t="str">
        <f t="shared" si="1"/>
        <v/>
      </c>
      <c r="C27" s="42" t="str">
        <f t="shared" si="2"/>
        <v/>
      </c>
      <c r="D27" s="60"/>
      <c r="E27" s="63"/>
      <c r="F27" s="61"/>
      <c r="G27" s="62"/>
      <c r="H27" s="62"/>
      <c r="I27" s="62"/>
      <c r="J27" s="49">
        <f>IF(AND(ISBLANK(G27),ISBLANK(H27),ISBLANK(I27)),VLOOKUP(TEXT(D27,"TTT"),Stammdaten!$B$20:$F$26,5,FALSE),H27-G27-I27)-IF(ISERROR(VLOOKUP(D27,Stammdaten!$I$9:$J$26,2,FALSE)),0,VLOOKUP(D27,Stammdaten!$I$9:$J$26,2,FALSE)/24)</f>
        <v>0</v>
      </c>
    </row>
    <row r="28" spans="2:10" x14ac:dyDescent="0.3">
      <c r="B28" s="50" t="str">
        <f t="shared" si="1"/>
        <v/>
      </c>
      <c r="C28" s="42" t="str">
        <f t="shared" si="2"/>
        <v/>
      </c>
      <c r="D28" s="60"/>
      <c r="E28" s="63"/>
      <c r="F28" s="61"/>
      <c r="G28" s="62"/>
      <c r="H28" s="62"/>
      <c r="I28" s="62"/>
      <c r="J28" s="49">
        <f>IF(AND(ISBLANK(G28),ISBLANK(H28),ISBLANK(I28)),VLOOKUP(TEXT(D28,"TTT"),Stammdaten!$B$20:$F$26,5,FALSE),H28-G28-I28)-IF(ISERROR(VLOOKUP(D28,Stammdaten!$I$9:$J$26,2,FALSE)),0,VLOOKUP(D28,Stammdaten!$I$9:$J$26,2,FALSE)/24)</f>
        <v>0</v>
      </c>
    </row>
    <row r="29" spans="2:10" x14ac:dyDescent="0.3">
      <c r="B29" s="50" t="str">
        <f t="shared" si="1"/>
        <v/>
      </c>
      <c r="C29" s="42" t="str">
        <f t="shared" si="2"/>
        <v/>
      </c>
      <c r="D29" s="60"/>
      <c r="E29" s="63"/>
      <c r="F29" s="61"/>
      <c r="G29" s="64"/>
      <c r="H29" s="64"/>
      <c r="I29" s="62"/>
      <c r="J29" s="49">
        <f>IF(AND(ISBLANK(G29),ISBLANK(H29),ISBLANK(I29)),VLOOKUP(TEXT(D29,"TTT"),Stammdaten!$B$20:$F$26,5,FALSE),H29-G29-I29)-IF(ISERROR(VLOOKUP(D29,Stammdaten!$I$9:$J$26,2,FALSE)),0,VLOOKUP(D29,Stammdaten!$I$9:$J$26,2,FALSE)/24)</f>
        <v>0</v>
      </c>
    </row>
    <row r="30" spans="2:10" x14ac:dyDescent="0.3">
      <c r="B30" s="50" t="str">
        <f t="shared" si="1"/>
        <v/>
      </c>
      <c r="C30" s="42" t="str">
        <f t="shared" si="2"/>
        <v/>
      </c>
      <c r="D30" s="60"/>
      <c r="E30" s="63"/>
      <c r="F30" s="61"/>
      <c r="G30" s="62"/>
      <c r="H30" s="62"/>
      <c r="I30" s="62"/>
      <c r="J30" s="49">
        <f>IF(AND(ISBLANK(G30),ISBLANK(H30),ISBLANK(I30)),VLOOKUP(TEXT(D30,"TTT"),Stammdaten!$B$20:$F$26,5,FALSE),H30-G30-I30)-IF(ISERROR(VLOOKUP(D30,Stammdaten!$I$9:$J$26,2,FALSE)),0,VLOOKUP(D30,Stammdaten!$I$9:$J$26,2,FALSE)/24)</f>
        <v>0</v>
      </c>
    </row>
    <row r="31" spans="2:10" x14ac:dyDescent="0.3">
      <c r="B31" s="50" t="str">
        <f t="shared" si="1"/>
        <v/>
      </c>
      <c r="C31" s="42" t="str">
        <f t="shared" si="2"/>
        <v/>
      </c>
      <c r="D31" s="60"/>
      <c r="E31" s="63"/>
      <c r="F31" s="61"/>
      <c r="G31" s="62"/>
      <c r="H31" s="62"/>
      <c r="I31" s="62"/>
      <c r="J31" s="49">
        <f>IF(AND(ISBLANK(G31),ISBLANK(H31),ISBLANK(I31)),VLOOKUP(TEXT(D31,"TTT"),Stammdaten!$B$20:$F$26,5,FALSE),H31-G31-I31)-IF(ISERROR(VLOOKUP(D31,Stammdaten!$I$9:$J$26,2,FALSE)),0,VLOOKUP(D31,Stammdaten!$I$9:$J$26,2,FALSE)/24)</f>
        <v>0</v>
      </c>
    </row>
    <row r="32" spans="2:10" x14ac:dyDescent="0.3">
      <c r="B32" s="50" t="str">
        <f t="shared" si="1"/>
        <v/>
      </c>
      <c r="C32" s="42" t="str">
        <f t="shared" si="2"/>
        <v/>
      </c>
      <c r="D32" s="60"/>
      <c r="E32" s="63"/>
      <c r="F32" s="61"/>
      <c r="G32" s="62"/>
      <c r="H32" s="62"/>
      <c r="I32" s="62"/>
      <c r="J32" s="49">
        <f>IF(AND(ISBLANK(G32),ISBLANK(H32),ISBLANK(I32)),VLOOKUP(TEXT(D32,"TTT"),Stammdaten!$B$20:$F$26,5,FALSE),H32-G32-I32)-IF(ISERROR(VLOOKUP(D32,Stammdaten!$I$9:$J$26,2,FALSE)),0,VLOOKUP(D32,Stammdaten!$I$9:$J$26,2,FALSE)/24)</f>
        <v>0</v>
      </c>
    </row>
    <row r="33" spans="2:10" x14ac:dyDescent="0.3">
      <c r="B33" s="50" t="str">
        <f t="shared" si="1"/>
        <v/>
      </c>
      <c r="C33" s="42" t="str">
        <f t="shared" si="2"/>
        <v/>
      </c>
      <c r="D33" s="60"/>
      <c r="E33" s="63"/>
      <c r="F33" s="61"/>
      <c r="G33" s="62"/>
      <c r="H33" s="62"/>
      <c r="I33" s="62"/>
      <c r="J33" s="49">
        <f>IF(AND(ISBLANK(G33),ISBLANK(H33),ISBLANK(I33)),VLOOKUP(TEXT(D33,"TTT"),Stammdaten!$B$20:$F$26,5,FALSE),H33-G33-I33)-IF(ISERROR(VLOOKUP(D33,Stammdaten!$I$9:$J$26,2,FALSE)),0,VLOOKUP(D33,Stammdaten!$I$9:$J$26,2,FALSE)/24)</f>
        <v>0</v>
      </c>
    </row>
    <row r="34" spans="2:10" x14ac:dyDescent="0.3">
      <c r="B34" s="50" t="str">
        <f t="shared" si="1"/>
        <v/>
      </c>
      <c r="C34" s="42" t="str">
        <f t="shared" si="2"/>
        <v/>
      </c>
      <c r="D34" s="60"/>
      <c r="E34" s="63"/>
      <c r="F34" s="61"/>
      <c r="G34" s="62"/>
      <c r="H34" s="62"/>
      <c r="I34" s="62"/>
      <c r="J34" s="49">
        <f>IF(AND(ISBLANK(G34),ISBLANK(H34),ISBLANK(I34)),VLOOKUP(TEXT(D34,"TTT"),Stammdaten!$B$20:$F$26,5,FALSE),H34-G34-I34)-IF(ISERROR(VLOOKUP(D34,Stammdaten!$I$9:$J$26,2,FALSE)),0,VLOOKUP(D34,Stammdaten!$I$9:$J$26,2,FALSE)/24)</f>
        <v>0</v>
      </c>
    </row>
    <row r="35" spans="2:10" x14ac:dyDescent="0.3">
      <c r="B35" s="50" t="str">
        <f t="shared" si="1"/>
        <v/>
      </c>
      <c r="C35" s="42" t="str">
        <f t="shared" si="2"/>
        <v/>
      </c>
      <c r="D35" s="60"/>
      <c r="E35" s="63"/>
      <c r="F35" s="61"/>
      <c r="G35" s="62"/>
      <c r="H35" s="62"/>
      <c r="I35" s="62"/>
      <c r="J35" s="49">
        <f>IF(AND(ISBLANK(G35),ISBLANK(H35),ISBLANK(I35)),VLOOKUP(TEXT(D35,"TTT"),Stammdaten!$B$20:$F$26,5,FALSE),H35-G35-I35)-IF(ISERROR(VLOOKUP(D35,Stammdaten!$I$9:$J$26,2,FALSE)),0,VLOOKUP(D35,Stammdaten!$I$9:$J$26,2,FALSE)/24)</f>
        <v>0</v>
      </c>
    </row>
    <row r="36" spans="2:10" x14ac:dyDescent="0.3">
      <c r="B36" s="50" t="str">
        <f t="shared" si="1"/>
        <v/>
      </c>
      <c r="C36" s="42" t="str">
        <f t="shared" si="2"/>
        <v/>
      </c>
      <c r="D36" s="60"/>
      <c r="E36" s="63"/>
      <c r="F36" s="61"/>
      <c r="G36" s="62"/>
      <c r="H36" s="62"/>
      <c r="I36" s="62"/>
      <c r="J36" s="49">
        <f>IF(AND(ISBLANK(G36),ISBLANK(H36),ISBLANK(I36)),VLOOKUP(TEXT(D36,"TTT"),Stammdaten!$B$20:$F$26,5,FALSE),H36-G36-I36)-IF(ISERROR(VLOOKUP(D36,Stammdaten!$I$9:$J$26,2,FALSE)),0,VLOOKUP(D36,Stammdaten!$I$9:$J$26,2,FALSE)/24)</f>
        <v>0</v>
      </c>
    </row>
    <row r="37" spans="2:10" x14ac:dyDescent="0.3">
      <c r="B37" s="50" t="str">
        <f t="shared" si="1"/>
        <v/>
      </c>
      <c r="C37" s="42" t="str">
        <f t="shared" si="2"/>
        <v/>
      </c>
      <c r="D37" s="60"/>
      <c r="E37" s="63"/>
      <c r="F37" s="61"/>
      <c r="G37" s="62"/>
      <c r="H37" s="62"/>
      <c r="I37" s="62"/>
      <c r="J37" s="49">
        <f>IF(AND(ISBLANK(G37),ISBLANK(H37),ISBLANK(I37)),VLOOKUP(TEXT(D37,"TTT"),Stammdaten!$B$20:$F$26,5,FALSE),H37-G37-I37)-IF(ISERROR(VLOOKUP(D37,Stammdaten!$I$9:$J$26,2,FALSE)),0,VLOOKUP(D37,Stammdaten!$I$9:$J$26,2,FALSE)/24)</f>
        <v>0</v>
      </c>
    </row>
    <row r="38" spans="2:10" x14ac:dyDescent="0.3">
      <c r="B38" s="50" t="str">
        <f t="shared" si="1"/>
        <v/>
      </c>
      <c r="C38" s="42" t="str">
        <f t="shared" si="2"/>
        <v/>
      </c>
      <c r="D38" s="60"/>
      <c r="E38" s="63"/>
      <c r="F38" s="61"/>
      <c r="G38" s="62"/>
      <c r="H38" s="62"/>
      <c r="I38" s="62"/>
      <c r="J38" s="49">
        <f>IF(AND(ISBLANK(G38),ISBLANK(H38),ISBLANK(I38)),VLOOKUP(TEXT(D38,"TTT"),Stammdaten!$B$20:$F$26,5,FALSE),H38-G38-I38)-IF(ISERROR(VLOOKUP(D38,Stammdaten!$I$9:$J$26,2,FALSE)),0,VLOOKUP(D38,Stammdaten!$I$9:$J$26,2,FALSE)/24)</f>
        <v>0</v>
      </c>
    </row>
    <row r="39" spans="2:10" x14ac:dyDescent="0.3">
      <c r="B39" s="50" t="str">
        <f t="shared" si="1"/>
        <v/>
      </c>
      <c r="C39" s="42" t="str">
        <f t="shared" si="2"/>
        <v/>
      </c>
      <c r="D39" s="60"/>
      <c r="E39" s="63"/>
      <c r="F39" s="61"/>
      <c r="G39" s="62"/>
      <c r="H39" s="62"/>
      <c r="I39" s="62"/>
      <c r="J39" s="49">
        <f>IF(AND(ISBLANK(G39),ISBLANK(H39),ISBLANK(I39)),VLOOKUP(TEXT(D39,"TTT"),Stammdaten!$B$20:$F$26,5,FALSE),H39-G39-I39)-IF(ISERROR(VLOOKUP(D39,Stammdaten!$I$9:$J$26,2,FALSE)),0,VLOOKUP(D39,Stammdaten!$I$9:$J$26,2,FALSE)/24)</f>
        <v>0</v>
      </c>
    </row>
    <row r="40" spans="2:10" x14ac:dyDescent="0.3">
      <c r="B40" s="50" t="str">
        <f t="shared" si="1"/>
        <v/>
      </c>
      <c r="C40" s="42" t="str">
        <f t="shared" si="2"/>
        <v/>
      </c>
      <c r="D40" s="60"/>
      <c r="E40" s="63"/>
      <c r="F40" s="61"/>
      <c r="G40" s="62"/>
      <c r="H40" s="62"/>
      <c r="I40" s="62"/>
      <c r="J40" s="49">
        <f>IF(AND(ISBLANK(G40),ISBLANK(H40),ISBLANK(I40)),VLOOKUP(TEXT(D40,"TTT"),Stammdaten!$B$20:$F$26,5,FALSE),H40-G40-I40)-IF(ISERROR(VLOOKUP(D40,Stammdaten!$I$9:$J$26,2,FALSE)),0,VLOOKUP(D40,Stammdaten!$I$9:$J$26,2,FALSE)/24)</f>
        <v>0</v>
      </c>
    </row>
    <row r="41" spans="2:10" x14ac:dyDescent="0.3">
      <c r="B41" s="50" t="str">
        <f t="shared" si="1"/>
        <v/>
      </c>
      <c r="C41" s="42" t="str">
        <f t="shared" si="2"/>
        <v/>
      </c>
      <c r="D41" s="60"/>
      <c r="E41" s="63"/>
      <c r="F41" s="61"/>
      <c r="G41" s="64"/>
      <c r="H41" s="64"/>
      <c r="I41" s="62"/>
      <c r="J41" s="49">
        <f>IF(AND(ISBLANK(G41),ISBLANK(H41),ISBLANK(I41)),VLOOKUP(TEXT(D41,"TTT"),Stammdaten!$B$20:$F$26,5,FALSE),H41-G41-I41)-IF(ISERROR(VLOOKUP(D41,Stammdaten!$I$9:$J$26,2,FALSE)),0,VLOOKUP(D41,Stammdaten!$I$9:$J$26,2,FALSE)/24)</f>
        <v>0</v>
      </c>
    </row>
    <row r="42" spans="2:10" x14ac:dyDescent="0.3">
      <c r="B42" s="50" t="str">
        <f t="shared" si="1"/>
        <v/>
      </c>
      <c r="C42" s="42" t="str">
        <f t="shared" si="2"/>
        <v/>
      </c>
      <c r="D42" s="60"/>
      <c r="E42" s="63"/>
      <c r="F42" s="61"/>
      <c r="G42" s="62"/>
      <c r="H42" s="62"/>
      <c r="I42" s="62"/>
      <c r="J42" s="49">
        <f>IF(AND(ISBLANK(G42),ISBLANK(H42),ISBLANK(I42)),VLOOKUP(TEXT(D42,"TTT"),Stammdaten!$B$20:$F$26,5,FALSE),H42-G42-I42)-IF(ISERROR(VLOOKUP(D42,Stammdaten!$I$9:$J$26,2,FALSE)),0,VLOOKUP(D42,Stammdaten!$I$9:$J$26,2,FALSE)/24)</f>
        <v>0</v>
      </c>
    </row>
    <row r="43" spans="2:10" x14ac:dyDescent="0.3">
      <c r="B43" s="50" t="str">
        <f t="shared" si="1"/>
        <v/>
      </c>
      <c r="C43" s="42" t="str">
        <f t="shared" si="2"/>
        <v/>
      </c>
      <c r="D43" s="60"/>
      <c r="E43" s="63"/>
      <c r="F43" s="61"/>
      <c r="G43" s="62"/>
      <c r="H43" s="62"/>
      <c r="I43" s="62"/>
      <c r="J43" s="49">
        <f>IF(AND(ISBLANK(G43),ISBLANK(H43),ISBLANK(I43)),VLOOKUP(TEXT(D43,"TTT"),Stammdaten!$B$20:$F$26,5,FALSE),H43-G43-I43)-IF(ISERROR(VLOOKUP(D43,Stammdaten!$I$9:$J$26,2,FALSE)),0,VLOOKUP(D43,Stammdaten!$I$9:$J$26,2,FALSE)/24)</f>
        <v>0</v>
      </c>
    </row>
    <row r="44" spans="2:10" x14ac:dyDescent="0.3">
      <c r="B44" s="50" t="str">
        <f t="shared" si="1"/>
        <v/>
      </c>
      <c r="C44" s="42" t="str">
        <f t="shared" si="2"/>
        <v/>
      </c>
      <c r="D44" s="60"/>
      <c r="E44" s="63"/>
      <c r="F44" s="61"/>
      <c r="G44" s="62"/>
      <c r="H44" s="62"/>
      <c r="I44" s="62"/>
      <c r="J44" s="49">
        <f>IF(AND(ISBLANK(G44),ISBLANK(H44),ISBLANK(I44)),VLOOKUP(TEXT(D44,"TTT"),Stammdaten!$B$20:$F$26,5,FALSE),H44-G44-I44)-IF(ISERROR(VLOOKUP(D44,Stammdaten!$I$9:$J$26,2,FALSE)),0,VLOOKUP(D44,Stammdaten!$I$9:$J$26,2,FALSE)/24)</f>
        <v>0</v>
      </c>
    </row>
    <row r="45" spans="2:10" x14ac:dyDescent="0.3">
      <c r="B45" s="50" t="str">
        <f t="shared" si="1"/>
        <v/>
      </c>
      <c r="C45" s="42" t="str">
        <f t="shared" si="2"/>
        <v/>
      </c>
      <c r="D45" s="60"/>
      <c r="E45" s="63"/>
      <c r="F45" s="61"/>
      <c r="G45" s="62"/>
      <c r="H45" s="62"/>
      <c r="I45" s="62"/>
      <c r="J45" s="49">
        <f>IF(AND(ISBLANK(G45),ISBLANK(H45),ISBLANK(I45)),VLOOKUP(TEXT(D45,"TTT"),Stammdaten!$B$20:$F$26,5,FALSE),H45-G45-I45)-IF(ISERROR(VLOOKUP(D45,Stammdaten!$I$9:$J$26,2,FALSE)),0,VLOOKUP(D45,Stammdaten!$I$9:$J$26,2,FALSE)/24)</f>
        <v>0</v>
      </c>
    </row>
    <row r="46" spans="2:10" x14ac:dyDescent="0.3">
      <c r="B46" s="50" t="str">
        <f t="shared" si="1"/>
        <v/>
      </c>
      <c r="C46" s="42" t="str">
        <f t="shared" si="2"/>
        <v/>
      </c>
      <c r="D46" s="60"/>
      <c r="E46" s="63"/>
      <c r="F46" s="61"/>
      <c r="G46" s="62"/>
      <c r="H46" s="62"/>
      <c r="I46" s="62"/>
      <c r="J46" s="49">
        <f>IF(AND(ISBLANK(G46),ISBLANK(H46),ISBLANK(I46)),VLOOKUP(TEXT(D46,"TTT"),Stammdaten!$B$20:$F$26,5,FALSE),H46-G46-I46)-IF(ISERROR(VLOOKUP(D46,Stammdaten!$I$9:$J$26,2,FALSE)),0,VLOOKUP(D46,Stammdaten!$I$9:$J$26,2,FALSE)/24)</f>
        <v>0</v>
      </c>
    </row>
    <row r="47" spans="2:10" x14ac:dyDescent="0.3">
      <c r="B47" s="50" t="str">
        <f t="shared" si="1"/>
        <v/>
      </c>
      <c r="C47" s="42" t="str">
        <f t="shared" si="2"/>
        <v/>
      </c>
      <c r="D47" s="60"/>
      <c r="E47" s="63"/>
      <c r="F47" s="61"/>
      <c r="G47" s="62"/>
      <c r="H47" s="62"/>
      <c r="I47" s="62"/>
      <c r="J47" s="49">
        <f>IF(AND(ISBLANK(G47),ISBLANK(H47),ISBLANK(I47)),VLOOKUP(TEXT(D47,"TTT"),Stammdaten!$B$20:$F$26,5,FALSE),H47-G47-I47)-IF(ISERROR(VLOOKUP(D47,Stammdaten!$I$9:$J$26,2,FALSE)),0,VLOOKUP(D47,Stammdaten!$I$9:$J$26,2,FALSE)/24)</f>
        <v>0</v>
      </c>
    </row>
    <row r="48" spans="2:10" x14ac:dyDescent="0.3">
      <c r="B48" s="50" t="str">
        <f t="shared" si="1"/>
        <v/>
      </c>
      <c r="C48" s="42" t="str">
        <f t="shared" si="2"/>
        <v/>
      </c>
      <c r="D48" s="60"/>
      <c r="E48" s="63"/>
      <c r="F48" s="61"/>
      <c r="G48" s="62"/>
      <c r="H48" s="62"/>
      <c r="I48" s="62"/>
      <c r="J48" s="49">
        <f>IF(AND(ISBLANK(G48),ISBLANK(H48),ISBLANK(I48)),VLOOKUP(TEXT(D48,"TTT"),Stammdaten!$B$20:$F$26,5,FALSE),H48-G48-I48)-IF(ISERROR(VLOOKUP(D48,Stammdaten!$I$9:$J$26,2,FALSE)),0,VLOOKUP(D48,Stammdaten!$I$9:$J$26,2,FALSE)/24)</f>
        <v>0</v>
      </c>
    </row>
    <row r="49" spans="2:10" x14ac:dyDescent="0.3">
      <c r="B49" s="50" t="str">
        <f t="shared" si="1"/>
        <v/>
      </c>
      <c r="C49" s="42" t="str">
        <f t="shared" si="2"/>
        <v/>
      </c>
      <c r="D49" s="60"/>
      <c r="E49" s="63"/>
      <c r="F49" s="61"/>
      <c r="G49" s="62"/>
      <c r="H49" s="62"/>
      <c r="I49" s="62"/>
      <c r="J49" s="49">
        <f>IF(AND(ISBLANK(G49),ISBLANK(H49),ISBLANK(I49)),VLOOKUP(TEXT(D49,"TTT"),Stammdaten!$B$20:$F$26,5,FALSE),H49-G49-I49)-IF(ISERROR(VLOOKUP(D49,Stammdaten!$I$9:$J$26,2,FALSE)),0,VLOOKUP(D49,Stammdaten!$I$9:$J$26,2,FALSE)/24)</f>
        <v>0</v>
      </c>
    </row>
    <row r="50" spans="2:10" x14ac:dyDescent="0.3">
      <c r="B50" s="50" t="str">
        <f t="shared" si="1"/>
        <v/>
      </c>
      <c r="C50" s="42" t="str">
        <f t="shared" si="2"/>
        <v/>
      </c>
      <c r="D50" s="60"/>
      <c r="E50" s="63"/>
      <c r="F50" s="61"/>
      <c r="G50" s="62"/>
      <c r="H50" s="62"/>
      <c r="I50" s="62"/>
      <c r="J50" s="49">
        <f>IF(AND(ISBLANK(G50),ISBLANK(H50),ISBLANK(I50)),VLOOKUP(TEXT(D50,"TTT"),Stammdaten!$B$20:$F$26,5,FALSE),H50-G50-I50)-IF(ISERROR(VLOOKUP(D50,Stammdaten!$I$9:$J$26,2,FALSE)),0,VLOOKUP(D50,Stammdaten!$I$9:$J$26,2,FALSE)/24)</f>
        <v>0</v>
      </c>
    </row>
    <row r="51" spans="2:10" x14ac:dyDescent="0.3">
      <c r="B51" s="50" t="str">
        <f t="shared" si="1"/>
        <v/>
      </c>
      <c r="C51" s="42" t="str">
        <f t="shared" si="2"/>
        <v/>
      </c>
      <c r="D51" s="60"/>
      <c r="E51" s="63"/>
      <c r="F51" s="61"/>
      <c r="G51" s="62"/>
      <c r="H51" s="62"/>
      <c r="I51" s="62"/>
      <c r="J51" s="49">
        <f>IF(AND(ISBLANK(G51),ISBLANK(H51),ISBLANK(I51)),VLOOKUP(TEXT(D51,"TTT"),Stammdaten!$B$20:$F$26,5,FALSE),H51-G51-I51)-IF(ISERROR(VLOOKUP(D51,Stammdaten!$I$9:$J$26,2,FALSE)),0,VLOOKUP(D51,Stammdaten!$I$9:$J$26,2,FALSE)/24)</f>
        <v>0</v>
      </c>
    </row>
    <row r="52" spans="2:10" x14ac:dyDescent="0.3">
      <c r="B52" s="50" t="str">
        <f t="shared" si="1"/>
        <v/>
      </c>
      <c r="C52" s="42" t="str">
        <f t="shared" si="2"/>
        <v/>
      </c>
      <c r="D52" s="60"/>
      <c r="E52" s="63"/>
      <c r="F52" s="61"/>
      <c r="G52" s="62"/>
      <c r="H52" s="62"/>
      <c r="I52" s="62"/>
      <c r="J52" s="49">
        <f>IF(AND(ISBLANK(G52),ISBLANK(H52),ISBLANK(I52)),VLOOKUP(TEXT(D52,"TTT"),Stammdaten!$B$20:$F$26,5,FALSE),H52-G52-I52)-IF(ISERROR(VLOOKUP(D52,Stammdaten!$I$9:$J$26,2,FALSE)),0,VLOOKUP(D52,Stammdaten!$I$9:$J$26,2,FALSE)/24)</f>
        <v>0</v>
      </c>
    </row>
    <row r="53" spans="2:10" x14ac:dyDescent="0.3">
      <c r="B53" s="50" t="str">
        <f t="shared" si="1"/>
        <v/>
      </c>
      <c r="C53" s="42" t="str">
        <f t="shared" si="2"/>
        <v/>
      </c>
      <c r="D53" s="60"/>
      <c r="E53" s="63"/>
      <c r="F53" s="61"/>
      <c r="G53" s="62"/>
      <c r="H53" s="62"/>
      <c r="I53" s="62"/>
      <c r="J53" s="49">
        <f>IF(AND(ISBLANK(G53),ISBLANK(H53),ISBLANK(I53)),VLOOKUP(TEXT(D53,"TTT"),Stammdaten!$B$20:$F$26,5,FALSE),H53-G53-I53)-IF(ISERROR(VLOOKUP(D53,Stammdaten!$I$9:$J$26,2,FALSE)),0,VLOOKUP(D53,Stammdaten!$I$9:$J$26,2,FALSE)/24)</f>
        <v>0</v>
      </c>
    </row>
    <row r="54" spans="2:10" x14ac:dyDescent="0.3">
      <c r="B54" s="50" t="str">
        <f t="shared" si="1"/>
        <v/>
      </c>
      <c r="C54" s="42" t="str">
        <f t="shared" si="2"/>
        <v/>
      </c>
      <c r="D54" s="60"/>
      <c r="E54" s="63"/>
      <c r="F54" s="61"/>
      <c r="G54" s="62"/>
      <c r="H54" s="62"/>
      <c r="I54" s="62"/>
      <c r="J54" s="49">
        <f>IF(AND(ISBLANK(G54),ISBLANK(H54),ISBLANK(I54)),VLOOKUP(TEXT(D54,"TTT"),Stammdaten!$B$20:$F$26,5,FALSE),H54-G54-I54)-IF(ISERROR(VLOOKUP(D54,Stammdaten!$I$9:$J$26,2,FALSE)),0,VLOOKUP(D54,Stammdaten!$I$9:$J$26,2,FALSE)/24)</f>
        <v>0</v>
      </c>
    </row>
    <row r="55" spans="2:10" x14ac:dyDescent="0.3">
      <c r="B55" s="50" t="str">
        <f t="shared" si="1"/>
        <v/>
      </c>
      <c r="C55" s="42" t="str">
        <f t="shared" si="2"/>
        <v/>
      </c>
      <c r="D55" s="60"/>
      <c r="E55" s="63"/>
      <c r="F55" s="61"/>
      <c r="G55" s="62"/>
      <c r="H55" s="62"/>
      <c r="I55" s="62"/>
      <c r="J55" s="49">
        <f>IF(AND(ISBLANK(G55),ISBLANK(H55),ISBLANK(I55)),VLOOKUP(TEXT(D55,"TTT"),Stammdaten!$B$20:$F$26,5,FALSE),H55-G55-I55)-IF(ISERROR(VLOOKUP(D55,Stammdaten!$I$9:$J$26,2,FALSE)),0,VLOOKUP(D55,Stammdaten!$I$9:$J$26,2,FALSE)/24)</f>
        <v>0</v>
      </c>
    </row>
    <row r="56" spans="2:10" x14ac:dyDescent="0.3">
      <c r="B56" s="50" t="str">
        <f t="shared" si="1"/>
        <v/>
      </c>
      <c r="C56" s="42" t="str">
        <f t="shared" si="2"/>
        <v/>
      </c>
      <c r="D56" s="60"/>
      <c r="E56" s="63"/>
      <c r="F56" s="61"/>
      <c r="G56" s="62"/>
      <c r="H56" s="62"/>
      <c r="I56" s="62"/>
      <c r="J56" s="49">
        <f>IF(AND(ISBLANK(G56),ISBLANK(H56),ISBLANK(I56)),VLOOKUP(TEXT(D56,"TTT"),Stammdaten!$B$20:$F$26,5,FALSE),H56-G56-I56)-IF(ISERROR(VLOOKUP(D56,Stammdaten!$I$9:$J$26,2,FALSE)),0,VLOOKUP(D56,Stammdaten!$I$9:$J$26,2,FALSE)/24)</f>
        <v>0</v>
      </c>
    </row>
    <row r="57" spans="2:10" x14ac:dyDescent="0.3">
      <c r="B57" s="50" t="str">
        <f t="shared" si="1"/>
        <v/>
      </c>
      <c r="C57" s="42" t="str">
        <f t="shared" si="2"/>
        <v/>
      </c>
      <c r="D57" s="60"/>
      <c r="E57" s="63"/>
      <c r="F57" s="61"/>
      <c r="G57" s="62"/>
      <c r="H57" s="62"/>
      <c r="I57" s="62"/>
      <c r="J57" s="49">
        <f>IF(AND(ISBLANK(G57),ISBLANK(H57),ISBLANK(I57)),VLOOKUP(TEXT(D57,"TTT"),Stammdaten!$B$20:$F$26,5,FALSE),H57-G57-I57)-IF(ISERROR(VLOOKUP(D57,Stammdaten!$I$9:$J$26,2,FALSE)),0,VLOOKUP(D57,Stammdaten!$I$9:$J$26,2,FALSE)/24)</f>
        <v>0</v>
      </c>
    </row>
    <row r="58" spans="2:10" x14ac:dyDescent="0.3">
      <c r="B58" s="50" t="str">
        <f t="shared" si="1"/>
        <v/>
      </c>
      <c r="C58" s="42" t="str">
        <f t="shared" si="2"/>
        <v/>
      </c>
      <c r="D58" s="60"/>
      <c r="E58" s="63"/>
      <c r="F58" s="61"/>
      <c r="G58" s="62"/>
      <c r="H58" s="62"/>
      <c r="I58" s="62"/>
      <c r="J58" s="49">
        <f>IF(AND(ISBLANK(G58),ISBLANK(H58),ISBLANK(I58)),VLOOKUP(TEXT(D58,"TTT"),Stammdaten!$B$20:$F$26,5,FALSE),H58-G58-I58)-IF(ISERROR(VLOOKUP(D58,Stammdaten!$I$9:$J$26,2,FALSE)),0,VLOOKUP(D58,Stammdaten!$I$9:$J$26,2,FALSE)/24)</f>
        <v>0</v>
      </c>
    </row>
    <row r="59" spans="2:10" x14ac:dyDescent="0.3">
      <c r="B59" s="50" t="str">
        <f t="shared" si="1"/>
        <v/>
      </c>
      <c r="C59" s="42" t="str">
        <f t="shared" si="2"/>
        <v/>
      </c>
      <c r="D59" s="60"/>
      <c r="E59" s="63"/>
      <c r="F59" s="61"/>
      <c r="G59" s="62"/>
      <c r="H59" s="62"/>
      <c r="I59" s="62"/>
      <c r="J59" s="49">
        <f>IF(AND(ISBLANK(G59),ISBLANK(H59),ISBLANK(I59)),VLOOKUP(TEXT(D59,"TTT"),Stammdaten!$B$20:$F$26,5,FALSE),H59-G59-I59)-IF(ISERROR(VLOOKUP(D59,Stammdaten!$I$9:$J$26,2,FALSE)),0,VLOOKUP(D59,Stammdaten!$I$9:$J$26,2,FALSE)/24)</f>
        <v>0</v>
      </c>
    </row>
    <row r="60" spans="2:10" x14ac:dyDescent="0.3">
      <c r="B60" s="50" t="str">
        <f t="shared" si="1"/>
        <v/>
      </c>
      <c r="C60" s="42" t="str">
        <f t="shared" si="2"/>
        <v/>
      </c>
      <c r="D60" s="60"/>
      <c r="E60" s="63"/>
      <c r="F60" s="61"/>
      <c r="G60" s="62"/>
      <c r="H60" s="62"/>
      <c r="I60" s="62"/>
      <c r="J60" s="49">
        <f>IF(AND(ISBLANK(G60),ISBLANK(H60),ISBLANK(I60)),VLOOKUP(TEXT(D60,"TTT"),Stammdaten!$B$20:$F$26,5,FALSE),H60-G60-I60)-IF(ISERROR(VLOOKUP(D60,Stammdaten!$I$9:$J$26,2,FALSE)),0,VLOOKUP(D60,Stammdaten!$I$9:$J$26,2,FALSE)/24)</f>
        <v>0</v>
      </c>
    </row>
    <row r="61" spans="2:10" x14ac:dyDescent="0.3">
      <c r="B61" s="50" t="str">
        <f t="shared" si="1"/>
        <v/>
      </c>
      <c r="C61" s="42" t="str">
        <f t="shared" si="2"/>
        <v/>
      </c>
      <c r="D61" s="60"/>
      <c r="E61" s="63"/>
      <c r="F61" s="61"/>
      <c r="G61" s="62"/>
      <c r="H61" s="62"/>
      <c r="I61" s="62"/>
      <c r="J61" s="49">
        <f>IF(AND(ISBLANK(G61),ISBLANK(H61),ISBLANK(I61)),VLOOKUP(TEXT(D61,"TTT"),Stammdaten!$B$20:$F$26,5,FALSE),H61-G61-I61)-IF(ISERROR(VLOOKUP(D61,Stammdaten!$I$9:$J$26,2,FALSE)),0,VLOOKUP(D61,Stammdaten!$I$9:$J$26,2,FALSE)/24)</f>
        <v>0</v>
      </c>
    </row>
    <row r="62" spans="2:10" x14ac:dyDescent="0.3">
      <c r="B62" s="50" t="str">
        <f t="shared" si="1"/>
        <v/>
      </c>
      <c r="C62" s="42" t="str">
        <f t="shared" si="2"/>
        <v/>
      </c>
      <c r="D62" s="60"/>
      <c r="E62" s="63"/>
      <c r="F62" s="61"/>
      <c r="G62" s="62"/>
      <c r="H62" s="62"/>
      <c r="I62" s="62"/>
      <c r="J62" s="49">
        <f>IF(AND(ISBLANK(G62),ISBLANK(H62),ISBLANK(I62)),VLOOKUP(TEXT(D62,"TTT"),Stammdaten!$B$20:$F$26,5,FALSE),H62-G62-I62)-IF(ISERROR(VLOOKUP(D62,Stammdaten!$I$9:$J$26,2,FALSE)),0,VLOOKUP(D62,Stammdaten!$I$9:$J$26,2,FALSE)/24)</f>
        <v>0</v>
      </c>
    </row>
    <row r="63" spans="2:10" x14ac:dyDescent="0.3">
      <c r="B63" s="50" t="str">
        <f t="shared" si="1"/>
        <v/>
      </c>
      <c r="C63" s="42" t="str">
        <f t="shared" si="2"/>
        <v/>
      </c>
      <c r="D63" s="60"/>
      <c r="E63" s="63"/>
      <c r="F63" s="61"/>
      <c r="G63" s="62"/>
      <c r="H63" s="62"/>
      <c r="I63" s="62"/>
      <c r="J63" s="49">
        <f>IF(AND(ISBLANK(G63),ISBLANK(H63),ISBLANK(I63)),VLOOKUP(TEXT(D63,"TTT"),Stammdaten!$B$20:$F$26,5,FALSE),H63-G63-I63)-IF(ISERROR(VLOOKUP(D63,Stammdaten!$I$9:$J$26,2,FALSE)),0,VLOOKUP(D63,Stammdaten!$I$9:$J$26,2,FALSE)/24)</f>
        <v>0</v>
      </c>
    </row>
    <row r="64" spans="2:10" x14ac:dyDescent="0.3">
      <c r="B64" s="50" t="str">
        <f t="shared" si="1"/>
        <v/>
      </c>
      <c r="C64" s="42" t="str">
        <f t="shared" si="2"/>
        <v/>
      </c>
      <c r="D64" s="60"/>
      <c r="E64" s="63"/>
      <c r="F64" s="61"/>
      <c r="G64" s="62"/>
      <c r="H64" s="62"/>
      <c r="I64" s="62"/>
      <c r="J64" s="49">
        <f>IF(AND(ISBLANK(G64),ISBLANK(H64),ISBLANK(I64)),VLOOKUP(TEXT(D64,"TTT"),Stammdaten!$B$20:$F$26,5,FALSE),H64-G64-I64)-IF(ISERROR(VLOOKUP(D64,Stammdaten!$I$9:$J$26,2,FALSE)),0,VLOOKUP(D64,Stammdaten!$I$9:$J$26,2,FALSE)/24)</f>
        <v>0</v>
      </c>
    </row>
    <row r="65" spans="2:10" x14ac:dyDescent="0.3">
      <c r="B65" s="50" t="str">
        <f t="shared" si="1"/>
        <v/>
      </c>
      <c r="C65" s="42" t="str">
        <f t="shared" si="2"/>
        <v/>
      </c>
      <c r="D65" s="60"/>
      <c r="E65" s="63"/>
      <c r="F65" s="61"/>
      <c r="G65" s="62"/>
      <c r="H65" s="62"/>
      <c r="I65" s="62"/>
      <c r="J65" s="49">
        <f>IF(AND(ISBLANK(G65),ISBLANK(H65),ISBLANK(I65)),VLOOKUP(TEXT(D65,"TTT"),Stammdaten!$B$20:$F$26,5,FALSE),H65-G65-I65)-IF(ISERROR(VLOOKUP(D65,Stammdaten!$I$9:$J$26,2,FALSE)),0,VLOOKUP(D65,Stammdaten!$I$9:$J$26,2,FALSE)/24)</f>
        <v>0</v>
      </c>
    </row>
    <row r="66" spans="2:10" x14ac:dyDescent="0.3">
      <c r="B66" s="50" t="str">
        <f t="shared" si="1"/>
        <v/>
      </c>
      <c r="C66" s="42" t="str">
        <f t="shared" ref="C66:C129" si="3">IF(D66="","",D66)</f>
        <v/>
      </c>
      <c r="D66" s="60"/>
      <c r="E66" s="63"/>
      <c r="F66" s="61"/>
      <c r="G66" s="62"/>
      <c r="H66" s="62"/>
      <c r="I66" s="62"/>
      <c r="J66" s="49">
        <f>IF(AND(ISBLANK(G66),ISBLANK(H66),ISBLANK(I66)),VLOOKUP(TEXT(D66,"TTT"),Stammdaten!$B$20:$F$26,5,FALSE),H66-G66-I66)-IF(ISERROR(VLOOKUP(D66,Stammdaten!$I$9:$J$26,2,FALSE)),0,VLOOKUP(D66,Stammdaten!$I$9:$J$26,2,FALSE)/24)</f>
        <v>0</v>
      </c>
    </row>
    <row r="67" spans="2:10" x14ac:dyDescent="0.3">
      <c r="B67" s="50" t="str">
        <f t="shared" si="1"/>
        <v/>
      </c>
      <c r="C67" s="42" t="str">
        <f t="shared" si="3"/>
        <v/>
      </c>
      <c r="D67" s="60"/>
      <c r="E67" s="63"/>
      <c r="F67" s="61"/>
      <c r="G67" s="62"/>
      <c r="H67" s="62"/>
      <c r="I67" s="62"/>
      <c r="J67" s="49">
        <f>IF(AND(ISBLANK(G67),ISBLANK(H67),ISBLANK(I67)),VLOOKUP(TEXT(D67,"TTT"),Stammdaten!$B$20:$F$26,5,FALSE),H67-G67-I67)-IF(ISERROR(VLOOKUP(D67,Stammdaten!$I$9:$J$26,2,FALSE)),0,VLOOKUP(D67,Stammdaten!$I$9:$J$26,2,FALSE)/24)</f>
        <v>0</v>
      </c>
    </row>
    <row r="68" spans="2:10" x14ac:dyDescent="0.3">
      <c r="B68" s="50" t="str">
        <f t="shared" ref="B68:B131" si="4">IF(ISBLANK(E68),"",VLOOKUP(E68,$L$2:$M$11,2,FALSE))</f>
        <v/>
      </c>
      <c r="C68" s="42" t="str">
        <f t="shared" si="3"/>
        <v/>
      </c>
      <c r="D68" s="60"/>
      <c r="E68" s="63"/>
      <c r="F68" s="61"/>
      <c r="G68" s="62"/>
      <c r="H68" s="62"/>
      <c r="I68" s="62"/>
      <c r="J68" s="49">
        <f>IF(AND(ISBLANK(G68),ISBLANK(H68),ISBLANK(I68)),VLOOKUP(TEXT(D68,"TTT"),Stammdaten!$B$20:$F$26,5,FALSE),H68-G68-I68)-IF(ISERROR(VLOOKUP(D68,Stammdaten!$I$9:$J$26,2,FALSE)),0,VLOOKUP(D68,Stammdaten!$I$9:$J$26,2,FALSE)/24)</f>
        <v>0</v>
      </c>
    </row>
    <row r="69" spans="2:10" x14ac:dyDescent="0.3">
      <c r="B69" s="50" t="str">
        <f t="shared" si="4"/>
        <v/>
      </c>
      <c r="C69" s="42" t="str">
        <f t="shared" si="3"/>
        <v/>
      </c>
      <c r="D69" s="60"/>
      <c r="E69" s="63"/>
      <c r="F69" s="61"/>
      <c r="G69" s="62"/>
      <c r="H69" s="62"/>
      <c r="I69" s="62"/>
      <c r="J69" s="49">
        <f>IF(AND(ISBLANK(G69),ISBLANK(H69),ISBLANK(I69)),VLOOKUP(TEXT(D69,"TTT"),Stammdaten!$B$20:$F$26,5,FALSE),H69-G69-I69)-IF(ISERROR(VLOOKUP(D69,Stammdaten!$I$9:$J$26,2,FALSE)),0,VLOOKUP(D69,Stammdaten!$I$9:$J$26,2,FALSE)/24)</f>
        <v>0</v>
      </c>
    </row>
    <row r="70" spans="2:10" x14ac:dyDescent="0.3">
      <c r="B70" s="50" t="str">
        <f t="shared" si="4"/>
        <v/>
      </c>
      <c r="C70" s="42" t="str">
        <f t="shared" si="3"/>
        <v/>
      </c>
      <c r="D70" s="60"/>
      <c r="E70" s="63"/>
      <c r="F70" s="61"/>
      <c r="G70" s="62"/>
      <c r="H70" s="62"/>
      <c r="I70" s="62"/>
      <c r="J70" s="49">
        <f>IF(AND(ISBLANK(G70),ISBLANK(H70),ISBLANK(I70)),VLOOKUP(TEXT(D70,"TTT"),Stammdaten!$B$20:$F$26,5,FALSE),H70-G70-I70)-IF(ISERROR(VLOOKUP(D70,Stammdaten!$I$9:$J$26,2,FALSE)),0,VLOOKUP(D70,Stammdaten!$I$9:$J$26,2,FALSE)/24)</f>
        <v>0</v>
      </c>
    </row>
    <row r="71" spans="2:10" x14ac:dyDescent="0.3">
      <c r="B71" s="50" t="str">
        <f t="shared" si="4"/>
        <v/>
      </c>
      <c r="C71" s="42" t="str">
        <f t="shared" si="3"/>
        <v/>
      </c>
      <c r="D71" s="60"/>
      <c r="E71" s="63"/>
      <c r="F71" s="61"/>
      <c r="G71" s="62"/>
      <c r="H71" s="62"/>
      <c r="I71" s="62"/>
      <c r="J71" s="49">
        <f>IF(AND(ISBLANK(G71),ISBLANK(H71),ISBLANK(I71)),VLOOKUP(TEXT(D71,"TTT"),Stammdaten!$B$20:$F$26,5,FALSE),H71-G71-I71)-IF(ISERROR(VLOOKUP(D71,Stammdaten!$I$9:$J$26,2,FALSE)),0,VLOOKUP(D71,Stammdaten!$I$9:$J$26,2,FALSE)/24)</f>
        <v>0</v>
      </c>
    </row>
    <row r="72" spans="2:10" x14ac:dyDescent="0.3">
      <c r="B72" s="50" t="str">
        <f t="shared" si="4"/>
        <v/>
      </c>
      <c r="C72" s="42" t="str">
        <f t="shared" si="3"/>
        <v/>
      </c>
      <c r="D72" s="60"/>
      <c r="E72" s="63"/>
      <c r="F72" s="61"/>
      <c r="G72" s="62"/>
      <c r="H72" s="62"/>
      <c r="I72" s="62"/>
      <c r="J72" s="49">
        <f>IF(AND(ISBLANK(G72),ISBLANK(H72),ISBLANK(I72)),VLOOKUP(TEXT(D72,"TTT"),Stammdaten!$B$20:$F$26,5,FALSE),H72-G72-I72)-IF(ISERROR(VLOOKUP(D72,Stammdaten!$I$9:$J$26,2,FALSE)),0,VLOOKUP(D72,Stammdaten!$I$9:$J$26,2,FALSE)/24)</f>
        <v>0</v>
      </c>
    </row>
    <row r="73" spans="2:10" x14ac:dyDescent="0.3">
      <c r="B73" s="50" t="str">
        <f t="shared" si="4"/>
        <v/>
      </c>
      <c r="C73" s="42" t="str">
        <f t="shared" si="3"/>
        <v/>
      </c>
      <c r="D73" s="60"/>
      <c r="E73" s="63"/>
      <c r="F73" s="61"/>
      <c r="G73" s="62"/>
      <c r="H73" s="62"/>
      <c r="I73" s="62"/>
      <c r="J73" s="49">
        <f>IF(AND(ISBLANK(G73),ISBLANK(H73),ISBLANK(I73)),VLOOKUP(TEXT(D73,"TTT"),Stammdaten!$B$20:$F$26,5,FALSE),H73-G73-I73)-IF(ISERROR(VLOOKUP(D73,Stammdaten!$I$9:$J$26,2,FALSE)),0,VLOOKUP(D73,Stammdaten!$I$9:$J$26,2,FALSE)/24)</f>
        <v>0</v>
      </c>
    </row>
    <row r="74" spans="2:10" x14ac:dyDescent="0.3">
      <c r="B74" s="50" t="str">
        <f t="shared" si="4"/>
        <v/>
      </c>
      <c r="C74" s="42" t="str">
        <f t="shared" si="3"/>
        <v/>
      </c>
      <c r="D74" s="60"/>
      <c r="E74" s="63"/>
      <c r="F74" s="61"/>
      <c r="G74" s="62"/>
      <c r="H74" s="62"/>
      <c r="I74" s="62"/>
      <c r="J74" s="49">
        <f>IF(AND(ISBLANK(G74),ISBLANK(H74),ISBLANK(I74)),VLOOKUP(TEXT(D74,"TTT"),Stammdaten!$B$20:$F$26,5,FALSE),H74-G74-I74)-IF(ISERROR(VLOOKUP(D74,Stammdaten!$I$9:$J$26,2,FALSE)),0,VLOOKUP(D74,Stammdaten!$I$9:$J$26,2,FALSE)/24)</f>
        <v>0</v>
      </c>
    </row>
    <row r="75" spans="2:10" x14ac:dyDescent="0.3">
      <c r="B75" s="50" t="str">
        <f t="shared" si="4"/>
        <v/>
      </c>
      <c r="C75" s="42" t="str">
        <f t="shared" si="3"/>
        <v/>
      </c>
      <c r="D75" s="60"/>
      <c r="E75" s="63"/>
      <c r="F75" s="61"/>
      <c r="G75" s="62"/>
      <c r="H75" s="62"/>
      <c r="I75" s="62"/>
      <c r="J75" s="49">
        <f>IF(AND(ISBLANK(G75),ISBLANK(H75),ISBLANK(I75)),VLOOKUP(TEXT(D75,"TTT"),Stammdaten!$B$20:$F$26,5,FALSE),H75-G75-I75)-IF(ISERROR(VLOOKUP(D75,Stammdaten!$I$9:$J$26,2,FALSE)),0,VLOOKUP(D75,Stammdaten!$I$9:$J$26,2,FALSE)/24)</f>
        <v>0</v>
      </c>
    </row>
    <row r="76" spans="2:10" x14ac:dyDescent="0.3">
      <c r="B76" s="50" t="str">
        <f t="shared" si="4"/>
        <v/>
      </c>
      <c r="C76" s="42" t="str">
        <f t="shared" si="3"/>
        <v/>
      </c>
      <c r="D76" s="60"/>
      <c r="E76" s="63"/>
      <c r="F76" s="61"/>
      <c r="G76" s="62"/>
      <c r="H76" s="62"/>
      <c r="I76" s="62"/>
      <c r="J76" s="49">
        <f>IF(AND(ISBLANK(G76),ISBLANK(H76),ISBLANK(I76)),VLOOKUP(TEXT(D76,"TTT"),Stammdaten!$B$20:$F$26,5,FALSE),H76-G76-I76)-IF(ISERROR(VLOOKUP(D76,Stammdaten!$I$9:$J$26,2,FALSE)),0,VLOOKUP(D76,Stammdaten!$I$9:$J$26,2,FALSE)/24)</f>
        <v>0</v>
      </c>
    </row>
    <row r="77" spans="2:10" x14ac:dyDescent="0.3">
      <c r="B77" s="50" t="str">
        <f t="shared" si="4"/>
        <v/>
      </c>
      <c r="C77" s="42" t="str">
        <f t="shared" si="3"/>
        <v/>
      </c>
      <c r="D77" s="60"/>
      <c r="E77" s="63"/>
      <c r="F77" s="61"/>
      <c r="G77" s="62"/>
      <c r="H77" s="62"/>
      <c r="I77" s="62"/>
      <c r="J77" s="49">
        <f>IF(AND(ISBLANK(G77),ISBLANK(H77),ISBLANK(I77)),VLOOKUP(TEXT(D77,"TTT"),Stammdaten!$B$20:$F$26,5,FALSE),H77-G77-I77)-IF(ISERROR(VLOOKUP(D77,Stammdaten!$I$9:$J$26,2,FALSE)),0,VLOOKUP(D77,Stammdaten!$I$9:$J$26,2,FALSE)/24)</f>
        <v>0</v>
      </c>
    </row>
    <row r="78" spans="2:10" x14ac:dyDescent="0.3">
      <c r="B78" s="50" t="str">
        <f t="shared" si="4"/>
        <v/>
      </c>
      <c r="C78" s="42" t="str">
        <f t="shared" si="3"/>
        <v/>
      </c>
      <c r="D78" s="60"/>
      <c r="E78" s="63"/>
      <c r="F78" s="61"/>
      <c r="G78" s="62"/>
      <c r="H78" s="62"/>
      <c r="I78" s="62"/>
      <c r="J78" s="49">
        <f>IF(AND(ISBLANK(G78),ISBLANK(H78),ISBLANK(I78)),VLOOKUP(TEXT(D78,"TTT"),Stammdaten!$B$20:$F$26,5,FALSE),H78-G78-I78)-IF(ISERROR(VLOOKUP(D78,Stammdaten!$I$9:$J$26,2,FALSE)),0,VLOOKUP(D78,Stammdaten!$I$9:$J$26,2,FALSE)/24)</f>
        <v>0</v>
      </c>
    </row>
    <row r="79" spans="2:10" x14ac:dyDescent="0.3">
      <c r="B79" s="50" t="str">
        <f t="shared" si="4"/>
        <v/>
      </c>
      <c r="C79" s="42" t="str">
        <f t="shared" si="3"/>
        <v/>
      </c>
      <c r="D79" s="60"/>
      <c r="E79" s="63"/>
      <c r="F79" s="61"/>
      <c r="G79" s="62"/>
      <c r="H79" s="62"/>
      <c r="I79" s="62"/>
      <c r="J79" s="49">
        <f>IF(AND(ISBLANK(G79),ISBLANK(H79),ISBLANK(I79)),VLOOKUP(TEXT(D79,"TTT"),Stammdaten!$B$20:$F$26,5,FALSE),H79-G79-I79)-IF(ISERROR(VLOOKUP(D79,Stammdaten!$I$9:$J$26,2,FALSE)),0,VLOOKUP(D79,Stammdaten!$I$9:$J$26,2,FALSE)/24)</f>
        <v>0</v>
      </c>
    </row>
    <row r="80" spans="2:10" x14ac:dyDescent="0.3">
      <c r="B80" s="50" t="str">
        <f t="shared" si="4"/>
        <v/>
      </c>
      <c r="C80" s="42" t="str">
        <f t="shared" si="3"/>
        <v/>
      </c>
      <c r="D80" s="60"/>
      <c r="E80" s="63"/>
      <c r="F80" s="61"/>
      <c r="G80" s="62"/>
      <c r="H80" s="62"/>
      <c r="I80" s="62"/>
      <c r="J80" s="49">
        <f>IF(AND(ISBLANK(G80),ISBLANK(H80),ISBLANK(I80)),VLOOKUP(TEXT(D80,"TTT"),Stammdaten!$B$20:$F$26,5,FALSE),H80-G80-I80)-IF(ISERROR(VLOOKUP(D80,Stammdaten!$I$9:$J$26,2,FALSE)),0,VLOOKUP(D80,Stammdaten!$I$9:$J$26,2,FALSE)/24)</f>
        <v>0</v>
      </c>
    </row>
    <row r="81" spans="2:10" x14ac:dyDescent="0.3">
      <c r="B81" s="50" t="str">
        <f t="shared" si="4"/>
        <v/>
      </c>
      <c r="C81" s="42" t="str">
        <f t="shared" si="3"/>
        <v/>
      </c>
      <c r="D81" s="60"/>
      <c r="E81" s="63"/>
      <c r="F81" s="61"/>
      <c r="G81" s="62"/>
      <c r="H81" s="62"/>
      <c r="I81" s="62"/>
      <c r="J81" s="49">
        <f>IF(AND(ISBLANK(G81),ISBLANK(H81),ISBLANK(I81)),VLOOKUP(TEXT(D81,"TTT"),Stammdaten!$B$20:$F$26,5,FALSE),H81-G81-I81)-IF(ISERROR(VLOOKUP(D81,Stammdaten!$I$9:$J$26,2,FALSE)),0,VLOOKUP(D81,Stammdaten!$I$9:$J$26,2,FALSE)/24)</f>
        <v>0</v>
      </c>
    </row>
    <row r="82" spans="2:10" x14ac:dyDescent="0.3">
      <c r="B82" s="50" t="str">
        <f t="shared" si="4"/>
        <v/>
      </c>
      <c r="C82" s="42" t="str">
        <f t="shared" si="3"/>
        <v/>
      </c>
      <c r="D82" s="60"/>
      <c r="E82" s="63"/>
      <c r="F82" s="61"/>
      <c r="G82" s="62"/>
      <c r="H82" s="62"/>
      <c r="I82" s="62"/>
      <c r="J82" s="49">
        <f>IF(AND(ISBLANK(G82),ISBLANK(H82),ISBLANK(I82)),VLOOKUP(TEXT(D82,"TTT"),Stammdaten!$B$20:$F$26,5,FALSE),H82-G82-I82)-IF(ISERROR(VLOOKUP(D82,Stammdaten!$I$9:$J$26,2,FALSE)),0,VLOOKUP(D82,Stammdaten!$I$9:$J$26,2,FALSE)/24)</f>
        <v>0</v>
      </c>
    </row>
    <row r="83" spans="2:10" x14ac:dyDescent="0.3">
      <c r="B83" s="50" t="str">
        <f t="shared" si="4"/>
        <v/>
      </c>
      <c r="C83" s="42" t="str">
        <f t="shared" si="3"/>
        <v/>
      </c>
      <c r="D83" s="60"/>
      <c r="E83" s="63"/>
      <c r="F83" s="61"/>
      <c r="G83" s="62"/>
      <c r="H83" s="62"/>
      <c r="I83" s="62"/>
      <c r="J83" s="49">
        <f>IF(AND(ISBLANK(G83),ISBLANK(H83),ISBLANK(I83)),VLOOKUP(TEXT(D83,"TTT"),Stammdaten!$B$20:$F$26,5,FALSE),H83-G83-I83)-IF(ISERROR(VLOOKUP(D83,Stammdaten!$I$9:$J$26,2,FALSE)),0,VLOOKUP(D83,Stammdaten!$I$9:$J$26,2,FALSE)/24)</f>
        <v>0</v>
      </c>
    </row>
    <row r="84" spans="2:10" x14ac:dyDescent="0.3">
      <c r="B84" s="50" t="str">
        <f t="shared" si="4"/>
        <v/>
      </c>
      <c r="C84" s="42" t="str">
        <f t="shared" si="3"/>
        <v/>
      </c>
      <c r="D84" s="60"/>
      <c r="E84" s="63"/>
      <c r="F84" s="61"/>
      <c r="G84" s="62"/>
      <c r="H84" s="62"/>
      <c r="I84" s="62"/>
      <c r="J84" s="49">
        <f>IF(AND(ISBLANK(G84),ISBLANK(H84),ISBLANK(I84)),VLOOKUP(TEXT(D84,"TTT"),Stammdaten!$B$20:$F$26,5,FALSE),H84-G84-I84)-IF(ISERROR(VLOOKUP(D84,Stammdaten!$I$9:$J$26,2,FALSE)),0,VLOOKUP(D84,Stammdaten!$I$9:$J$26,2,FALSE)/24)</f>
        <v>0</v>
      </c>
    </row>
    <row r="85" spans="2:10" x14ac:dyDescent="0.3">
      <c r="B85" s="50" t="str">
        <f t="shared" si="4"/>
        <v/>
      </c>
      <c r="C85" s="42" t="str">
        <f t="shared" si="3"/>
        <v/>
      </c>
      <c r="D85" s="60"/>
      <c r="E85" s="63"/>
      <c r="F85" s="61"/>
      <c r="G85" s="62"/>
      <c r="H85" s="62"/>
      <c r="I85" s="62"/>
      <c r="J85" s="49">
        <f>IF(AND(ISBLANK(G85),ISBLANK(H85),ISBLANK(I85)),VLOOKUP(TEXT(D85,"TTT"),Stammdaten!$B$20:$F$26,5,FALSE),H85-G85-I85)-IF(ISERROR(VLOOKUP(D85,Stammdaten!$I$9:$J$26,2,FALSE)),0,VLOOKUP(D85,Stammdaten!$I$9:$J$26,2,FALSE)/24)</f>
        <v>0</v>
      </c>
    </row>
    <row r="86" spans="2:10" x14ac:dyDescent="0.3">
      <c r="B86" s="50" t="str">
        <f t="shared" si="4"/>
        <v/>
      </c>
      <c r="C86" s="42" t="str">
        <f t="shared" si="3"/>
        <v/>
      </c>
      <c r="D86" s="60"/>
      <c r="E86" s="63"/>
      <c r="F86" s="61"/>
      <c r="G86" s="62"/>
      <c r="H86" s="62"/>
      <c r="I86" s="62"/>
      <c r="J86" s="49">
        <f>IF(AND(ISBLANK(G86),ISBLANK(H86),ISBLANK(I86)),VLOOKUP(TEXT(D86,"TTT"),Stammdaten!$B$20:$F$26,5,FALSE),H86-G86-I86)-IF(ISERROR(VLOOKUP(D86,Stammdaten!$I$9:$J$26,2,FALSE)),0,VLOOKUP(D86,Stammdaten!$I$9:$J$26,2,FALSE)/24)</f>
        <v>0</v>
      </c>
    </row>
    <row r="87" spans="2:10" x14ac:dyDescent="0.3">
      <c r="B87" s="50" t="str">
        <f t="shared" si="4"/>
        <v/>
      </c>
      <c r="C87" s="42" t="str">
        <f t="shared" si="3"/>
        <v/>
      </c>
      <c r="D87" s="60"/>
      <c r="E87" s="63"/>
      <c r="F87" s="61"/>
      <c r="G87" s="62"/>
      <c r="H87" s="62"/>
      <c r="I87" s="62"/>
      <c r="J87" s="49">
        <f>IF(AND(ISBLANK(G87),ISBLANK(H87),ISBLANK(I87)),VLOOKUP(TEXT(D87,"TTT"),Stammdaten!$B$20:$F$26,5,FALSE),H87-G87-I87)-IF(ISERROR(VLOOKUP(D87,Stammdaten!$I$9:$J$26,2,FALSE)),0,VLOOKUP(D87,Stammdaten!$I$9:$J$26,2,FALSE)/24)</f>
        <v>0</v>
      </c>
    </row>
    <row r="88" spans="2:10" x14ac:dyDescent="0.3">
      <c r="B88" s="50" t="str">
        <f t="shared" si="4"/>
        <v/>
      </c>
      <c r="C88" s="42" t="str">
        <f t="shared" si="3"/>
        <v/>
      </c>
      <c r="D88" s="60"/>
      <c r="E88" s="63"/>
      <c r="F88" s="61"/>
      <c r="G88" s="62"/>
      <c r="H88" s="62"/>
      <c r="I88" s="62"/>
      <c r="J88" s="49">
        <f>IF(AND(ISBLANK(G88),ISBLANK(H88),ISBLANK(I88)),VLOOKUP(TEXT(D88,"TTT"),Stammdaten!$B$20:$F$26,5,FALSE),H88-G88-I88)-IF(ISERROR(VLOOKUP(D88,Stammdaten!$I$9:$J$26,2,FALSE)),0,VLOOKUP(D88,Stammdaten!$I$9:$J$26,2,FALSE)/24)</f>
        <v>0</v>
      </c>
    </row>
    <row r="89" spans="2:10" x14ac:dyDescent="0.3">
      <c r="B89" s="50" t="str">
        <f t="shared" si="4"/>
        <v/>
      </c>
      <c r="C89" s="42" t="str">
        <f t="shared" si="3"/>
        <v/>
      </c>
      <c r="D89" s="60"/>
      <c r="E89" s="63"/>
      <c r="F89" s="61"/>
      <c r="G89" s="62"/>
      <c r="H89" s="62"/>
      <c r="I89" s="62"/>
      <c r="J89" s="49">
        <f>IF(AND(ISBLANK(G89),ISBLANK(H89),ISBLANK(I89)),VLOOKUP(TEXT(D89,"TTT"),Stammdaten!$B$20:$F$26,5,FALSE),H89-G89-I89)-IF(ISERROR(VLOOKUP(D89,Stammdaten!$I$9:$J$26,2,FALSE)),0,VLOOKUP(D89,Stammdaten!$I$9:$J$26,2,FALSE)/24)</f>
        <v>0</v>
      </c>
    </row>
    <row r="90" spans="2:10" x14ac:dyDescent="0.3">
      <c r="B90" s="50" t="str">
        <f t="shared" si="4"/>
        <v/>
      </c>
      <c r="C90" s="42" t="str">
        <f t="shared" si="3"/>
        <v/>
      </c>
      <c r="D90" s="60"/>
      <c r="E90" s="63"/>
      <c r="F90" s="61"/>
      <c r="G90" s="62"/>
      <c r="H90" s="62"/>
      <c r="I90" s="62"/>
      <c r="J90" s="49">
        <f>IF(AND(ISBLANK(G90),ISBLANK(H90),ISBLANK(I90)),VLOOKUP(TEXT(D90,"TTT"),Stammdaten!$B$20:$F$26,5,FALSE),H90-G90-I90)-IF(ISERROR(VLOOKUP(D90,Stammdaten!$I$9:$J$26,2,FALSE)),0,VLOOKUP(D90,Stammdaten!$I$9:$J$26,2,FALSE)/24)</f>
        <v>0</v>
      </c>
    </row>
    <row r="91" spans="2:10" x14ac:dyDescent="0.3">
      <c r="B91" s="50" t="str">
        <f t="shared" si="4"/>
        <v/>
      </c>
      <c r="C91" s="42" t="str">
        <f t="shared" si="3"/>
        <v/>
      </c>
      <c r="D91" s="60"/>
      <c r="E91" s="63"/>
      <c r="F91" s="61"/>
      <c r="G91" s="62"/>
      <c r="H91" s="62"/>
      <c r="I91" s="62"/>
      <c r="J91" s="49">
        <f>IF(AND(ISBLANK(G91),ISBLANK(H91),ISBLANK(I91)),VLOOKUP(TEXT(D91,"TTT"),Stammdaten!$B$20:$F$26,5,FALSE),H91-G91-I91)-IF(ISERROR(VLOOKUP(D91,Stammdaten!$I$9:$J$26,2,FALSE)),0,VLOOKUP(D91,Stammdaten!$I$9:$J$26,2,FALSE)/24)</f>
        <v>0</v>
      </c>
    </row>
    <row r="92" spans="2:10" x14ac:dyDescent="0.3">
      <c r="B92" s="50" t="str">
        <f t="shared" si="4"/>
        <v/>
      </c>
      <c r="C92" s="42" t="str">
        <f t="shared" si="3"/>
        <v/>
      </c>
      <c r="D92" s="60"/>
      <c r="E92" s="63"/>
      <c r="F92" s="61"/>
      <c r="G92" s="62"/>
      <c r="H92" s="62"/>
      <c r="I92" s="62"/>
      <c r="J92" s="49">
        <f>IF(AND(ISBLANK(G92),ISBLANK(H92),ISBLANK(I92)),VLOOKUP(TEXT(D92,"TTT"),Stammdaten!$B$20:$F$26,5,FALSE),H92-G92-I92)-IF(ISERROR(VLOOKUP(D92,Stammdaten!$I$9:$J$26,2,FALSE)),0,VLOOKUP(D92,Stammdaten!$I$9:$J$26,2,FALSE)/24)</f>
        <v>0</v>
      </c>
    </row>
    <row r="93" spans="2:10" x14ac:dyDescent="0.3">
      <c r="B93" s="50" t="str">
        <f t="shared" si="4"/>
        <v/>
      </c>
      <c r="C93" s="42" t="str">
        <f t="shared" si="3"/>
        <v/>
      </c>
      <c r="D93" s="60"/>
      <c r="E93" s="63"/>
      <c r="F93" s="61"/>
      <c r="G93" s="62"/>
      <c r="H93" s="62"/>
      <c r="I93" s="62"/>
      <c r="J93" s="49">
        <f>IF(AND(ISBLANK(G93),ISBLANK(H93),ISBLANK(I93)),VLOOKUP(TEXT(D93,"TTT"),Stammdaten!$B$20:$F$26,5,FALSE),H93-G93-I93)-IF(ISERROR(VLOOKUP(D93,Stammdaten!$I$9:$J$26,2,FALSE)),0,VLOOKUP(D93,Stammdaten!$I$9:$J$26,2,FALSE)/24)</f>
        <v>0</v>
      </c>
    </row>
    <row r="94" spans="2:10" x14ac:dyDescent="0.3">
      <c r="B94" s="50" t="str">
        <f t="shared" si="4"/>
        <v/>
      </c>
      <c r="C94" s="42" t="str">
        <f t="shared" si="3"/>
        <v/>
      </c>
      <c r="D94" s="60"/>
      <c r="E94" s="63"/>
      <c r="F94" s="61"/>
      <c r="G94" s="62"/>
      <c r="H94" s="62"/>
      <c r="I94" s="62"/>
      <c r="J94" s="49">
        <f>IF(AND(ISBLANK(G94),ISBLANK(H94),ISBLANK(I94)),VLOOKUP(TEXT(D94,"TTT"),Stammdaten!$B$20:$F$26,5,FALSE),H94-G94-I94)-IF(ISERROR(VLOOKUP(D94,Stammdaten!$I$9:$J$26,2,FALSE)),0,VLOOKUP(D94,Stammdaten!$I$9:$J$26,2,FALSE)/24)</f>
        <v>0</v>
      </c>
    </row>
    <row r="95" spans="2:10" x14ac:dyDescent="0.3">
      <c r="B95" s="50" t="str">
        <f t="shared" si="4"/>
        <v/>
      </c>
      <c r="C95" s="42" t="str">
        <f t="shared" si="3"/>
        <v/>
      </c>
      <c r="D95" s="60"/>
      <c r="E95" s="63"/>
      <c r="F95" s="61"/>
      <c r="G95" s="62"/>
      <c r="H95" s="62"/>
      <c r="I95" s="62"/>
      <c r="J95" s="49">
        <f>IF(AND(ISBLANK(G95),ISBLANK(H95),ISBLANK(I95)),VLOOKUP(TEXT(D95,"TTT"),Stammdaten!$B$20:$F$26,5,FALSE),H95-G95-I95)-IF(ISERROR(VLOOKUP(D95,Stammdaten!$I$9:$J$26,2,FALSE)),0,VLOOKUP(D95,Stammdaten!$I$9:$J$26,2,FALSE)/24)</f>
        <v>0</v>
      </c>
    </row>
    <row r="96" spans="2:10" x14ac:dyDescent="0.3">
      <c r="B96" s="50" t="str">
        <f t="shared" si="4"/>
        <v/>
      </c>
      <c r="C96" s="42" t="str">
        <f t="shared" si="3"/>
        <v/>
      </c>
      <c r="D96" s="60"/>
      <c r="E96" s="63"/>
      <c r="F96" s="61"/>
      <c r="G96" s="62"/>
      <c r="H96" s="62"/>
      <c r="I96" s="62"/>
      <c r="J96" s="49">
        <f>IF(AND(ISBLANK(G96),ISBLANK(H96),ISBLANK(I96)),VLOOKUP(TEXT(D96,"TTT"),Stammdaten!$B$20:$F$26,5,FALSE),H96-G96-I96)-IF(ISERROR(VLOOKUP(D96,Stammdaten!$I$9:$J$26,2,FALSE)),0,VLOOKUP(D96,Stammdaten!$I$9:$J$26,2,FALSE)/24)</f>
        <v>0</v>
      </c>
    </row>
    <row r="97" spans="2:10" x14ac:dyDescent="0.3">
      <c r="B97" s="50" t="str">
        <f t="shared" si="4"/>
        <v/>
      </c>
      <c r="C97" s="42" t="str">
        <f t="shared" si="3"/>
        <v/>
      </c>
      <c r="D97" s="60"/>
      <c r="E97" s="63"/>
      <c r="F97" s="61"/>
      <c r="G97" s="62"/>
      <c r="H97" s="62"/>
      <c r="I97" s="62"/>
      <c r="J97" s="49">
        <f>IF(AND(ISBLANK(G97),ISBLANK(H97),ISBLANK(I97)),VLOOKUP(TEXT(D97,"TTT"),Stammdaten!$B$20:$F$26,5,FALSE),H97-G97-I97)-IF(ISERROR(VLOOKUP(D97,Stammdaten!$I$9:$J$26,2,FALSE)),0,VLOOKUP(D97,Stammdaten!$I$9:$J$26,2,FALSE)/24)</f>
        <v>0</v>
      </c>
    </row>
    <row r="98" spans="2:10" x14ac:dyDescent="0.3">
      <c r="B98" s="50" t="str">
        <f t="shared" si="4"/>
        <v/>
      </c>
      <c r="C98" s="42" t="str">
        <f t="shared" si="3"/>
        <v/>
      </c>
      <c r="D98" s="60"/>
      <c r="E98" s="63"/>
      <c r="F98" s="61"/>
      <c r="G98" s="62"/>
      <c r="H98" s="62"/>
      <c r="I98" s="62"/>
      <c r="J98" s="49">
        <f>IF(AND(ISBLANK(G98),ISBLANK(H98),ISBLANK(I98)),VLOOKUP(TEXT(D98,"TTT"),Stammdaten!$B$20:$F$26,5,FALSE),H98-G98-I98)-IF(ISERROR(VLOOKUP(D98,Stammdaten!$I$9:$J$26,2,FALSE)),0,VLOOKUP(D98,Stammdaten!$I$9:$J$26,2,FALSE)/24)</f>
        <v>0</v>
      </c>
    </row>
    <row r="99" spans="2:10" x14ac:dyDescent="0.3">
      <c r="B99" s="50" t="str">
        <f t="shared" si="4"/>
        <v/>
      </c>
      <c r="C99" s="42" t="str">
        <f t="shared" si="3"/>
        <v/>
      </c>
      <c r="D99" s="60"/>
      <c r="E99" s="63"/>
      <c r="F99" s="61"/>
      <c r="G99" s="62"/>
      <c r="H99" s="62"/>
      <c r="I99" s="62"/>
      <c r="J99" s="49">
        <f>IF(AND(ISBLANK(G99),ISBLANK(H99),ISBLANK(I99)),VLOOKUP(TEXT(D99,"TTT"),Stammdaten!$B$20:$F$26,5,FALSE),H99-G99-I99)-IF(ISERROR(VLOOKUP(D99,Stammdaten!$I$9:$J$26,2,FALSE)),0,VLOOKUP(D99,Stammdaten!$I$9:$J$26,2,FALSE)/24)</f>
        <v>0</v>
      </c>
    </row>
    <row r="100" spans="2:10" x14ac:dyDescent="0.3">
      <c r="B100" s="50" t="str">
        <f t="shared" si="4"/>
        <v/>
      </c>
      <c r="C100" s="42" t="str">
        <f t="shared" si="3"/>
        <v/>
      </c>
      <c r="D100" s="60"/>
      <c r="E100" s="63"/>
      <c r="F100" s="61"/>
      <c r="G100" s="62"/>
      <c r="H100" s="62"/>
      <c r="I100" s="62"/>
      <c r="J100" s="49">
        <f>IF(AND(ISBLANK(G100),ISBLANK(H100),ISBLANK(I100)),VLOOKUP(TEXT(D100,"TTT"),Stammdaten!$B$20:$F$26,5,FALSE),H100-G100-I100)-IF(ISERROR(VLOOKUP(D100,Stammdaten!$I$9:$J$26,2,FALSE)),0,VLOOKUP(D100,Stammdaten!$I$9:$J$26,2,FALSE)/24)</f>
        <v>0</v>
      </c>
    </row>
    <row r="101" spans="2:10" x14ac:dyDescent="0.3">
      <c r="B101" s="50" t="str">
        <f t="shared" si="4"/>
        <v/>
      </c>
      <c r="C101" s="42" t="str">
        <f t="shared" si="3"/>
        <v/>
      </c>
      <c r="D101" s="60"/>
      <c r="E101" s="63"/>
      <c r="F101" s="61"/>
      <c r="G101" s="62"/>
      <c r="H101" s="62"/>
      <c r="I101" s="62"/>
      <c r="J101" s="49">
        <f>IF(AND(ISBLANK(G101),ISBLANK(H101),ISBLANK(I101)),VLOOKUP(TEXT(D101,"TTT"),Stammdaten!$B$20:$F$26,5,FALSE),H101-G101-I101)-IF(ISERROR(VLOOKUP(D101,Stammdaten!$I$9:$J$26,2,FALSE)),0,VLOOKUP(D101,Stammdaten!$I$9:$J$26,2,FALSE)/24)</f>
        <v>0</v>
      </c>
    </row>
    <row r="102" spans="2:10" x14ac:dyDescent="0.3">
      <c r="B102" s="50" t="str">
        <f t="shared" si="4"/>
        <v/>
      </c>
      <c r="C102" s="42" t="str">
        <f t="shared" si="3"/>
        <v/>
      </c>
      <c r="D102" s="60"/>
      <c r="E102" s="63"/>
      <c r="F102" s="61"/>
      <c r="G102" s="62"/>
      <c r="H102" s="62"/>
      <c r="I102" s="62"/>
      <c r="J102" s="49">
        <f>IF(AND(ISBLANK(G102),ISBLANK(H102),ISBLANK(I102)),VLOOKUP(TEXT(D102,"TTT"),Stammdaten!$B$20:$F$26,5,FALSE),H102-G102-I102)-IF(ISERROR(VLOOKUP(D102,Stammdaten!$I$9:$J$26,2,FALSE)),0,VLOOKUP(D102,Stammdaten!$I$9:$J$26,2,FALSE)/24)</f>
        <v>0</v>
      </c>
    </row>
    <row r="103" spans="2:10" x14ac:dyDescent="0.3">
      <c r="B103" s="50" t="str">
        <f t="shared" si="4"/>
        <v/>
      </c>
      <c r="C103" s="42" t="str">
        <f t="shared" si="3"/>
        <v/>
      </c>
      <c r="D103" s="60"/>
      <c r="E103" s="63"/>
      <c r="F103" s="61"/>
      <c r="G103" s="62"/>
      <c r="H103" s="62"/>
      <c r="I103" s="62"/>
      <c r="J103" s="49">
        <f>IF(AND(ISBLANK(G103),ISBLANK(H103),ISBLANK(I103)),VLOOKUP(TEXT(D103,"TTT"),Stammdaten!$B$20:$F$26,5,FALSE),H103-G103-I103)-IF(ISERROR(VLOOKUP(D103,Stammdaten!$I$9:$J$26,2,FALSE)),0,VLOOKUP(D103,Stammdaten!$I$9:$J$26,2,FALSE)/24)</f>
        <v>0</v>
      </c>
    </row>
    <row r="104" spans="2:10" x14ac:dyDescent="0.3">
      <c r="B104" s="50" t="str">
        <f t="shared" si="4"/>
        <v/>
      </c>
      <c r="C104" s="42" t="str">
        <f t="shared" si="3"/>
        <v/>
      </c>
      <c r="D104" s="60"/>
      <c r="E104" s="63"/>
      <c r="F104" s="61"/>
      <c r="G104" s="62"/>
      <c r="H104" s="62"/>
      <c r="I104" s="62"/>
      <c r="J104" s="49">
        <f>IF(AND(ISBLANK(G104),ISBLANK(H104),ISBLANK(I104)),VLOOKUP(TEXT(D104,"TTT"),Stammdaten!$B$20:$F$26,5,FALSE),H104-G104-I104)-IF(ISERROR(VLOOKUP(D104,Stammdaten!$I$9:$J$26,2,FALSE)),0,VLOOKUP(D104,Stammdaten!$I$9:$J$26,2,FALSE)/24)</f>
        <v>0</v>
      </c>
    </row>
    <row r="105" spans="2:10" x14ac:dyDescent="0.3">
      <c r="B105" s="50" t="str">
        <f t="shared" si="4"/>
        <v/>
      </c>
      <c r="C105" s="42" t="str">
        <f t="shared" si="3"/>
        <v/>
      </c>
      <c r="D105" s="60"/>
      <c r="E105" s="63"/>
      <c r="F105" s="61"/>
      <c r="G105" s="62"/>
      <c r="H105" s="62"/>
      <c r="I105" s="62"/>
      <c r="J105" s="49">
        <f>IF(AND(ISBLANK(G105),ISBLANK(H105),ISBLANK(I105)),VLOOKUP(TEXT(D105,"TTT"),Stammdaten!$B$20:$F$26,5,FALSE),H105-G105-I105)-IF(ISERROR(VLOOKUP(D105,Stammdaten!$I$9:$J$26,2,FALSE)),0,VLOOKUP(D105,Stammdaten!$I$9:$J$26,2,FALSE)/24)</f>
        <v>0</v>
      </c>
    </row>
    <row r="106" spans="2:10" x14ac:dyDescent="0.3">
      <c r="B106" s="50" t="str">
        <f t="shared" si="4"/>
        <v/>
      </c>
      <c r="C106" s="42" t="str">
        <f t="shared" si="3"/>
        <v/>
      </c>
      <c r="D106" s="60"/>
      <c r="E106" s="63"/>
      <c r="F106" s="61"/>
      <c r="G106" s="62"/>
      <c r="H106" s="62"/>
      <c r="I106" s="62"/>
      <c r="J106" s="49">
        <f>IF(AND(ISBLANK(G106),ISBLANK(H106),ISBLANK(I106)),VLOOKUP(TEXT(D106,"TTT"),Stammdaten!$B$20:$F$26,5,FALSE),H106-G106-I106)-IF(ISERROR(VLOOKUP(D106,Stammdaten!$I$9:$J$26,2,FALSE)),0,VLOOKUP(D106,Stammdaten!$I$9:$J$26,2,FALSE)/24)</f>
        <v>0</v>
      </c>
    </row>
    <row r="107" spans="2:10" x14ac:dyDescent="0.3">
      <c r="B107" s="50" t="str">
        <f t="shared" si="4"/>
        <v/>
      </c>
      <c r="C107" s="42" t="str">
        <f t="shared" si="3"/>
        <v/>
      </c>
      <c r="D107" s="60"/>
      <c r="E107" s="63"/>
      <c r="F107" s="61"/>
      <c r="G107" s="62"/>
      <c r="H107" s="62"/>
      <c r="I107" s="62"/>
      <c r="J107" s="49">
        <f>IF(AND(ISBLANK(G107),ISBLANK(H107),ISBLANK(I107)),VLOOKUP(TEXT(D107,"TTT"),Stammdaten!$B$20:$F$26,5,FALSE),H107-G107-I107)-IF(ISERROR(VLOOKUP(D107,Stammdaten!$I$9:$J$26,2,FALSE)),0,VLOOKUP(D107,Stammdaten!$I$9:$J$26,2,FALSE)/24)</f>
        <v>0</v>
      </c>
    </row>
    <row r="108" spans="2:10" x14ac:dyDescent="0.3">
      <c r="B108" s="50" t="str">
        <f t="shared" si="4"/>
        <v/>
      </c>
      <c r="C108" s="42" t="str">
        <f t="shared" si="3"/>
        <v/>
      </c>
      <c r="D108" s="60"/>
      <c r="E108" s="63"/>
      <c r="F108" s="61"/>
      <c r="G108" s="62"/>
      <c r="H108" s="62"/>
      <c r="I108" s="62"/>
      <c r="J108" s="49">
        <f>IF(AND(ISBLANK(G108),ISBLANK(H108),ISBLANK(I108)),VLOOKUP(TEXT(D108,"TTT"),Stammdaten!$B$20:$F$26,5,FALSE),H108-G108-I108)-IF(ISERROR(VLOOKUP(D108,Stammdaten!$I$9:$J$26,2,FALSE)),0,VLOOKUP(D108,Stammdaten!$I$9:$J$26,2,FALSE)/24)</f>
        <v>0</v>
      </c>
    </row>
    <row r="109" spans="2:10" x14ac:dyDescent="0.3">
      <c r="B109" s="50" t="str">
        <f t="shared" si="4"/>
        <v/>
      </c>
      <c r="C109" s="42" t="str">
        <f t="shared" si="3"/>
        <v/>
      </c>
      <c r="D109" s="60"/>
      <c r="E109" s="63"/>
      <c r="F109" s="61"/>
      <c r="G109" s="62"/>
      <c r="H109" s="62"/>
      <c r="I109" s="62"/>
      <c r="J109" s="49">
        <f>IF(AND(ISBLANK(G109),ISBLANK(H109),ISBLANK(I109)),VLOOKUP(TEXT(D109,"TTT"),Stammdaten!$B$20:$F$26,5,FALSE),H109-G109-I109)-IF(ISERROR(VLOOKUP(D109,Stammdaten!$I$9:$J$26,2,FALSE)),0,VLOOKUP(D109,Stammdaten!$I$9:$J$26,2,FALSE)/24)</f>
        <v>0</v>
      </c>
    </row>
    <row r="110" spans="2:10" x14ac:dyDescent="0.3">
      <c r="B110" s="50" t="str">
        <f t="shared" si="4"/>
        <v/>
      </c>
      <c r="C110" s="42" t="str">
        <f t="shared" si="3"/>
        <v/>
      </c>
      <c r="D110" s="60"/>
      <c r="E110" s="63"/>
      <c r="F110" s="61"/>
      <c r="G110" s="62"/>
      <c r="H110" s="62"/>
      <c r="I110" s="62"/>
      <c r="J110" s="49">
        <f>IF(AND(ISBLANK(G110),ISBLANK(H110),ISBLANK(I110)),VLOOKUP(TEXT(D110,"TTT"),Stammdaten!$B$20:$F$26,5,FALSE),H110-G110-I110)-IF(ISERROR(VLOOKUP(D110,Stammdaten!$I$9:$J$26,2,FALSE)),0,VLOOKUP(D110,Stammdaten!$I$9:$J$26,2,FALSE)/24)</f>
        <v>0</v>
      </c>
    </row>
    <row r="111" spans="2:10" x14ac:dyDescent="0.3">
      <c r="B111" s="50" t="str">
        <f t="shared" si="4"/>
        <v/>
      </c>
      <c r="C111" s="42" t="str">
        <f t="shared" si="3"/>
        <v/>
      </c>
      <c r="D111" s="60"/>
      <c r="E111" s="63"/>
      <c r="F111" s="61"/>
      <c r="G111" s="62"/>
      <c r="H111" s="62"/>
      <c r="I111" s="62"/>
      <c r="J111" s="49">
        <f>IF(AND(ISBLANK(G111),ISBLANK(H111),ISBLANK(I111)),VLOOKUP(TEXT(D111,"TTT"),Stammdaten!$B$20:$F$26,5,FALSE),H111-G111-I111)-IF(ISERROR(VLOOKUP(D111,Stammdaten!$I$9:$J$26,2,FALSE)),0,VLOOKUP(D111,Stammdaten!$I$9:$J$26,2,FALSE)/24)</f>
        <v>0</v>
      </c>
    </row>
    <row r="112" spans="2:10" x14ac:dyDescent="0.3">
      <c r="B112" s="50" t="str">
        <f t="shared" si="4"/>
        <v/>
      </c>
      <c r="C112" s="42" t="str">
        <f t="shared" si="3"/>
        <v/>
      </c>
      <c r="D112" s="60"/>
      <c r="E112" s="63"/>
      <c r="F112" s="61"/>
      <c r="G112" s="62"/>
      <c r="H112" s="62"/>
      <c r="I112" s="62"/>
      <c r="J112" s="49">
        <f>IF(AND(ISBLANK(G112),ISBLANK(H112),ISBLANK(I112)),VLOOKUP(TEXT(D112,"TTT"),Stammdaten!$B$20:$F$26,5,FALSE),H112-G112-I112)-IF(ISERROR(VLOOKUP(D112,Stammdaten!$I$9:$J$26,2,FALSE)),0,VLOOKUP(D112,Stammdaten!$I$9:$J$26,2,FALSE)/24)</f>
        <v>0</v>
      </c>
    </row>
    <row r="113" spans="2:10" x14ac:dyDescent="0.3">
      <c r="B113" s="50" t="str">
        <f t="shared" si="4"/>
        <v/>
      </c>
      <c r="C113" s="42" t="str">
        <f t="shared" si="3"/>
        <v/>
      </c>
      <c r="D113" s="60"/>
      <c r="E113" s="63"/>
      <c r="F113" s="61"/>
      <c r="G113" s="62"/>
      <c r="H113" s="62"/>
      <c r="I113" s="62"/>
      <c r="J113" s="49">
        <f>IF(AND(ISBLANK(G113),ISBLANK(H113),ISBLANK(I113)),VLOOKUP(TEXT(D113,"TTT"),Stammdaten!$B$20:$F$26,5,FALSE),H113-G113-I113)-IF(ISERROR(VLOOKUP(D113,Stammdaten!$I$9:$J$26,2,FALSE)),0,VLOOKUP(D113,Stammdaten!$I$9:$J$26,2,FALSE)/24)</f>
        <v>0</v>
      </c>
    </row>
    <row r="114" spans="2:10" x14ac:dyDescent="0.3">
      <c r="B114" s="50" t="str">
        <f t="shared" si="4"/>
        <v/>
      </c>
      <c r="C114" s="42" t="str">
        <f t="shared" si="3"/>
        <v/>
      </c>
      <c r="D114" s="60"/>
      <c r="E114" s="63"/>
      <c r="F114" s="61"/>
      <c r="G114" s="62"/>
      <c r="H114" s="62"/>
      <c r="I114" s="62"/>
      <c r="J114" s="49">
        <f>IF(AND(ISBLANK(G114),ISBLANK(H114),ISBLANK(I114)),VLOOKUP(TEXT(D114,"TTT"),Stammdaten!$B$20:$F$26,5,FALSE),H114-G114-I114)-IF(ISERROR(VLOOKUP(D114,Stammdaten!$I$9:$J$26,2,FALSE)),0,VLOOKUP(D114,Stammdaten!$I$9:$J$26,2,FALSE)/24)</f>
        <v>0</v>
      </c>
    </row>
    <row r="115" spans="2:10" x14ac:dyDescent="0.3">
      <c r="B115" s="50" t="str">
        <f t="shared" si="4"/>
        <v/>
      </c>
      <c r="C115" s="42" t="str">
        <f t="shared" si="3"/>
        <v/>
      </c>
      <c r="D115" s="60"/>
      <c r="E115" s="63"/>
      <c r="F115" s="61"/>
      <c r="G115" s="62"/>
      <c r="H115" s="62"/>
      <c r="I115" s="62"/>
      <c r="J115" s="49">
        <f>IF(AND(ISBLANK(G115),ISBLANK(H115),ISBLANK(I115)),VLOOKUP(TEXT(D115,"TTT"),Stammdaten!$B$20:$F$26,5,FALSE),H115-G115-I115)-IF(ISERROR(VLOOKUP(D115,Stammdaten!$I$9:$J$26,2,FALSE)),0,VLOOKUP(D115,Stammdaten!$I$9:$J$26,2,FALSE)/24)</f>
        <v>0</v>
      </c>
    </row>
    <row r="116" spans="2:10" x14ac:dyDescent="0.3">
      <c r="B116" s="50" t="str">
        <f t="shared" si="4"/>
        <v/>
      </c>
      <c r="C116" s="42" t="str">
        <f t="shared" si="3"/>
        <v/>
      </c>
      <c r="D116" s="60"/>
      <c r="E116" s="63"/>
      <c r="F116" s="61"/>
      <c r="G116" s="62"/>
      <c r="H116" s="62"/>
      <c r="I116" s="62"/>
      <c r="J116" s="49">
        <f>IF(AND(ISBLANK(G116),ISBLANK(H116),ISBLANK(I116)),VLOOKUP(TEXT(D116,"TTT"),Stammdaten!$B$20:$F$26,5,FALSE),H116-G116-I116)-IF(ISERROR(VLOOKUP(D116,Stammdaten!$I$9:$J$26,2,FALSE)),0,VLOOKUP(D116,Stammdaten!$I$9:$J$26,2,FALSE)/24)</f>
        <v>0</v>
      </c>
    </row>
    <row r="117" spans="2:10" x14ac:dyDescent="0.3">
      <c r="B117" s="50" t="str">
        <f t="shared" si="4"/>
        <v/>
      </c>
      <c r="C117" s="42" t="str">
        <f t="shared" si="3"/>
        <v/>
      </c>
      <c r="D117" s="60"/>
      <c r="E117" s="63"/>
      <c r="F117" s="61"/>
      <c r="G117" s="62"/>
      <c r="H117" s="62"/>
      <c r="I117" s="62"/>
      <c r="J117" s="49">
        <f>IF(AND(ISBLANK(G117),ISBLANK(H117),ISBLANK(I117)),VLOOKUP(TEXT(D117,"TTT"),Stammdaten!$B$20:$F$26,5,FALSE),H117-G117-I117)-IF(ISERROR(VLOOKUP(D117,Stammdaten!$I$9:$J$26,2,FALSE)),0,VLOOKUP(D117,Stammdaten!$I$9:$J$26,2,FALSE)/24)</f>
        <v>0</v>
      </c>
    </row>
    <row r="118" spans="2:10" x14ac:dyDescent="0.3">
      <c r="B118" s="50" t="str">
        <f t="shared" si="4"/>
        <v/>
      </c>
      <c r="C118" s="42" t="str">
        <f t="shared" si="3"/>
        <v/>
      </c>
      <c r="D118" s="60"/>
      <c r="E118" s="63"/>
      <c r="F118" s="61"/>
      <c r="G118" s="62"/>
      <c r="H118" s="62"/>
      <c r="I118" s="62"/>
      <c r="J118" s="49">
        <f>IF(AND(ISBLANK(G118),ISBLANK(H118),ISBLANK(I118)),VLOOKUP(TEXT(D118,"TTT"),Stammdaten!$B$20:$F$26,5,FALSE),H118-G118-I118)-IF(ISERROR(VLOOKUP(D118,Stammdaten!$I$9:$J$26,2,FALSE)),0,VLOOKUP(D118,Stammdaten!$I$9:$J$26,2,FALSE)/24)</f>
        <v>0</v>
      </c>
    </row>
    <row r="119" spans="2:10" x14ac:dyDescent="0.3">
      <c r="B119" s="50" t="str">
        <f t="shared" si="4"/>
        <v/>
      </c>
      <c r="C119" s="42" t="str">
        <f t="shared" si="3"/>
        <v/>
      </c>
      <c r="D119" s="60"/>
      <c r="E119" s="63"/>
      <c r="F119" s="61"/>
      <c r="G119" s="62"/>
      <c r="H119" s="62"/>
      <c r="I119" s="62"/>
      <c r="J119" s="49">
        <f>IF(AND(ISBLANK(G119),ISBLANK(H119),ISBLANK(I119)),VLOOKUP(TEXT(D119,"TTT"),Stammdaten!$B$20:$F$26,5,FALSE),H119-G119-I119)-IF(ISERROR(VLOOKUP(D119,Stammdaten!$I$9:$J$26,2,FALSE)),0,VLOOKUP(D119,Stammdaten!$I$9:$J$26,2,FALSE)/24)</f>
        <v>0</v>
      </c>
    </row>
    <row r="120" spans="2:10" x14ac:dyDescent="0.3">
      <c r="B120" s="50" t="str">
        <f t="shared" si="4"/>
        <v/>
      </c>
      <c r="C120" s="42" t="str">
        <f t="shared" si="3"/>
        <v/>
      </c>
      <c r="D120" s="60"/>
      <c r="E120" s="63"/>
      <c r="F120" s="61"/>
      <c r="G120" s="62"/>
      <c r="H120" s="62"/>
      <c r="I120" s="62"/>
      <c r="J120" s="49">
        <f>IF(AND(ISBLANK(G120),ISBLANK(H120),ISBLANK(I120)),VLOOKUP(TEXT(D120,"TTT"),Stammdaten!$B$20:$F$26,5,FALSE),H120-G120-I120)-IF(ISERROR(VLOOKUP(D120,Stammdaten!$I$9:$J$26,2,FALSE)),0,VLOOKUP(D120,Stammdaten!$I$9:$J$26,2,FALSE)/24)</f>
        <v>0</v>
      </c>
    </row>
    <row r="121" spans="2:10" x14ac:dyDescent="0.3">
      <c r="B121" s="50" t="str">
        <f t="shared" si="4"/>
        <v/>
      </c>
      <c r="C121" s="42" t="str">
        <f t="shared" si="3"/>
        <v/>
      </c>
      <c r="D121" s="60"/>
      <c r="E121" s="63"/>
      <c r="F121" s="61"/>
      <c r="G121" s="62"/>
      <c r="H121" s="62"/>
      <c r="I121" s="62"/>
      <c r="J121" s="49">
        <f>IF(AND(ISBLANK(G121),ISBLANK(H121),ISBLANK(I121)),VLOOKUP(TEXT(D121,"TTT"),Stammdaten!$B$20:$F$26,5,FALSE),H121-G121-I121)-IF(ISERROR(VLOOKUP(D121,Stammdaten!$I$9:$J$26,2,FALSE)),0,VLOOKUP(D121,Stammdaten!$I$9:$J$26,2,FALSE)/24)</f>
        <v>0</v>
      </c>
    </row>
    <row r="122" spans="2:10" x14ac:dyDescent="0.3">
      <c r="B122" s="50" t="str">
        <f t="shared" si="4"/>
        <v/>
      </c>
      <c r="C122" s="42" t="str">
        <f t="shared" si="3"/>
        <v/>
      </c>
      <c r="D122" s="60"/>
      <c r="E122" s="63"/>
      <c r="F122" s="61"/>
      <c r="G122" s="62"/>
      <c r="H122" s="62"/>
      <c r="I122" s="62"/>
      <c r="J122" s="49">
        <f>IF(AND(ISBLANK(G122),ISBLANK(H122),ISBLANK(I122)),VLOOKUP(TEXT(D122,"TTT"),Stammdaten!$B$20:$F$26,5,FALSE),H122-G122-I122)-IF(ISERROR(VLOOKUP(D122,Stammdaten!$I$9:$J$26,2,FALSE)),0,VLOOKUP(D122,Stammdaten!$I$9:$J$26,2,FALSE)/24)</f>
        <v>0</v>
      </c>
    </row>
    <row r="123" spans="2:10" x14ac:dyDescent="0.3">
      <c r="B123" s="50" t="str">
        <f t="shared" si="4"/>
        <v/>
      </c>
      <c r="C123" s="42" t="str">
        <f t="shared" si="3"/>
        <v/>
      </c>
      <c r="D123" s="60"/>
      <c r="E123" s="63"/>
      <c r="F123" s="61"/>
      <c r="G123" s="62"/>
      <c r="H123" s="62"/>
      <c r="I123" s="62"/>
      <c r="J123" s="49">
        <f>IF(AND(ISBLANK(G123),ISBLANK(H123),ISBLANK(I123)),VLOOKUP(TEXT(D123,"TTT"),Stammdaten!$B$20:$F$26,5,FALSE),H123-G123-I123)-IF(ISERROR(VLOOKUP(D123,Stammdaten!$I$9:$J$26,2,FALSE)),0,VLOOKUP(D123,Stammdaten!$I$9:$J$26,2,FALSE)/24)</f>
        <v>0</v>
      </c>
    </row>
    <row r="124" spans="2:10" x14ac:dyDescent="0.3">
      <c r="B124" s="50" t="str">
        <f t="shared" si="4"/>
        <v/>
      </c>
      <c r="C124" s="42" t="str">
        <f t="shared" si="3"/>
        <v/>
      </c>
      <c r="D124" s="60"/>
      <c r="E124" s="63"/>
      <c r="F124" s="61"/>
      <c r="G124" s="62"/>
      <c r="H124" s="62"/>
      <c r="I124" s="62"/>
      <c r="J124" s="49">
        <f>IF(AND(ISBLANK(G124),ISBLANK(H124),ISBLANK(I124)),VLOOKUP(TEXT(D124,"TTT"),Stammdaten!$B$20:$F$26,5,FALSE),H124-G124-I124)-IF(ISERROR(VLOOKUP(D124,Stammdaten!$I$9:$J$26,2,FALSE)),0,VLOOKUP(D124,Stammdaten!$I$9:$J$26,2,FALSE)/24)</f>
        <v>0</v>
      </c>
    </row>
    <row r="125" spans="2:10" x14ac:dyDescent="0.3">
      <c r="B125" s="50" t="str">
        <f t="shared" si="4"/>
        <v/>
      </c>
      <c r="C125" s="42" t="str">
        <f t="shared" si="3"/>
        <v/>
      </c>
      <c r="D125" s="60"/>
      <c r="E125" s="63"/>
      <c r="F125" s="61"/>
      <c r="G125" s="62"/>
      <c r="H125" s="62"/>
      <c r="I125" s="62"/>
      <c r="J125" s="49">
        <f>IF(AND(ISBLANK(G125),ISBLANK(H125),ISBLANK(I125)),VLOOKUP(TEXT(D125,"TTT"),Stammdaten!$B$20:$F$26,5,FALSE),H125-G125-I125)-IF(ISERROR(VLOOKUP(D125,Stammdaten!$I$9:$J$26,2,FALSE)),0,VLOOKUP(D125,Stammdaten!$I$9:$J$26,2,FALSE)/24)</f>
        <v>0</v>
      </c>
    </row>
    <row r="126" spans="2:10" x14ac:dyDescent="0.3">
      <c r="B126" s="50" t="str">
        <f t="shared" si="4"/>
        <v/>
      </c>
      <c r="C126" s="42" t="str">
        <f t="shared" si="3"/>
        <v/>
      </c>
      <c r="D126" s="60"/>
      <c r="E126" s="63"/>
      <c r="F126" s="61"/>
      <c r="G126" s="62"/>
      <c r="H126" s="62"/>
      <c r="I126" s="62"/>
      <c r="J126" s="49">
        <f>IF(AND(ISBLANK(G126),ISBLANK(H126),ISBLANK(I126)),VLOOKUP(TEXT(D126,"TTT"),Stammdaten!$B$20:$F$26,5,FALSE),H126-G126-I126)-IF(ISERROR(VLOOKUP(D126,Stammdaten!$I$9:$J$26,2,FALSE)),0,VLOOKUP(D126,Stammdaten!$I$9:$J$26,2,FALSE)/24)</f>
        <v>0</v>
      </c>
    </row>
    <row r="127" spans="2:10" x14ac:dyDescent="0.3">
      <c r="B127" s="50" t="str">
        <f t="shared" si="4"/>
        <v/>
      </c>
      <c r="C127" s="42" t="str">
        <f t="shared" si="3"/>
        <v/>
      </c>
      <c r="D127" s="60"/>
      <c r="E127" s="63"/>
      <c r="F127" s="61"/>
      <c r="G127" s="62"/>
      <c r="H127" s="62"/>
      <c r="I127" s="62"/>
      <c r="J127" s="49">
        <f>IF(AND(ISBLANK(G127),ISBLANK(H127),ISBLANK(I127)),VLOOKUP(TEXT(D127,"TTT"),Stammdaten!$B$20:$F$26,5,FALSE),H127-G127-I127)-IF(ISERROR(VLOOKUP(D127,Stammdaten!$I$9:$J$26,2,FALSE)),0,VLOOKUP(D127,Stammdaten!$I$9:$J$26,2,FALSE)/24)</f>
        <v>0</v>
      </c>
    </row>
    <row r="128" spans="2:10" x14ac:dyDescent="0.3">
      <c r="B128" s="50" t="str">
        <f t="shared" si="4"/>
        <v/>
      </c>
      <c r="C128" s="42" t="str">
        <f t="shared" si="3"/>
        <v/>
      </c>
      <c r="D128" s="60"/>
      <c r="E128" s="63"/>
      <c r="F128" s="61"/>
      <c r="G128" s="62"/>
      <c r="H128" s="62"/>
      <c r="I128" s="62"/>
      <c r="J128" s="49">
        <f>IF(AND(ISBLANK(G128),ISBLANK(H128),ISBLANK(I128)),VLOOKUP(TEXT(D128,"TTT"),Stammdaten!$B$20:$F$26,5,FALSE),H128-G128-I128)-IF(ISERROR(VLOOKUP(D128,Stammdaten!$I$9:$J$26,2,FALSE)),0,VLOOKUP(D128,Stammdaten!$I$9:$J$26,2,FALSE)/24)</f>
        <v>0</v>
      </c>
    </row>
    <row r="129" spans="2:10" x14ac:dyDescent="0.3">
      <c r="B129" s="50" t="str">
        <f t="shared" si="4"/>
        <v/>
      </c>
      <c r="C129" s="42" t="str">
        <f t="shared" si="3"/>
        <v/>
      </c>
      <c r="D129" s="60"/>
      <c r="E129" s="63"/>
      <c r="F129" s="61"/>
      <c r="G129" s="62"/>
      <c r="H129" s="62"/>
      <c r="I129" s="62"/>
      <c r="J129" s="49">
        <f>IF(AND(ISBLANK(G129),ISBLANK(H129),ISBLANK(I129)),VLOOKUP(TEXT(D129,"TTT"),Stammdaten!$B$20:$F$26,5,FALSE),H129-G129-I129)-IF(ISERROR(VLOOKUP(D129,Stammdaten!$I$9:$J$26,2,FALSE)),0,VLOOKUP(D129,Stammdaten!$I$9:$J$26,2,FALSE)/24)</f>
        <v>0</v>
      </c>
    </row>
    <row r="130" spans="2:10" x14ac:dyDescent="0.3">
      <c r="B130" s="50" t="str">
        <f t="shared" si="4"/>
        <v/>
      </c>
      <c r="C130" s="42" t="str">
        <f t="shared" ref="C130:C193" si="5">IF(D130="","",D130)</f>
        <v/>
      </c>
      <c r="D130" s="60"/>
      <c r="E130" s="63"/>
      <c r="F130" s="61"/>
      <c r="G130" s="62"/>
      <c r="H130" s="62"/>
      <c r="I130" s="62"/>
      <c r="J130" s="49">
        <f>IF(AND(ISBLANK(G130),ISBLANK(H130),ISBLANK(I130)),VLOOKUP(TEXT(D130,"TTT"),Stammdaten!$B$20:$F$26,5,FALSE),H130-G130-I130)-IF(ISERROR(VLOOKUP(D130,Stammdaten!$I$9:$J$26,2,FALSE)),0,VLOOKUP(D130,Stammdaten!$I$9:$J$26,2,FALSE)/24)</f>
        <v>0</v>
      </c>
    </row>
    <row r="131" spans="2:10" x14ac:dyDescent="0.3">
      <c r="B131" s="50" t="str">
        <f t="shared" si="4"/>
        <v/>
      </c>
      <c r="C131" s="42" t="str">
        <f t="shared" si="5"/>
        <v/>
      </c>
      <c r="D131" s="60"/>
      <c r="E131" s="63"/>
      <c r="F131" s="61"/>
      <c r="G131" s="62"/>
      <c r="H131" s="62"/>
      <c r="I131" s="62"/>
      <c r="J131" s="49">
        <f>IF(AND(ISBLANK(G131),ISBLANK(H131),ISBLANK(I131)),VLOOKUP(TEXT(D131,"TTT"),Stammdaten!$B$20:$F$26,5,FALSE),H131-G131-I131)-IF(ISERROR(VLOOKUP(D131,Stammdaten!$I$9:$J$26,2,FALSE)),0,VLOOKUP(D131,Stammdaten!$I$9:$J$26,2,FALSE)/24)</f>
        <v>0</v>
      </c>
    </row>
    <row r="132" spans="2:10" x14ac:dyDescent="0.3">
      <c r="B132" s="50" t="str">
        <f t="shared" ref="B132:B195" si="6">IF(ISBLANK(E132),"",VLOOKUP(E132,$L$2:$M$11,2,FALSE))</f>
        <v/>
      </c>
      <c r="C132" s="42" t="str">
        <f t="shared" si="5"/>
        <v/>
      </c>
      <c r="D132" s="60"/>
      <c r="E132" s="63"/>
      <c r="F132" s="61"/>
      <c r="G132" s="62"/>
      <c r="H132" s="62"/>
      <c r="I132" s="62"/>
      <c r="J132" s="49">
        <f>IF(AND(ISBLANK(G132),ISBLANK(H132),ISBLANK(I132)),VLOOKUP(TEXT(D132,"TTT"),Stammdaten!$B$20:$F$26,5,FALSE),H132-G132-I132)-IF(ISERROR(VLOOKUP(D132,Stammdaten!$I$9:$J$26,2,FALSE)),0,VLOOKUP(D132,Stammdaten!$I$9:$J$26,2,FALSE)/24)</f>
        <v>0</v>
      </c>
    </row>
    <row r="133" spans="2:10" x14ac:dyDescent="0.3">
      <c r="B133" s="50" t="str">
        <f t="shared" si="6"/>
        <v/>
      </c>
      <c r="C133" s="42" t="str">
        <f t="shared" si="5"/>
        <v/>
      </c>
      <c r="D133" s="60"/>
      <c r="E133" s="63"/>
      <c r="F133" s="61"/>
      <c r="G133" s="62"/>
      <c r="H133" s="62"/>
      <c r="I133" s="62"/>
      <c r="J133" s="49">
        <f>IF(AND(ISBLANK(G133),ISBLANK(H133),ISBLANK(I133)),VLOOKUP(TEXT(D133,"TTT"),Stammdaten!$B$20:$F$26,5,FALSE),H133-G133-I133)-IF(ISERROR(VLOOKUP(D133,Stammdaten!$I$9:$J$26,2,FALSE)),0,VLOOKUP(D133,Stammdaten!$I$9:$J$26,2,FALSE)/24)</f>
        <v>0</v>
      </c>
    </row>
    <row r="134" spans="2:10" x14ac:dyDescent="0.3">
      <c r="B134" s="50" t="str">
        <f t="shared" si="6"/>
        <v/>
      </c>
      <c r="C134" s="42" t="str">
        <f t="shared" si="5"/>
        <v/>
      </c>
      <c r="D134" s="60"/>
      <c r="E134" s="63"/>
      <c r="F134" s="61"/>
      <c r="G134" s="62"/>
      <c r="H134" s="62"/>
      <c r="I134" s="62"/>
      <c r="J134" s="49">
        <f>IF(AND(ISBLANK(G134),ISBLANK(H134),ISBLANK(I134)),VLOOKUP(TEXT(D134,"TTT"),Stammdaten!$B$20:$F$26,5,FALSE),H134-G134-I134)-IF(ISERROR(VLOOKUP(D134,Stammdaten!$I$9:$J$26,2,FALSE)),0,VLOOKUP(D134,Stammdaten!$I$9:$J$26,2,FALSE)/24)</f>
        <v>0</v>
      </c>
    </row>
    <row r="135" spans="2:10" x14ac:dyDescent="0.3">
      <c r="B135" s="50" t="str">
        <f t="shared" si="6"/>
        <v/>
      </c>
      <c r="C135" s="42" t="str">
        <f t="shared" si="5"/>
        <v/>
      </c>
      <c r="D135" s="60"/>
      <c r="E135" s="63"/>
      <c r="F135" s="61"/>
      <c r="G135" s="62"/>
      <c r="H135" s="62"/>
      <c r="I135" s="62"/>
      <c r="J135" s="49">
        <f>IF(AND(ISBLANK(G135),ISBLANK(H135),ISBLANK(I135)),VLOOKUP(TEXT(D135,"TTT"),Stammdaten!$B$20:$F$26,5,FALSE),H135-G135-I135)-IF(ISERROR(VLOOKUP(D135,Stammdaten!$I$9:$J$26,2,FALSE)),0,VLOOKUP(D135,Stammdaten!$I$9:$J$26,2,FALSE)/24)</f>
        <v>0</v>
      </c>
    </row>
    <row r="136" spans="2:10" x14ac:dyDescent="0.3">
      <c r="B136" s="50" t="str">
        <f t="shared" si="6"/>
        <v/>
      </c>
      <c r="C136" s="42" t="str">
        <f t="shared" si="5"/>
        <v/>
      </c>
      <c r="D136" s="60"/>
      <c r="E136" s="63"/>
      <c r="F136" s="61"/>
      <c r="G136" s="62"/>
      <c r="H136" s="62"/>
      <c r="I136" s="62"/>
      <c r="J136" s="49">
        <f>IF(AND(ISBLANK(G136),ISBLANK(H136),ISBLANK(I136)),VLOOKUP(TEXT(D136,"TTT"),Stammdaten!$B$20:$F$26,5,FALSE),H136-G136-I136)-IF(ISERROR(VLOOKUP(D136,Stammdaten!$I$9:$J$26,2,FALSE)),0,VLOOKUP(D136,Stammdaten!$I$9:$J$26,2,FALSE)/24)</f>
        <v>0</v>
      </c>
    </row>
    <row r="137" spans="2:10" x14ac:dyDescent="0.3">
      <c r="B137" s="50" t="str">
        <f t="shared" si="6"/>
        <v/>
      </c>
      <c r="C137" s="42" t="str">
        <f t="shared" si="5"/>
        <v/>
      </c>
      <c r="D137" s="60"/>
      <c r="E137" s="63"/>
      <c r="F137" s="61"/>
      <c r="G137" s="62"/>
      <c r="H137" s="62"/>
      <c r="I137" s="62"/>
      <c r="J137" s="49">
        <f>IF(AND(ISBLANK(G137),ISBLANK(H137),ISBLANK(I137)),VLOOKUP(TEXT(D137,"TTT"),Stammdaten!$B$20:$F$26,5,FALSE),H137-G137-I137)-IF(ISERROR(VLOOKUP(D137,Stammdaten!$I$9:$J$26,2,FALSE)),0,VLOOKUP(D137,Stammdaten!$I$9:$J$26,2,FALSE)/24)</f>
        <v>0</v>
      </c>
    </row>
    <row r="138" spans="2:10" x14ac:dyDescent="0.3">
      <c r="B138" s="50" t="str">
        <f t="shared" si="6"/>
        <v/>
      </c>
      <c r="C138" s="42" t="str">
        <f t="shared" si="5"/>
        <v/>
      </c>
      <c r="D138" s="60"/>
      <c r="E138" s="63"/>
      <c r="F138" s="61"/>
      <c r="G138" s="62"/>
      <c r="H138" s="62"/>
      <c r="I138" s="62"/>
      <c r="J138" s="49">
        <f>IF(AND(ISBLANK(G138),ISBLANK(H138),ISBLANK(I138)),VLOOKUP(TEXT(D138,"TTT"),Stammdaten!$B$20:$F$26,5,FALSE),H138-G138-I138)-IF(ISERROR(VLOOKUP(D138,Stammdaten!$I$9:$J$26,2,FALSE)),0,VLOOKUP(D138,Stammdaten!$I$9:$J$26,2,FALSE)/24)</f>
        <v>0</v>
      </c>
    </row>
    <row r="139" spans="2:10" x14ac:dyDescent="0.3">
      <c r="B139" s="50" t="str">
        <f t="shared" si="6"/>
        <v/>
      </c>
      <c r="C139" s="42" t="str">
        <f t="shared" si="5"/>
        <v/>
      </c>
      <c r="D139" s="60"/>
      <c r="E139" s="63"/>
      <c r="F139" s="61"/>
      <c r="G139" s="62"/>
      <c r="H139" s="62"/>
      <c r="I139" s="62"/>
      <c r="J139" s="49">
        <f>IF(AND(ISBLANK(G139),ISBLANK(H139),ISBLANK(I139)),VLOOKUP(TEXT(D139,"TTT"),Stammdaten!$B$20:$F$26,5,FALSE),H139-G139-I139)-IF(ISERROR(VLOOKUP(D139,Stammdaten!$I$9:$J$26,2,FALSE)),0,VLOOKUP(D139,Stammdaten!$I$9:$J$26,2,FALSE)/24)</f>
        <v>0</v>
      </c>
    </row>
    <row r="140" spans="2:10" x14ac:dyDescent="0.3">
      <c r="B140" s="50" t="str">
        <f t="shared" si="6"/>
        <v/>
      </c>
      <c r="C140" s="42" t="str">
        <f t="shared" si="5"/>
        <v/>
      </c>
      <c r="D140" s="60"/>
      <c r="E140" s="63"/>
      <c r="F140" s="61"/>
      <c r="G140" s="62"/>
      <c r="H140" s="62"/>
      <c r="I140" s="62"/>
      <c r="J140" s="49">
        <f>IF(AND(ISBLANK(G140),ISBLANK(H140),ISBLANK(I140)),VLOOKUP(TEXT(D140,"TTT"),Stammdaten!$B$20:$F$26,5,FALSE),H140-G140-I140)-IF(ISERROR(VLOOKUP(D140,Stammdaten!$I$9:$J$26,2,FALSE)),0,VLOOKUP(D140,Stammdaten!$I$9:$J$26,2,FALSE)/24)</f>
        <v>0</v>
      </c>
    </row>
    <row r="141" spans="2:10" x14ac:dyDescent="0.3">
      <c r="B141" s="50" t="str">
        <f t="shared" si="6"/>
        <v/>
      </c>
      <c r="C141" s="42" t="str">
        <f t="shared" si="5"/>
        <v/>
      </c>
      <c r="D141" s="60"/>
      <c r="E141" s="63"/>
      <c r="F141" s="61"/>
      <c r="G141" s="62"/>
      <c r="H141" s="62"/>
      <c r="I141" s="62"/>
      <c r="J141" s="49">
        <f>IF(AND(ISBLANK(G141),ISBLANK(H141),ISBLANK(I141)),VLOOKUP(TEXT(D141,"TTT"),Stammdaten!$B$20:$F$26,5,FALSE),H141-G141-I141)-IF(ISERROR(VLOOKUP(D141,Stammdaten!$I$9:$J$26,2,FALSE)),0,VLOOKUP(D141,Stammdaten!$I$9:$J$26,2,FALSE)/24)</f>
        <v>0</v>
      </c>
    </row>
    <row r="142" spans="2:10" x14ac:dyDescent="0.3">
      <c r="B142" s="50" t="str">
        <f t="shared" si="6"/>
        <v/>
      </c>
      <c r="C142" s="42" t="str">
        <f t="shared" si="5"/>
        <v/>
      </c>
      <c r="D142" s="60"/>
      <c r="E142" s="63"/>
      <c r="F142" s="61"/>
      <c r="G142" s="62"/>
      <c r="H142" s="62"/>
      <c r="I142" s="62"/>
      <c r="J142" s="49">
        <f>IF(AND(ISBLANK(G142),ISBLANK(H142),ISBLANK(I142)),VLOOKUP(TEXT(D142,"TTT"),Stammdaten!$B$20:$F$26,5,FALSE),H142-G142-I142)-IF(ISERROR(VLOOKUP(D142,Stammdaten!$I$9:$J$26,2,FALSE)),0,VLOOKUP(D142,Stammdaten!$I$9:$J$26,2,FALSE)/24)</f>
        <v>0</v>
      </c>
    </row>
    <row r="143" spans="2:10" x14ac:dyDescent="0.3">
      <c r="B143" s="50" t="str">
        <f t="shared" si="6"/>
        <v/>
      </c>
      <c r="C143" s="42" t="str">
        <f t="shared" si="5"/>
        <v/>
      </c>
      <c r="D143" s="60"/>
      <c r="E143" s="63"/>
      <c r="F143" s="61"/>
      <c r="G143" s="62"/>
      <c r="H143" s="62"/>
      <c r="I143" s="62"/>
      <c r="J143" s="49">
        <f>IF(AND(ISBLANK(G143),ISBLANK(H143),ISBLANK(I143)),VLOOKUP(TEXT(D143,"TTT"),Stammdaten!$B$20:$F$26,5,FALSE),H143-G143-I143)-IF(ISERROR(VLOOKUP(D143,Stammdaten!$I$9:$J$26,2,FALSE)),0,VLOOKUP(D143,Stammdaten!$I$9:$J$26,2,FALSE)/24)</f>
        <v>0</v>
      </c>
    </row>
    <row r="144" spans="2:10" x14ac:dyDescent="0.3">
      <c r="B144" s="50" t="str">
        <f t="shared" si="6"/>
        <v/>
      </c>
      <c r="C144" s="42" t="str">
        <f t="shared" si="5"/>
        <v/>
      </c>
      <c r="D144" s="60"/>
      <c r="E144" s="63"/>
      <c r="F144" s="61"/>
      <c r="G144" s="62"/>
      <c r="H144" s="62"/>
      <c r="I144" s="62"/>
      <c r="J144" s="49">
        <f>IF(AND(ISBLANK(G144),ISBLANK(H144),ISBLANK(I144)),VLOOKUP(TEXT(D144,"TTT"),Stammdaten!$B$20:$F$26,5,FALSE),H144-G144-I144)-IF(ISERROR(VLOOKUP(D144,Stammdaten!$I$9:$J$26,2,FALSE)),0,VLOOKUP(D144,Stammdaten!$I$9:$J$26,2,FALSE)/24)</f>
        <v>0</v>
      </c>
    </row>
    <row r="145" spans="2:10" x14ac:dyDescent="0.3">
      <c r="B145" s="50" t="str">
        <f t="shared" si="6"/>
        <v/>
      </c>
      <c r="C145" s="42" t="str">
        <f t="shared" si="5"/>
        <v/>
      </c>
      <c r="D145" s="60"/>
      <c r="E145" s="63"/>
      <c r="F145" s="61"/>
      <c r="G145" s="62"/>
      <c r="H145" s="62"/>
      <c r="I145" s="62"/>
      <c r="J145" s="49">
        <f>IF(AND(ISBLANK(G145),ISBLANK(H145),ISBLANK(I145)),VLOOKUP(TEXT(D145,"TTT"),Stammdaten!$B$20:$F$26,5,FALSE),H145-G145-I145)-IF(ISERROR(VLOOKUP(D145,Stammdaten!$I$9:$J$26,2,FALSE)),0,VLOOKUP(D145,Stammdaten!$I$9:$J$26,2,FALSE)/24)</f>
        <v>0</v>
      </c>
    </row>
    <row r="146" spans="2:10" x14ac:dyDescent="0.3">
      <c r="B146" s="50" t="str">
        <f t="shared" si="6"/>
        <v/>
      </c>
      <c r="C146" s="42" t="str">
        <f t="shared" si="5"/>
        <v/>
      </c>
      <c r="D146" s="60"/>
      <c r="E146" s="63"/>
      <c r="F146" s="61"/>
      <c r="G146" s="62"/>
      <c r="H146" s="62"/>
      <c r="I146" s="62"/>
      <c r="J146" s="49">
        <f>IF(AND(ISBLANK(G146),ISBLANK(H146),ISBLANK(I146)),VLOOKUP(TEXT(D146,"TTT"),Stammdaten!$B$20:$F$26,5,FALSE),H146-G146-I146)-IF(ISERROR(VLOOKUP(D146,Stammdaten!$I$9:$J$26,2,FALSE)),0,VLOOKUP(D146,Stammdaten!$I$9:$J$26,2,FALSE)/24)</f>
        <v>0</v>
      </c>
    </row>
    <row r="147" spans="2:10" x14ac:dyDescent="0.3">
      <c r="B147" s="50" t="str">
        <f t="shared" si="6"/>
        <v/>
      </c>
      <c r="C147" s="42" t="str">
        <f t="shared" si="5"/>
        <v/>
      </c>
      <c r="D147" s="60"/>
      <c r="E147" s="63"/>
      <c r="F147" s="61"/>
      <c r="G147" s="62"/>
      <c r="H147" s="62"/>
      <c r="I147" s="62"/>
      <c r="J147" s="49">
        <f>IF(AND(ISBLANK(G147),ISBLANK(H147),ISBLANK(I147)),VLOOKUP(TEXT(D147,"TTT"),Stammdaten!$B$20:$F$26,5,FALSE),H147-G147-I147)-IF(ISERROR(VLOOKUP(D147,Stammdaten!$I$9:$J$26,2,FALSE)),0,VLOOKUP(D147,Stammdaten!$I$9:$J$26,2,FALSE)/24)</f>
        <v>0</v>
      </c>
    </row>
    <row r="148" spans="2:10" x14ac:dyDescent="0.3">
      <c r="B148" s="50" t="str">
        <f t="shared" si="6"/>
        <v/>
      </c>
      <c r="C148" s="42" t="str">
        <f t="shared" si="5"/>
        <v/>
      </c>
      <c r="D148" s="60"/>
      <c r="E148" s="63"/>
      <c r="F148" s="61"/>
      <c r="G148" s="62"/>
      <c r="H148" s="62"/>
      <c r="I148" s="62"/>
      <c r="J148" s="49">
        <f>IF(AND(ISBLANK(G148),ISBLANK(H148),ISBLANK(I148)),VLOOKUP(TEXT(D148,"TTT"),Stammdaten!$B$20:$F$26,5,FALSE),H148-G148-I148)-IF(ISERROR(VLOOKUP(D148,Stammdaten!$I$9:$J$26,2,FALSE)),0,VLOOKUP(D148,Stammdaten!$I$9:$J$26,2,FALSE)/24)</f>
        <v>0</v>
      </c>
    </row>
    <row r="149" spans="2:10" x14ac:dyDescent="0.3">
      <c r="B149" s="50" t="str">
        <f t="shared" si="6"/>
        <v/>
      </c>
      <c r="C149" s="42" t="str">
        <f t="shared" si="5"/>
        <v/>
      </c>
      <c r="D149" s="60"/>
      <c r="E149" s="63"/>
      <c r="F149" s="61"/>
      <c r="G149" s="62"/>
      <c r="H149" s="62"/>
      <c r="I149" s="62"/>
      <c r="J149" s="49">
        <f>IF(AND(ISBLANK(G149),ISBLANK(H149),ISBLANK(I149)),VLOOKUP(TEXT(D149,"TTT"),Stammdaten!$B$20:$F$26,5,FALSE),H149-G149-I149)-IF(ISERROR(VLOOKUP(D149,Stammdaten!$I$9:$J$26,2,FALSE)),0,VLOOKUP(D149,Stammdaten!$I$9:$J$26,2,FALSE)/24)</f>
        <v>0</v>
      </c>
    </row>
    <row r="150" spans="2:10" x14ac:dyDescent="0.3">
      <c r="B150" s="50" t="str">
        <f t="shared" si="6"/>
        <v/>
      </c>
      <c r="C150" s="42" t="str">
        <f t="shared" si="5"/>
        <v/>
      </c>
      <c r="D150" s="60"/>
      <c r="E150" s="63"/>
      <c r="F150" s="61"/>
      <c r="G150" s="62"/>
      <c r="H150" s="62"/>
      <c r="I150" s="62"/>
      <c r="J150" s="49">
        <f>IF(AND(ISBLANK(G150),ISBLANK(H150),ISBLANK(I150)),VLOOKUP(TEXT(D150,"TTT"),Stammdaten!$B$20:$F$26,5,FALSE),H150-G150-I150)-IF(ISERROR(VLOOKUP(D150,Stammdaten!$I$9:$J$26,2,FALSE)),0,VLOOKUP(D150,Stammdaten!$I$9:$J$26,2,FALSE)/24)</f>
        <v>0</v>
      </c>
    </row>
    <row r="151" spans="2:10" x14ac:dyDescent="0.3">
      <c r="B151" s="50" t="str">
        <f t="shared" si="6"/>
        <v/>
      </c>
      <c r="C151" s="42" t="str">
        <f t="shared" si="5"/>
        <v/>
      </c>
      <c r="D151" s="60"/>
      <c r="E151" s="63"/>
      <c r="F151" s="61"/>
      <c r="G151" s="62"/>
      <c r="H151" s="62"/>
      <c r="I151" s="62"/>
      <c r="J151" s="49">
        <f>IF(AND(ISBLANK(G151),ISBLANK(H151),ISBLANK(I151)),VLOOKUP(TEXT(D151,"TTT"),Stammdaten!$B$20:$F$26,5,FALSE),H151-G151-I151)-IF(ISERROR(VLOOKUP(D151,Stammdaten!$I$9:$J$26,2,FALSE)),0,VLOOKUP(D151,Stammdaten!$I$9:$J$26,2,FALSE)/24)</f>
        <v>0</v>
      </c>
    </row>
    <row r="152" spans="2:10" x14ac:dyDescent="0.3">
      <c r="B152" s="50" t="str">
        <f t="shared" si="6"/>
        <v/>
      </c>
      <c r="C152" s="42" t="str">
        <f t="shared" si="5"/>
        <v/>
      </c>
      <c r="D152" s="60"/>
      <c r="E152" s="63"/>
      <c r="F152" s="61"/>
      <c r="G152" s="62"/>
      <c r="H152" s="62"/>
      <c r="I152" s="62"/>
      <c r="J152" s="49">
        <f>IF(AND(ISBLANK(G152),ISBLANK(H152),ISBLANK(I152)),VLOOKUP(TEXT(D152,"TTT"),Stammdaten!$B$20:$F$26,5,FALSE),H152-G152-I152)-IF(ISERROR(VLOOKUP(D152,Stammdaten!$I$9:$J$26,2,FALSE)),0,VLOOKUP(D152,Stammdaten!$I$9:$J$26,2,FALSE)/24)</f>
        <v>0</v>
      </c>
    </row>
    <row r="153" spans="2:10" x14ac:dyDescent="0.3">
      <c r="B153" s="50" t="str">
        <f t="shared" si="6"/>
        <v/>
      </c>
      <c r="C153" s="42" t="str">
        <f t="shared" si="5"/>
        <v/>
      </c>
      <c r="D153" s="60"/>
      <c r="E153" s="63"/>
      <c r="F153" s="61"/>
      <c r="G153" s="62"/>
      <c r="H153" s="62"/>
      <c r="I153" s="62"/>
      <c r="J153" s="49">
        <f>IF(AND(ISBLANK(G153),ISBLANK(H153),ISBLANK(I153)),VLOOKUP(TEXT(D153,"TTT"),Stammdaten!$B$20:$F$26,5,FALSE),H153-G153-I153)-IF(ISERROR(VLOOKUP(D153,Stammdaten!$I$9:$J$26,2,FALSE)),0,VLOOKUP(D153,Stammdaten!$I$9:$J$26,2,FALSE)/24)</f>
        <v>0</v>
      </c>
    </row>
    <row r="154" spans="2:10" x14ac:dyDescent="0.3">
      <c r="B154" s="50" t="str">
        <f t="shared" si="6"/>
        <v/>
      </c>
      <c r="C154" s="42" t="str">
        <f t="shared" si="5"/>
        <v/>
      </c>
      <c r="D154" s="60"/>
      <c r="E154" s="63"/>
      <c r="F154" s="61"/>
      <c r="G154" s="62"/>
      <c r="H154" s="62"/>
      <c r="I154" s="62"/>
      <c r="J154" s="49">
        <f>IF(AND(ISBLANK(G154),ISBLANK(H154),ISBLANK(I154)),VLOOKUP(TEXT(D154,"TTT"),Stammdaten!$B$20:$F$26,5,FALSE),H154-G154-I154)-IF(ISERROR(VLOOKUP(D154,Stammdaten!$I$9:$J$26,2,FALSE)),0,VLOOKUP(D154,Stammdaten!$I$9:$J$26,2,FALSE)/24)</f>
        <v>0</v>
      </c>
    </row>
    <row r="155" spans="2:10" x14ac:dyDescent="0.3">
      <c r="B155" s="50" t="str">
        <f t="shared" si="6"/>
        <v/>
      </c>
      <c r="C155" s="42" t="str">
        <f t="shared" si="5"/>
        <v/>
      </c>
      <c r="D155" s="60"/>
      <c r="E155" s="63"/>
      <c r="F155" s="61"/>
      <c r="G155" s="62"/>
      <c r="H155" s="62"/>
      <c r="I155" s="62"/>
      <c r="J155" s="49">
        <f>IF(AND(ISBLANK(G155),ISBLANK(H155),ISBLANK(I155)),VLOOKUP(TEXT(D155,"TTT"),Stammdaten!$B$20:$F$26,5,FALSE),H155-G155-I155)-IF(ISERROR(VLOOKUP(D155,Stammdaten!$I$9:$J$26,2,FALSE)),0,VLOOKUP(D155,Stammdaten!$I$9:$J$26,2,FALSE)/24)</f>
        <v>0</v>
      </c>
    </row>
    <row r="156" spans="2:10" x14ac:dyDescent="0.3">
      <c r="B156" s="50" t="str">
        <f t="shared" si="6"/>
        <v/>
      </c>
      <c r="C156" s="42" t="str">
        <f t="shared" si="5"/>
        <v/>
      </c>
      <c r="D156" s="60"/>
      <c r="E156" s="63"/>
      <c r="F156" s="61"/>
      <c r="G156" s="62"/>
      <c r="H156" s="62"/>
      <c r="I156" s="62"/>
      <c r="J156" s="49">
        <f>IF(AND(ISBLANK(G156),ISBLANK(H156),ISBLANK(I156)),VLOOKUP(TEXT(D156,"TTT"),Stammdaten!$B$20:$F$26,5,FALSE),H156-G156-I156)-IF(ISERROR(VLOOKUP(D156,Stammdaten!$I$9:$J$26,2,FALSE)),0,VLOOKUP(D156,Stammdaten!$I$9:$J$26,2,FALSE)/24)</f>
        <v>0</v>
      </c>
    </row>
    <row r="157" spans="2:10" x14ac:dyDescent="0.3">
      <c r="B157" s="50" t="str">
        <f t="shared" si="6"/>
        <v/>
      </c>
      <c r="C157" s="42" t="str">
        <f t="shared" si="5"/>
        <v/>
      </c>
      <c r="D157" s="60"/>
      <c r="E157" s="63"/>
      <c r="F157" s="61"/>
      <c r="G157" s="62"/>
      <c r="H157" s="62"/>
      <c r="I157" s="62"/>
      <c r="J157" s="49">
        <f>IF(AND(ISBLANK(G157),ISBLANK(H157),ISBLANK(I157)),VLOOKUP(TEXT(D157,"TTT"),Stammdaten!$B$20:$F$26,5,FALSE),H157-G157-I157)-IF(ISERROR(VLOOKUP(D157,Stammdaten!$I$9:$J$26,2,FALSE)),0,VLOOKUP(D157,Stammdaten!$I$9:$J$26,2,FALSE)/24)</f>
        <v>0</v>
      </c>
    </row>
    <row r="158" spans="2:10" x14ac:dyDescent="0.3">
      <c r="B158" s="50" t="str">
        <f t="shared" si="6"/>
        <v/>
      </c>
      <c r="C158" s="42" t="str">
        <f t="shared" si="5"/>
        <v/>
      </c>
      <c r="D158" s="60"/>
      <c r="E158" s="63"/>
      <c r="F158" s="61"/>
      <c r="G158" s="62"/>
      <c r="H158" s="62"/>
      <c r="I158" s="62"/>
      <c r="J158" s="49">
        <f>IF(AND(ISBLANK(G158),ISBLANK(H158),ISBLANK(I158)),VLOOKUP(TEXT(D158,"TTT"),Stammdaten!$B$20:$F$26,5,FALSE),H158-G158-I158)-IF(ISERROR(VLOOKUP(D158,Stammdaten!$I$9:$J$26,2,FALSE)),0,VLOOKUP(D158,Stammdaten!$I$9:$J$26,2,FALSE)/24)</f>
        <v>0</v>
      </c>
    </row>
    <row r="159" spans="2:10" x14ac:dyDescent="0.3">
      <c r="B159" s="50" t="str">
        <f t="shared" si="6"/>
        <v/>
      </c>
      <c r="C159" s="42" t="str">
        <f t="shared" si="5"/>
        <v/>
      </c>
      <c r="D159" s="60"/>
      <c r="E159" s="63"/>
      <c r="F159" s="61"/>
      <c r="G159" s="62"/>
      <c r="H159" s="62"/>
      <c r="I159" s="62"/>
      <c r="J159" s="49">
        <f>IF(AND(ISBLANK(G159),ISBLANK(H159),ISBLANK(I159)),VLOOKUP(TEXT(D159,"TTT"),Stammdaten!$B$20:$F$26,5,FALSE),H159-G159-I159)-IF(ISERROR(VLOOKUP(D159,Stammdaten!$I$9:$J$26,2,FALSE)),0,VLOOKUP(D159,Stammdaten!$I$9:$J$26,2,FALSE)/24)</f>
        <v>0</v>
      </c>
    </row>
    <row r="160" spans="2:10" x14ac:dyDescent="0.3">
      <c r="B160" s="50" t="str">
        <f t="shared" si="6"/>
        <v/>
      </c>
      <c r="C160" s="42" t="str">
        <f t="shared" si="5"/>
        <v/>
      </c>
      <c r="D160" s="60"/>
      <c r="E160" s="63"/>
      <c r="F160" s="61"/>
      <c r="G160" s="62"/>
      <c r="H160" s="62"/>
      <c r="I160" s="62"/>
      <c r="J160" s="49">
        <f>IF(AND(ISBLANK(G160),ISBLANK(H160),ISBLANK(I160)),VLOOKUP(TEXT(D160,"TTT"),Stammdaten!$B$20:$F$26,5,FALSE),H160-G160-I160)-IF(ISERROR(VLOOKUP(D160,Stammdaten!$I$9:$J$26,2,FALSE)),0,VLOOKUP(D160,Stammdaten!$I$9:$J$26,2,FALSE)/24)</f>
        <v>0</v>
      </c>
    </row>
    <row r="161" spans="2:10" x14ac:dyDescent="0.3">
      <c r="B161" s="50" t="str">
        <f t="shared" si="6"/>
        <v/>
      </c>
      <c r="C161" s="42" t="str">
        <f t="shared" si="5"/>
        <v/>
      </c>
      <c r="D161" s="60"/>
      <c r="E161" s="63"/>
      <c r="F161" s="61"/>
      <c r="G161" s="62"/>
      <c r="H161" s="62"/>
      <c r="I161" s="62"/>
      <c r="J161" s="49">
        <f>IF(AND(ISBLANK(G161),ISBLANK(H161),ISBLANK(I161)),VLOOKUP(TEXT(D161,"TTT"),Stammdaten!$B$20:$F$26,5,FALSE),H161-G161-I161)-IF(ISERROR(VLOOKUP(D161,Stammdaten!$I$9:$J$26,2,FALSE)),0,VLOOKUP(D161,Stammdaten!$I$9:$J$26,2,FALSE)/24)</f>
        <v>0</v>
      </c>
    </row>
    <row r="162" spans="2:10" x14ac:dyDescent="0.3">
      <c r="B162" s="50" t="str">
        <f t="shared" si="6"/>
        <v/>
      </c>
      <c r="C162" s="42" t="str">
        <f t="shared" si="5"/>
        <v/>
      </c>
      <c r="D162" s="60"/>
      <c r="E162" s="63"/>
      <c r="F162" s="61"/>
      <c r="G162" s="62"/>
      <c r="H162" s="62"/>
      <c r="I162" s="62"/>
      <c r="J162" s="49">
        <f>IF(AND(ISBLANK(G162),ISBLANK(H162),ISBLANK(I162)),VLOOKUP(TEXT(D162,"TTT"),Stammdaten!$B$20:$F$26,5,FALSE),H162-G162-I162)-IF(ISERROR(VLOOKUP(D162,Stammdaten!$I$9:$J$26,2,FALSE)),0,VLOOKUP(D162,Stammdaten!$I$9:$J$26,2,FALSE)/24)</f>
        <v>0</v>
      </c>
    </row>
    <row r="163" spans="2:10" x14ac:dyDescent="0.3">
      <c r="B163" s="50" t="str">
        <f t="shared" si="6"/>
        <v/>
      </c>
      <c r="C163" s="42" t="str">
        <f t="shared" si="5"/>
        <v/>
      </c>
      <c r="D163" s="60"/>
      <c r="E163" s="63"/>
      <c r="F163" s="61"/>
      <c r="G163" s="62"/>
      <c r="H163" s="62"/>
      <c r="I163" s="62"/>
      <c r="J163" s="49">
        <f>IF(AND(ISBLANK(G163),ISBLANK(H163),ISBLANK(I163)),VLOOKUP(TEXT(D163,"TTT"),Stammdaten!$B$20:$F$26,5,FALSE),H163-G163-I163)-IF(ISERROR(VLOOKUP(D163,Stammdaten!$I$9:$J$26,2,FALSE)),0,VLOOKUP(D163,Stammdaten!$I$9:$J$26,2,FALSE)/24)</f>
        <v>0</v>
      </c>
    </row>
    <row r="164" spans="2:10" x14ac:dyDescent="0.3">
      <c r="B164" s="50" t="str">
        <f t="shared" si="6"/>
        <v/>
      </c>
      <c r="C164" s="42" t="str">
        <f t="shared" si="5"/>
        <v/>
      </c>
      <c r="D164" s="60"/>
      <c r="E164" s="63"/>
      <c r="F164" s="61"/>
      <c r="G164" s="62"/>
      <c r="H164" s="62"/>
      <c r="I164" s="62"/>
      <c r="J164" s="49">
        <f>IF(AND(ISBLANK(G164),ISBLANK(H164),ISBLANK(I164)),VLOOKUP(TEXT(D164,"TTT"),Stammdaten!$B$20:$F$26,5,FALSE),H164-G164-I164)-IF(ISERROR(VLOOKUP(D164,Stammdaten!$I$9:$J$26,2,FALSE)),0,VLOOKUP(D164,Stammdaten!$I$9:$J$26,2,FALSE)/24)</f>
        <v>0</v>
      </c>
    </row>
    <row r="165" spans="2:10" x14ac:dyDescent="0.3">
      <c r="B165" s="50" t="str">
        <f t="shared" si="6"/>
        <v/>
      </c>
      <c r="C165" s="42" t="str">
        <f t="shared" si="5"/>
        <v/>
      </c>
      <c r="D165" s="60"/>
      <c r="E165" s="63"/>
      <c r="F165" s="61"/>
      <c r="G165" s="62"/>
      <c r="H165" s="62"/>
      <c r="I165" s="62"/>
      <c r="J165" s="49">
        <f>IF(AND(ISBLANK(G165),ISBLANK(H165),ISBLANK(I165)),VLOOKUP(TEXT(D165,"TTT"),Stammdaten!$B$20:$F$26,5,FALSE),H165-G165-I165)-IF(ISERROR(VLOOKUP(D165,Stammdaten!$I$9:$J$26,2,FALSE)),0,VLOOKUP(D165,Stammdaten!$I$9:$J$26,2,FALSE)/24)</f>
        <v>0</v>
      </c>
    </row>
    <row r="166" spans="2:10" x14ac:dyDescent="0.3">
      <c r="B166" s="50" t="str">
        <f t="shared" si="6"/>
        <v/>
      </c>
      <c r="C166" s="42" t="str">
        <f t="shared" si="5"/>
        <v/>
      </c>
      <c r="D166" s="60"/>
      <c r="E166" s="63"/>
      <c r="F166" s="61"/>
      <c r="G166" s="62"/>
      <c r="H166" s="62"/>
      <c r="I166" s="62"/>
      <c r="J166" s="49">
        <f>IF(AND(ISBLANK(G166),ISBLANK(H166),ISBLANK(I166)),VLOOKUP(TEXT(D166,"TTT"),Stammdaten!$B$20:$F$26,5,FALSE),H166-G166-I166)-IF(ISERROR(VLOOKUP(D166,Stammdaten!$I$9:$J$26,2,FALSE)),0,VLOOKUP(D166,Stammdaten!$I$9:$J$26,2,FALSE)/24)</f>
        <v>0</v>
      </c>
    </row>
    <row r="167" spans="2:10" x14ac:dyDescent="0.3">
      <c r="B167" s="50" t="str">
        <f t="shared" si="6"/>
        <v/>
      </c>
      <c r="C167" s="42" t="str">
        <f t="shared" si="5"/>
        <v/>
      </c>
      <c r="D167" s="60"/>
      <c r="E167" s="63"/>
      <c r="F167" s="61"/>
      <c r="G167" s="62"/>
      <c r="H167" s="62"/>
      <c r="I167" s="62"/>
      <c r="J167" s="49">
        <f>IF(AND(ISBLANK(G167),ISBLANK(H167),ISBLANK(I167)),VLOOKUP(TEXT(D167,"TTT"),Stammdaten!$B$20:$F$26,5,FALSE),H167-G167-I167)-IF(ISERROR(VLOOKUP(D167,Stammdaten!$I$9:$J$26,2,FALSE)),0,VLOOKUP(D167,Stammdaten!$I$9:$J$26,2,FALSE)/24)</f>
        <v>0</v>
      </c>
    </row>
    <row r="168" spans="2:10" x14ac:dyDescent="0.3">
      <c r="B168" s="50" t="str">
        <f t="shared" si="6"/>
        <v/>
      </c>
      <c r="C168" s="42" t="str">
        <f t="shared" si="5"/>
        <v/>
      </c>
      <c r="D168" s="60"/>
      <c r="E168" s="63"/>
      <c r="F168" s="61"/>
      <c r="G168" s="62"/>
      <c r="H168" s="62"/>
      <c r="I168" s="62"/>
      <c r="J168" s="49">
        <f>IF(AND(ISBLANK(G168),ISBLANK(H168),ISBLANK(I168)),VLOOKUP(TEXT(D168,"TTT"),Stammdaten!$B$20:$F$26,5,FALSE),H168-G168-I168)-IF(ISERROR(VLOOKUP(D168,Stammdaten!$I$9:$J$26,2,FALSE)),0,VLOOKUP(D168,Stammdaten!$I$9:$J$26,2,FALSE)/24)</f>
        <v>0</v>
      </c>
    </row>
    <row r="169" spans="2:10" x14ac:dyDescent="0.3">
      <c r="B169" s="50" t="str">
        <f t="shared" si="6"/>
        <v/>
      </c>
      <c r="C169" s="42" t="str">
        <f t="shared" si="5"/>
        <v/>
      </c>
      <c r="D169" s="60"/>
      <c r="E169" s="63"/>
      <c r="F169" s="61"/>
      <c r="G169" s="62"/>
      <c r="H169" s="62"/>
      <c r="I169" s="62"/>
      <c r="J169" s="49">
        <f>IF(AND(ISBLANK(G169),ISBLANK(H169),ISBLANK(I169)),VLOOKUP(TEXT(D169,"TTT"),Stammdaten!$B$20:$F$26,5,FALSE),H169-G169-I169)-IF(ISERROR(VLOOKUP(D169,Stammdaten!$I$9:$J$26,2,FALSE)),0,VLOOKUP(D169,Stammdaten!$I$9:$J$26,2,FALSE)/24)</f>
        <v>0</v>
      </c>
    </row>
    <row r="170" spans="2:10" x14ac:dyDescent="0.3">
      <c r="B170" s="50" t="str">
        <f t="shared" si="6"/>
        <v/>
      </c>
      <c r="C170" s="42" t="str">
        <f t="shared" si="5"/>
        <v/>
      </c>
      <c r="D170" s="60"/>
      <c r="E170" s="63"/>
      <c r="F170" s="61"/>
      <c r="G170" s="62"/>
      <c r="H170" s="62"/>
      <c r="I170" s="62"/>
      <c r="J170" s="49">
        <f>IF(AND(ISBLANK(G170),ISBLANK(H170),ISBLANK(I170)),VLOOKUP(TEXT(D170,"TTT"),Stammdaten!$B$20:$F$26,5,FALSE),H170-G170-I170)-IF(ISERROR(VLOOKUP(D170,Stammdaten!$I$9:$J$26,2,FALSE)),0,VLOOKUP(D170,Stammdaten!$I$9:$J$26,2,FALSE)/24)</f>
        <v>0</v>
      </c>
    </row>
    <row r="171" spans="2:10" x14ac:dyDescent="0.3">
      <c r="B171" s="50" t="str">
        <f t="shared" si="6"/>
        <v/>
      </c>
      <c r="C171" s="42" t="str">
        <f t="shared" si="5"/>
        <v/>
      </c>
      <c r="D171" s="60"/>
      <c r="E171" s="63"/>
      <c r="F171" s="61"/>
      <c r="G171" s="62"/>
      <c r="H171" s="62"/>
      <c r="I171" s="62"/>
      <c r="J171" s="49">
        <f>IF(AND(ISBLANK(G171),ISBLANK(H171),ISBLANK(I171)),VLOOKUP(TEXT(D171,"TTT"),Stammdaten!$B$20:$F$26,5,FALSE),H171-G171-I171)-IF(ISERROR(VLOOKUP(D171,Stammdaten!$I$9:$J$26,2,FALSE)),0,VLOOKUP(D171,Stammdaten!$I$9:$J$26,2,FALSE)/24)</f>
        <v>0</v>
      </c>
    </row>
    <row r="172" spans="2:10" x14ac:dyDescent="0.3">
      <c r="B172" s="50" t="str">
        <f t="shared" si="6"/>
        <v/>
      </c>
      <c r="C172" s="42" t="str">
        <f t="shared" si="5"/>
        <v/>
      </c>
      <c r="D172" s="60"/>
      <c r="E172" s="63"/>
      <c r="F172" s="61"/>
      <c r="G172" s="62"/>
      <c r="H172" s="62"/>
      <c r="I172" s="62"/>
      <c r="J172" s="49">
        <f>IF(AND(ISBLANK(G172),ISBLANK(H172),ISBLANK(I172)),VLOOKUP(TEXT(D172,"TTT"),Stammdaten!$B$20:$F$26,5,FALSE),H172-G172-I172)-IF(ISERROR(VLOOKUP(D172,Stammdaten!$I$9:$J$26,2,FALSE)),0,VLOOKUP(D172,Stammdaten!$I$9:$J$26,2,FALSE)/24)</f>
        <v>0</v>
      </c>
    </row>
    <row r="173" spans="2:10" x14ac:dyDescent="0.3">
      <c r="B173" s="50" t="str">
        <f t="shared" si="6"/>
        <v/>
      </c>
      <c r="C173" s="42" t="str">
        <f t="shared" si="5"/>
        <v/>
      </c>
      <c r="D173" s="60"/>
      <c r="E173" s="63"/>
      <c r="F173" s="61"/>
      <c r="G173" s="62"/>
      <c r="H173" s="62"/>
      <c r="I173" s="62"/>
      <c r="J173" s="49">
        <f>IF(AND(ISBLANK(G173),ISBLANK(H173),ISBLANK(I173)),VLOOKUP(TEXT(D173,"TTT"),Stammdaten!$B$20:$F$26,5,FALSE),H173-G173-I173)-IF(ISERROR(VLOOKUP(D173,Stammdaten!$I$9:$J$26,2,FALSE)),0,VLOOKUP(D173,Stammdaten!$I$9:$J$26,2,FALSE)/24)</f>
        <v>0</v>
      </c>
    </row>
    <row r="174" spans="2:10" x14ac:dyDescent="0.3">
      <c r="B174" s="50" t="str">
        <f t="shared" si="6"/>
        <v/>
      </c>
      <c r="C174" s="42" t="str">
        <f t="shared" si="5"/>
        <v/>
      </c>
      <c r="D174" s="60"/>
      <c r="E174" s="63"/>
      <c r="F174" s="61"/>
      <c r="G174" s="62"/>
      <c r="H174" s="62"/>
      <c r="I174" s="62"/>
      <c r="J174" s="49">
        <f>IF(AND(ISBLANK(G174),ISBLANK(H174),ISBLANK(I174)),VLOOKUP(TEXT(D174,"TTT"),Stammdaten!$B$20:$F$26,5,FALSE),H174-G174-I174)-IF(ISERROR(VLOOKUP(D174,Stammdaten!$I$9:$J$26,2,FALSE)),0,VLOOKUP(D174,Stammdaten!$I$9:$J$26,2,FALSE)/24)</f>
        <v>0</v>
      </c>
    </row>
    <row r="175" spans="2:10" x14ac:dyDescent="0.3">
      <c r="B175" s="50" t="str">
        <f t="shared" si="6"/>
        <v/>
      </c>
      <c r="C175" s="42" t="str">
        <f t="shared" si="5"/>
        <v/>
      </c>
      <c r="D175" s="60"/>
      <c r="E175" s="63"/>
      <c r="F175" s="61"/>
      <c r="G175" s="62"/>
      <c r="H175" s="62"/>
      <c r="I175" s="62"/>
      <c r="J175" s="49">
        <f>IF(AND(ISBLANK(G175),ISBLANK(H175),ISBLANK(I175)),VLOOKUP(TEXT(D175,"TTT"),Stammdaten!$B$20:$F$26,5,FALSE),H175-G175-I175)-IF(ISERROR(VLOOKUP(D175,Stammdaten!$I$9:$J$26,2,FALSE)),0,VLOOKUP(D175,Stammdaten!$I$9:$J$26,2,FALSE)/24)</f>
        <v>0</v>
      </c>
    </row>
    <row r="176" spans="2:10" x14ac:dyDescent="0.3">
      <c r="B176" s="50" t="str">
        <f t="shared" si="6"/>
        <v/>
      </c>
      <c r="C176" s="42" t="str">
        <f t="shared" si="5"/>
        <v/>
      </c>
      <c r="D176" s="60"/>
      <c r="E176" s="63"/>
      <c r="F176" s="61"/>
      <c r="G176" s="62"/>
      <c r="H176" s="62"/>
      <c r="I176" s="62"/>
      <c r="J176" s="49">
        <f>IF(AND(ISBLANK(G176),ISBLANK(H176),ISBLANK(I176)),VLOOKUP(TEXT(D176,"TTT"),Stammdaten!$B$20:$F$26,5,FALSE),H176-G176-I176)-IF(ISERROR(VLOOKUP(D176,Stammdaten!$I$9:$J$26,2,FALSE)),0,VLOOKUP(D176,Stammdaten!$I$9:$J$26,2,FALSE)/24)</f>
        <v>0</v>
      </c>
    </row>
    <row r="177" spans="2:10" x14ac:dyDescent="0.3">
      <c r="B177" s="50" t="str">
        <f t="shared" si="6"/>
        <v/>
      </c>
      <c r="C177" s="42" t="str">
        <f t="shared" si="5"/>
        <v/>
      </c>
      <c r="D177" s="60"/>
      <c r="E177" s="63"/>
      <c r="F177" s="61"/>
      <c r="G177" s="62"/>
      <c r="H177" s="62"/>
      <c r="I177" s="62"/>
      <c r="J177" s="49">
        <f>IF(AND(ISBLANK(G177),ISBLANK(H177),ISBLANK(I177)),VLOOKUP(TEXT(D177,"TTT"),Stammdaten!$B$20:$F$26,5,FALSE),H177-G177-I177)-IF(ISERROR(VLOOKUP(D177,Stammdaten!$I$9:$J$26,2,FALSE)),0,VLOOKUP(D177,Stammdaten!$I$9:$J$26,2,FALSE)/24)</f>
        <v>0</v>
      </c>
    </row>
    <row r="178" spans="2:10" x14ac:dyDescent="0.3">
      <c r="B178" s="50" t="str">
        <f t="shared" si="6"/>
        <v/>
      </c>
      <c r="C178" s="42" t="str">
        <f t="shared" si="5"/>
        <v/>
      </c>
      <c r="D178" s="60"/>
      <c r="E178" s="63"/>
      <c r="F178" s="61"/>
      <c r="G178" s="62"/>
      <c r="H178" s="62"/>
      <c r="I178" s="62"/>
      <c r="J178" s="49">
        <f>IF(AND(ISBLANK(G178),ISBLANK(H178),ISBLANK(I178)),VLOOKUP(TEXT(D178,"TTT"),Stammdaten!$B$20:$F$26,5,FALSE),H178-G178-I178)-IF(ISERROR(VLOOKUP(D178,Stammdaten!$I$9:$J$26,2,FALSE)),0,VLOOKUP(D178,Stammdaten!$I$9:$J$26,2,FALSE)/24)</f>
        <v>0</v>
      </c>
    </row>
    <row r="179" spans="2:10" x14ac:dyDescent="0.3">
      <c r="B179" s="50" t="str">
        <f t="shared" si="6"/>
        <v/>
      </c>
      <c r="C179" s="42" t="str">
        <f t="shared" si="5"/>
        <v/>
      </c>
      <c r="D179" s="60"/>
      <c r="E179" s="63"/>
      <c r="F179" s="61"/>
      <c r="G179" s="62"/>
      <c r="H179" s="62"/>
      <c r="I179" s="62"/>
      <c r="J179" s="49">
        <f>IF(AND(ISBLANK(G179),ISBLANK(H179),ISBLANK(I179)),VLOOKUP(TEXT(D179,"TTT"),Stammdaten!$B$20:$F$26,5,FALSE),H179-G179-I179)-IF(ISERROR(VLOOKUP(D179,Stammdaten!$I$9:$J$26,2,FALSE)),0,VLOOKUP(D179,Stammdaten!$I$9:$J$26,2,FALSE)/24)</f>
        <v>0</v>
      </c>
    </row>
    <row r="180" spans="2:10" x14ac:dyDescent="0.3">
      <c r="B180" s="50" t="str">
        <f t="shared" si="6"/>
        <v/>
      </c>
      <c r="C180" s="42" t="str">
        <f t="shared" si="5"/>
        <v/>
      </c>
      <c r="D180" s="60"/>
      <c r="E180" s="63"/>
      <c r="F180" s="61"/>
      <c r="G180" s="62"/>
      <c r="H180" s="62"/>
      <c r="I180" s="62"/>
      <c r="J180" s="49">
        <f>IF(AND(ISBLANK(G180),ISBLANK(H180),ISBLANK(I180)),VLOOKUP(TEXT(D180,"TTT"),Stammdaten!$B$20:$F$26,5,FALSE),H180-G180-I180)-IF(ISERROR(VLOOKUP(D180,Stammdaten!$I$9:$J$26,2,FALSE)),0,VLOOKUP(D180,Stammdaten!$I$9:$J$26,2,FALSE)/24)</f>
        <v>0</v>
      </c>
    </row>
    <row r="181" spans="2:10" x14ac:dyDescent="0.3">
      <c r="B181" s="50" t="str">
        <f t="shared" si="6"/>
        <v/>
      </c>
      <c r="C181" s="42" t="str">
        <f t="shared" si="5"/>
        <v/>
      </c>
      <c r="D181" s="60"/>
      <c r="E181" s="63"/>
      <c r="F181" s="61"/>
      <c r="G181" s="62"/>
      <c r="H181" s="62"/>
      <c r="I181" s="62"/>
      <c r="J181" s="49">
        <f>IF(AND(ISBLANK(G181),ISBLANK(H181),ISBLANK(I181)),VLOOKUP(TEXT(D181,"TTT"),Stammdaten!$B$20:$F$26,5,FALSE),H181-G181-I181)-IF(ISERROR(VLOOKUP(D181,Stammdaten!$I$9:$J$26,2,FALSE)),0,VLOOKUP(D181,Stammdaten!$I$9:$J$26,2,FALSE)/24)</f>
        <v>0</v>
      </c>
    </row>
    <row r="182" spans="2:10" x14ac:dyDescent="0.3">
      <c r="B182" s="50" t="str">
        <f t="shared" si="6"/>
        <v/>
      </c>
      <c r="C182" s="42" t="str">
        <f t="shared" si="5"/>
        <v/>
      </c>
      <c r="D182" s="60"/>
      <c r="E182" s="63"/>
      <c r="F182" s="61"/>
      <c r="G182" s="62"/>
      <c r="H182" s="62"/>
      <c r="I182" s="62"/>
      <c r="J182" s="49">
        <f>IF(AND(ISBLANK(G182),ISBLANK(H182),ISBLANK(I182)),VLOOKUP(TEXT(D182,"TTT"),Stammdaten!$B$20:$F$26,5,FALSE),H182-G182-I182)-IF(ISERROR(VLOOKUP(D182,Stammdaten!$I$9:$J$26,2,FALSE)),0,VLOOKUP(D182,Stammdaten!$I$9:$J$26,2,FALSE)/24)</f>
        <v>0</v>
      </c>
    </row>
    <row r="183" spans="2:10" x14ac:dyDescent="0.3">
      <c r="B183" s="50" t="str">
        <f t="shared" si="6"/>
        <v/>
      </c>
      <c r="C183" s="42" t="str">
        <f t="shared" si="5"/>
        <v/>
      </c>
      <c r="D183" s="60"/>
      <c r="E183" s="63"/>
      <c r="F183" s="61"/>
      <c r="G183" s="62"/>
      <c r="H183" s="62"/>
      <c r="I183" s="62"/>
      <c r="J183" s="49">
        <f>IF(AND(ISBLANK(G183),ISBLANK(H183),ISBLANK(I183)),VLOOKUP(TEXT(D183,"TTT"),Stammdaten!$B$20:$F$26,5,FALSE),H183-G183-I183)-IF(ISERROR(VLOOKUP(D183,Stammdaten!$I$9:$J$26,2,FALSE)),0,VLOOKUP(D183,Stammdaten!$I$9:$J$26,2,FALSE)/24)</f>
        <v>0</v>
      </c>
    </row>
    <row r="184" spans="2:10" x14ac:dyDescent="0.3">
      <c r="B184" s="50" t="str">
        <f t="shared" si="6"/>
        <v/>
      </c>
      <c r="C184" s="42" t="str">
        <f t="shared" si="5"/>
        <v/>
      </c>
      <c r="D184" s="60"/>
      <c r="E184" s="63"/>
      <c r="F184" s="61"/>
      <c r="G184" s="62"/>
      <c r="H184" s="62"/>
      <c r="I184" s="62"/>
      <c r="J184" s="49">
        <f>IF(AND(ISBLANK(G184),ISBLANK(H184),ISBLANK(I184)),VLOOKUP(TEXT(D184,"TTT"),Stammdaten!$B$20:$F$26,5,FALSE),H184-G184-I184)-IF(ISERROR(VLOOKUP(D184,Stammdaten!$I$9:$J$26,2,FALSE)),0,VLOOKUP(D184,Stammdaten!$I$9:$J$26,2,FALSE)/24)</f>
        <v>0</v>
      </c>
    </row>
    <row r="185" spans="2:10" x14ac:dyDescent="0.3">
      <c r="B185" s="50" t="str">
        <f t="shared" si="6"/>
        <v/>
      </c>
      <c r="C185" s="42" t="str">
        <f t="shared" si="5"/>
        <v/>
      </c>
      <c r="D185" s="60"/>
      <c r="E185" s="63"/>
      <c r="F185" s="61"/>
      <c r="G185" s="62"/>
      <c r="H185" s="62"/>
      <c r="I185" s="62"/>
      <c r="J185" s="49">
        <f>IF(AND(ISBLANK(G185),ISBLANK(H185),ISBLANK(I185)),VLOOKUP(TEXT(D185,"TTT"),Stammdaten!$B$20:$F$26,5,FALSE),H185-G185-I185)-IF(ISERROR(VLOOKUP(D185,Stammdaten!$I$9:$J$26,2,FALSE)),0,VLOOKUP(D185,Stammdaten!$I$9:$J$26,2,FALSE)/24)</f>
        <v>0</v>
      </c>
    </row>
    <row r="186" spans="2:10" x14ac:dyDescent="0.3">
      <c r="B186" s="50" t="str">
        <f t="shared" si="6"/>
        <v/>
      </c>
      <c r="C186" s="42" t="str">
        <f t="shared" si="5"/>
        <v/>
      </c>
      <c r="D186" s="60"/>
      <c r="E186" s="63"/>
      <c r="F186" s="61"/>
      <c r="G186" s="62"/>
      <c r="H186" s="62"/>
      <c r="I186" s="62"/>
      <c r="J186" s="49">
        <f>IF(AND(ISBLANK(G186),ISBLANK(H186),ISBLANK(I186)),VLOOKUP(TEXT(D186,"TTT"),Stammdaten!$B$20:$F$26,5,FALSE),H186-G186-I186)-IF(ISERROR(VLOOKUP(D186,Stammdaten!$I$9:$J$26,2,FALSE)),0,VLOOKUP(D186,Stammdaten!$I$9:$J$26,2,FALSE)/24)</f>
        <v>0</v>
      </c>
    </row>
    <row r="187" spans="2:10" x14ac:dyDescent="0.3">
      <c r="B187" s="50" t="str">
        <f t="shared" si="6"/>
        <v/>
      </c>
      <c r="C187" s="42" t="str">
        <f t="shared" si="5"/>
        <v/>
      </c>
      <c r="D187" s="60"/>
      <c r="E187" s="63"/>
      <c r="F187" s="61"/>
      <c r="G187" s="62"/>
      <c r="H187" s="62"/>
      <c r="I187" s="62"/>
      <c r="J187" s="49">
        <f>IF(AND(ISBLANK(G187),ISBLANK(H187),ISBLANK(I187)),VLOOKUP(TEXT(D187,"TTT"),Stammdaten!$B$20:$F$26,5,FALSE),H187-G187-I187)-IF(ISERROR(VLOOKUP(D187,Stammdaten!$I$9:$J$26,2,FALSE)),0,VLOOKUP(D187,Stammdaten!$I$9:$J$26,2,FALSE)/24)</f>
        <v>0</v>
      </c>
    </row>
    <row r="188" spans="2:10" x14ac:dyDescent="0.3">
      <c r="B188" s="50" t="str">
        <f t="shared" si="6"/>
        <v/>
      </c>
      <c r="C188" s="42" t="str">
        <f t="shared" si="5"/>
        <v/>
      </c>
      <c r="D188" s="60"/>
      <c r="E188" s="63"/>
      <c r="F188" s="61"/>
      <c r="G188" s="62"/>
      <c r="H188" s="62"/>
      <c r="I188" s="62"/>
      <c r="J188" s="49">
        <f>IF(AND(ISBLANK(G188),ISBLANK(H188),ISBLANK(I188)),VLOOKUP(TEXT(D188,"TTT"),Stammdaten!$B$20:$F$26,5,FALSE),H188-G188-I188)-IF(ISERROR(VLOOKUP(D188,Stammdaten!$I$9:$J$26,2,FALSE)),0,VLOOKUP(D188,Stammdaten!$I$9:$J$26,2,FALSE)/24)</f>
        <v>0</v>
      </c>
    </row>
    <row r="189" spans="2:10" x14ac:dyDescent="0.3">
      <c r="B189" s="50" t="str">
        <f t="shared" si="6"/>
        <v/>
      </c>
      <c r="C189" s="42" t="str">
        <f t="shared" si="5"/>
        <v/>
      </c>
      <c r="D189" s="60"/>
      <c r="E189" s="63"/>
      <c r="F189" s="61"/>
      <c r="G189" s="62"/>
      <c r="H189" s="62"/>
      <c r="I189" s="62"/>
      <c r="J189" s="49">
        <f>IF(AND(ISBLANK(G189),ISBLANK(H189),ISBLANK(I189)),VLOOKUP(TEXT(D189,"TTT"),Stammdaten!$B$20:$F$26,5,FALSE),H189-G189-I189)-IF(ISERROR(VLOOKUP(D189,Stammdaten!$I$9:$J$26,2,FALSE)),0,VLOOKUP(D189,Stammdaten!$I$9:$J$26,2,FALSE)/24)</f>
        <v>0</v>
      </c>
    </row>
    <row r="190" spans="2:10" x14ac:dyDescent="0.3">
      <c r="B190" s="50" t="str">
        <f t="shared" si="6"/>
        <v/>
      </c>
      <c r="C190" s="42" t="str">
        <f t="shared" si="5"/>
        <v/>
      </c>
      <c r="D190" s="60"/>
      <c r="E190" s="63"/>
      <c r="F190" s="61"/>
      <c r="G190" s="62"/>
      <c r="H190" s="62"/>
      <c r="I190" s="62"/>
      <c r="J190" s="49">
        <f>IF(AND(ISBLANK(G190),ISBLANK(H190),ISBLANK(I190)),VLOOKUP(TEXT(D190,"TTT"),Stammdaten!$B$20:$F$26,5,FALSE),H190-G190-I190)-IF(ISERROR(VLOOKUP(D190,Stammdaten!$I$9:$J$26,2,FALSE)),0,VLOOKUP(D190,Stammdaten!$I$9:$J$26,2,FALSE)/24)</f>
        <v>0</v>
      </c>
    </row>
    <row r="191" spans="2:10" x14ac:dyDescent="0.3">
      <c r="B191" s="50" t="str">
        <f t="shared" si="6"/>
        <v/>
      </c>
      <c r="C191" s="42" t="str">
        <f t="shared" si="5"/>
        <v/>
      </c>
      <c r="D191" s="60"/>
      <c r="E191" s="63"/>
      <c r="F191" s="61"/>
      <c r="G191" s="62"/>
      <c r="H191" s="62"/>
      <c r="I191" s="62"/>
      <c r="J191" s="49">
        <f>IF(AND(ISBLANK(G191),ISBLANK(H191),ISBLANK(I191)),VLOOKUP(TEXT(D191,"TTT"),Stammdaten!$B$20:$F$26,5,FALSE),H191-G191-I191)-IF(ISERROR(VLOOKUP(D191,Stammdaten!$I$9:$J$26,2,FALSE)),0,VLOOKUP(D191,Stammdaten!$I$9:$J$26,2,FALSE)/24)</f>
        <v>0</v>
      </c>
    </row>
    <row r="192" spans="2:10" x14ac:dyDescent="0.3">
      <c r="B192" s="50" t="str">
        <f t="shared" si="6"/>
        <v/>
      </c>
      <c r="C192" s="42" t="str">
        <f t="shared" si="5"/>
        <v/>
      </c>
      <c r="D192" s="60"/>
      <c r="E192" s="63"/>
      <c r="F192" s="61"/>
      <c r="G192" s="62"/>
      <c r="H192" s="62"/>
      <c r="I192" s="62"/>
      <c r="J192" s="49">
        <f>IF(AND(ISBLANK(G192),ISBLANK(H192),ISBLANK(I192)),VLOOKUP(TEXT(D192,"TTT"),Stammdaten!$B$20:$F$26,5,FALSE),H192-G192-I192)-IF(ISERROR(VLOOKUP(D192,Stammdaten!$I$9:$J$26,2,FALSE)),0,VLOOKUP(D192,Stammdaten!$I$9:$J$26,2,FALSE)/24)</f>
        <v>0</v>
      </c>
    </row>
    <row r="193" spans="2:10" x14ac:dyDescent="0.3">
      <c r="B193" s="50" t="str">
        <f t="shared" si="6"/>
        <v/>
      </c>
      <c r="C193" s="42" t="str">
        <f t="shared" si="5"/>
        <v/>
      </c>
      <c r="D193" s="60"/>
      <c r="E193" s="63"/>
      <c r="F193" s="61"/>
      <c r="G193" s="62"/>
      <c r="H193" s="62"/>
      <c r="I193" s="62"/>
      <c r="J193" s="49">
        <f>IF(AND(ISBLANK(G193),ISBLANK(H193),ISBLANK(I193)),VLOOKUP(TEXT(D193,"TTT"),Stammdaten!$B$20:$F$26,5,FALSE),H193-G193-I193)-IF(ISERROR(VLOOKUP(D193,Stammdaten!$I$9:$J$26,2,FALSE)),0,VLOOKUP(D193,Stammdaten!$I$9:$J$26,2,FALSE)/24)</f>
        <v>0</v>
      </c>
    </row>
    <row r="194" spans="2:10" x14ac:dyDescent="0.3">
      <c r="B194" s="50" t="str">
        <f t="shared" si="6"/>
        <v/>
      </c>
      <c r="C194" s="42" t="str">
        <f t="shared" ref="C194:C257" si="7">IF(D194="","",D194)</f>
        <v/>
      </c>
      <c r="D194" s="60"/>
      <c r="E194" s="63"/>
      <c r="F194" s="61"/>
      <c r="G194" s="62"/>
      <c r="H194" s="62"/>
      <c r="I194" s="62"/>
      <c r="J194" s="49">
        <f>IF(AND(ISBLANK(G194),ISBLANK(H194),ISBLANK(I194)),VLOOKUP(TEXT(D194,"TTT"),Stammdaten!$B$20:$F$26,5,FALSE),H194-G194-I194)-IF(ISERROR(VLOOKUP(D194,Stammdaten!$I$9:$J$26,2,FALSE)),0,VLOOKUP(D194,Stammdaten!$I$9:$J$26,2,FALSE)/24)</f>
        <v>0</v>
      </c>
    </row>
    <row r="195" spans="2:10" x14ac:dyDescent="0.3">
      <c r="B195" s="50" t="str">
        <f t="shared" si="6"/>
        <v/>
      </c>
      <c r="C195" s="42" t="str">
        <f t="shared" si="7"/>
        <v/>
      </c>
      <c r="D195" s="60"/>
      <c r="E195" s="63"/>
      <c r="F195" s="61"/>
      <c r="G195" s="62"/>
      <c r="H195" s="62"/>
      <c r="I195" s="62"/>
      <c r="J195" s="49">
        <f>IF(AND(ISBLANK(G195),ISBLANK(H195),ISBLANK(I195)),VLOOKUP(TEXT(D195,"TTT"),Stammdaten!$B$20:$F$26,5,FALSE),H195-G195-I195)-IF(ISERROR(VLOOKUP(D195,Stammdaten!$I$9:$J$26,2,FALSE)),0,VLOOKUP(D195,Stammdaten!$I$9:$J$26,2,FALSE)/24)</f>
        <v>0</v>
      </c>
    </row>
    <row r="196" spans="2:10" x14ac:dyDescent="0.3">
      <c r="B196" s="50" t="str">
        <f t="shared" ref="B196:B259" si="8">IF(ISBLANK(E196),"",VLOOKUP(E196,$L$2:$M$11,2,FALSE))</f>
        <v/>
      </c>
      <c r="C196" s="42" t="str">
        <f t="shared" si="7"/>
        <v/>
      </c>
      <c r="D196" s="60"/>
      <c r="E196" s="63"/>
      <c r="F196" s="61"/>
      <c r="G196" s="62"/>
      <c r="H196" s="62"/>
      <c r="I196" s="62"/>
      <c r="J196" s="49">
        <f>IF(AND(ISBLANK(G196),ISBLANK(H196),ISBLANK(I196)),VLOOKUP(TEXT(D196,"TTT"),Stammdaten!$B$20:$F$26,5,FALSE),H196-G196-I196)-IF(ISERROR(VLOOKUP(D196,Stammdaten!$I$9:$J$26,2,FALSE)),0,VLOOKUP(D196,Stammdaten!$I$9:$J$26,2,FALSE)/24)</f>
        <v>0</v>
      </c>
    </row>
    <row r="197" spans="2:10" x14ac:dyDescent="0.3">
      <c r="B197" s="50" t="str">
        <f t="shared" si="8"/>
        <v/>
      </c>
      <c r="C197" s="42" t="str">
        <f t="shared" si="7"/>
        <v/>
      </c>
      <c r="D197" s="60"/>
      <c r="E197" s="63"/>
      <c r="F197" s="61"/>
      <c r="G197" s="62"/>
      <c r="H197" s="62"/>
      <c r="I197" s="62"/>
      <c r="J197" s="49">
        <f>IF(AND(ISBLANK(G197),ISBLANK(H197),ISBLANK(I197)),VLOOKUP(TEXT(D197,"TTT"),Stammdaten!$B$20:$F$26,5,FALSE),H197-G197-I197)-IF(ISERROR(VLOOKUP(D197,Stammdaten!$I$9:$J$26,2,FALSE)),0,VLOOKUP(D197,Stammdaten!$I$9:$J$26,2,FALSE)/24)</f>
        <v>0</v>
      </c>
    </row>
    <row r="198" spans="2:10" x14ac:dyDescent="0.3">
      <c r="B198" s="50" t="str">
        <f t="shared" si="8"/>
        <v/>
      </c>
      <c r="C198" s="42" t="str">
        <f t="shared" si="7"/>
        <v/>
      </c>
      <c r="D198" s="60"/>
      <c r="E198" s="63"/>
      <c r="F198" s="61"/>
      <c r="G198" s="62"/>
      <c r="H198" s="62"/>
      <c r="I198" s="62"/>
      <c r="J198" s="49">
        <f>IF(AND(ISBLANK(G198),ISBLANK(H198),ISBLANK(I198)),VLOOKUP(TEXT(D198,"TTT"),Stammdaten!$B$20:$F$26,5,FALSE),H198-G198-I198)-IF(ISERROR(VLOOKUP(D198,Stammdaten!$I$9:$J$26,2,FALSE)),0,VLOOKUP(D198,Stammdaten!$I$9:$J$26,2,FALSE)/24)</f>
        <v>0</v>
      </c>
    </row>
    <row r="199" spans="2:10" x14ac:dyDescent="0.3">
      <c r="B199" s="50" t="str">
        <f t="shared" si="8"/>
        <v/>
      </c>
      <c r="C199" s="42" t="str">
        <f t="shared" si="7"/>
        <v/>
      </c>
      <c r="D199" s="60"/>
      <c r="E199" s="63"/>
      <c r="F199" s="61"/>
      <c r="G199" s="62"/>
      <c r="H199" s="62"/>
      <c r="I199" s="62"/>
      <c r="J199" s="49">
        <f>IF(AND(ISBLANK(G199),ISBLANK(H199),ISBLANK(I199)),VLOOKUP(TEXT(D199,"TTT"),Stammdaten!$B$20:$F$26,5,FALSE),H199-G199-I199)-IF(ISERROR(VLOOKUP(D199,Stammdaten!$I$9:$J$26,2,FALSE)),0,VLOOKUP(D199,Stammdaten!$I$9:$J$26,2,FALSE)/24)</f>
        <v>0</v>
      </c>
    </row>
    <row r="200" spans="2:10" x14ac:dyDescent="0.3">
      <c r="B200" s="50" t="str">
        <f t="shared" si="8"/>
        <v/>
      </c>
      <c r="C200" s="42" t="str">
        <f t="shared" si="7"/>
        <v/>
      </c>
      <c r="D200" s="60"/>
      <c r="E200" s="63"/>
      <c r="F200" s="61"/>
      <c r="G200" s="62"/>
      <c r="H200" s="62"/>
      <c r="I200" s="62"/>
      <c r="J200" s="49">
        <f>IF(AND(ISBLANK(G200),ISBLANK(H200),ISBLANK(I200)),VLOOKUP(TEXT(D200,"TTT"),Stammdaten!$B$20:$F$26,5,FALSE),H200-G200-I200)-IF(ISERROR(VLOOKUP(D200,Stammdaten!$I$9:$J$26,2,FALSE)),0,VLOOKUP(D200,Stammdaten!$I$9:$J$26,2,FALSE)/24)</f>
        <v>0</v>
      </c>
    </row>
    <row r="201" spans="2:10" x14ac:dyDescent="0.3">
      <c r="B201" s="50" t="str">
        <f t="shared" si="8"/>
        <v/>
      </c>
      <c r="C201" s="42" t="str">
        <f t="shared" si="7"/>
        <v/>
      </c>
      <c r="D201" s="60"/>
      <c r="E201" s="63"/>
      <c r="F201" s="61"/>
      <c r="G201" s="62"/>
      <c r="H201" s="62"/>
      <c r="I201" s="62"/>
      <c r="J201" s="49">
        <f>IF(AND(ISBLANK(G201),ISBLANK(H201),ISBLANK(I201)),VLOOKUP(TEXT(D201,"TTT"),Stammdaten!$B$20:$F$26,5,FALSE),H201-G201-I201)-IF(ISERROR(VLOOKUP(D201,Stammdaten!$I$9:$J$26,2,FALSE)),0,VLOOKUP(D201,Stammdaten!$I$9:$J$26,2,FALSE)/24)</f>
        <v>0</v>
      </c>
    </row>
    <row r="202" spans="2:10" x14ac:dyDescent="0.3">
      <c r="B202" s="50" t="str">
        <f t="shared" si="8"/>
        <v/>
      </c>
      <c r="C202" s="42" t="str">
        <f t="shared" si="7"/>
        <v/>
      </c>
      <c r="D202" s="60"/>
      <c r="E202" s="63"/>
      <c r="F202" s="61"/>
      <c r="G202" s="62"/>
      <c r="H202" s="62"/>
      <c r="I202" s="62"/>
      <c r="J202" s="49">
        <f>IF(AND(ISBLANK(G202),ISBLANK(H202),ISBLANK(I202)),VLOOKUP(TEXT(D202,"TTT"),Stammdaten!$B$20:$F$26,5,FALSE),H202-G202-I202)-IF(ISERROR(VLOOKUP(D202,Stammdaten!$I$9:$J$26,2,FALSE)),0,VLOOKUP(D202,Stammdaten!$I$9:$J$26,2,FALSE)/24)</f>
        <v>0</v>
      </c>
    </row>
    <row r="203" spans="2:10" x14ac:dyDescent="0.3">
      <c r="B203" s="50" t="str">
        <f t="shared" si="8"/>
        <v/>
      </c>
      <c r="C203" s="42" t="str">
        <f t="shared" si="7"/>
        <v/>
      </c>
      <c r="D203" s="60"/>
      <c r="E203" s="63"/>
      <c r="F203" s="61"/>
      <c r="G203" s="62"/>
      <c r="H203" s="62"/>
      <c r="I203" s="62"/>
      <c r="J203" s="49">
        <f>IF(AND(ISBLANK(G203),ISBLANK(H203),ISBLANK(I203)),VLOOKUP(TEXT(D203,"TTT"),Stammdaten!$B$20:$F$26,5,FALSE),H203-G203-I203)-IF(ISERROR(VLOOKUP(D203,Stammdaten!$I$9:$J$26,2,FALSE)),0,VLOOKUP(D203,Stammdaten!$I$9:$J$26,2,FALSE)/24)</f>
        <v>0</v>
      </c>
    </row>
    <row r="204" spans="2:10" x14ac:dyDescent="0.3">
      <c r="B204" s="50" t="str">
        <f t="shared" si="8"/>
        <v/>
      </c>
      <c r="C204" s="42" t="str">
        <f t="shared" si="7"/>
        <v/>
      </c>
      <c r="D204" s="60"/>
      <c r="E204" s="63"/>
      <c r="F204" s="61"/>
      <c r="G204" s="62"/>
      <c r="H204" s="62"/>
      <c r="I204" s="62"/>
      <c r="J204" s="49">
        <f>IF(AND(ISBLANK(G204),ISBLANK(H204),ISBLANK(I204)),VLOOKUP(TEXT(D204,"TTT"),Stammdaten!$B$20:$F$26,5,FALSE),H204-G204-I204)-IF(ISERROR(VLOOKUP(D204,Stammdaten!$I$9:$J$26,2,FALSE)),0,VLOOKUP(D204,Stammdaten!$I$9:$J$26,2,FALSE)/24)</f>
        <v>0</v>
      </c>
    </row>
    <row r="205" spans="2:10" x14ac:dyDescent="0.3">
      <c r="B205" s="50" t="str">
        <f t="shared" si="8"/>
        <v/>
      </c>
      <c r="C205" s="42" t="str">
        <f t="shared" si="7"/>
        <v/>
      </c>
      <c r="D205" s="60"/>
      <c r="E205" s="63"/>
      <c r="F205" s="61"/>
      <c r="G205" s="62"/>
      <c r="H205" s="62"/>
      <c r="I205" s="62"/>
      <c r="J205" s="49">
        <f>IF(AND(ISBLANK(G205),ISBLANK(H205),ISBLANK(I205)),VLOOKUP(TEXT(D205,"TTT"),Stammdaten!$B$20:$F$26,5,FALSE),H205-G205-I205)-IF(ISERROR(VLOOKUP(D205,Stammdaten!$I$9:$J$26,2,FALSE)),0,VLOOKUP(D205,Stammdaten!$I$9:$J$26,2,FALSE)/24)</f>
        <v>0</v>
      </c>
    </row>
    <row r="206" spans="2:10" x14ac:dyDescent="0.3">
      <c r="B206" s="50" t="str">
        <f t="shared" si="8"/>
        <v/>
      </c>
      <c r="C206" s="42" t="str">
        <f t="shared" si="7"/>
        <v/>
      </c>
      <c r="D206" s="60"/>
      <c r="E206" s="63"/>
      <c r="F206" s="61"/>
      <c r="G206" s="62"/>
      <c r="H206" s="62"/>
      <c r="I206" s="62"/>
      <c r="J206" s="49">
        <f>IF(AND(ISBLANK(G206),ISBLANK(H206),ISBLANK(I206)),VLOOKUP(TEXT(D206,"TTT"),Stammdaten!$B$20:$F$26,5,FALSE),H206-G206-I206)-IF(ISERROR(VLOOKUP(D206,Stammdaten!$I$9:$J$26,2,FALSE)),0,VLOOKUP(D206,Stammdaten!$I$9:$J$26,2,FALSE)/24)</f>
        <v>0</v>
      </c>
    </row>
    <row r="207" spans="2:10" x14ac:dyDescent="0.3">
      <c r="B207" s="50" t="str">
        <f t="shared" si="8"/>
        <v/>
      </c>
      <c r="C207" s="42" t="str">
        <f t="shared" si="7"/>
        <v/>
      </c>
      <c r="D207" s="60"/>
      <c r="E207" s="63"/>
      <c r="F207" s="61"/>
      <c r="G207" s="62"/>
      <c r="H207" s="62"/>
      <c r="I207" s="62"/>
      <c r="J207" s="49">
        <f>IF(AND(ISBLANK(G207),ISBLANK(H207),ISBLANK(I207)),VLOOKUP(TEXT(D207,"TTT"),Stammdaten!$B$20:$F$26,5,FALSE),H207-G207-I207)-IF(ISERROR(VLOOKUP(D207,Stammdaten!$I$9:$J$26,2,FALSE)),0,VLOOKUP(D207,Stammdaten!$I$9:$J$26,2,FALSE)/24)</f>
        <v>0</v>
      </c>
    </row>
    <row r="208" spans="2:10" x14ac:dyDescent="0.3">
      <c r="B208" s="50" t="str">
        <f t="shared" si="8"/>
        <v/>
      </c>
      <c r="C208" s="42" t="str">
        <f t="shared" si="7"/>
        <v/>
      </c>
      <c r="D208" s="60"/>
      <c r="E208" s="63"/>
      <c r="F208" s="61"/>
      <c r="G208" s="62"/>
      <c r="H208" s="62"/>
      <c r="I208" s="62"/>
      <c r="J208" s="49">
        <f>IF(AND(ISBLANK(G208),ISBLANK(H208),ISBLANK(I208)),VLOOKUP(TEXT(D208,"TTT"),Stammdaten!$B$20:$F$26,5,FALSE),H208-G208-I208)-IF(ISERROR(VLOOKUP(D208,Stammdaten!$I$9:$J$26,2,FALSE)),0,VLOOKUP(D208,Stammdaten!$I$9:$J$26,2,FALSE)/24)</f>
        <v>0</v>
      </c>
    </row>
    <row r="209" spans="2:10" x14ac:dyDescent="0.3">
      <c r="B209" s="50" t="str">
        <f t="shared" si="8"/>
        <v/>
      </c>
      <c r="C209" s="42" t="str">
        <f t="shared" si="7"/>
        <v/>
      </c>
      <c r="D209" s="60"/>
      <c r="E209" s="63"/>
      <c r="F209" s="61"/>
      <c r="G209" s="62"/>
      <c r="H209" s="62"/>
      <c r="I209" s="62"/>
      <c r="J209" s="49">
        <f>IF(AND(ISBLANK(G209),ISBLANK(H209),ISBLANK(I209)),VLOOKUP(TEXT(D209,"TTT"),Stammdaten!$B$20:$F$26,5,FALSE),H209-G209-I209)-IF(ISERROR(VLOOKUP(D209,Stammdaten!$I$9:$J$26,2,FALSE)),0,VLOOKUP(D209,Stammdaten!$I$9:$J$26,2,FALSE)/24)</f>
        <v>0</v>
      </c>
    </row>
    <row r="210" spans="2:10" x14ac:dyDescent="0.3">
      <c r="B210" s="50" t="str">
        <f t="shared" si="8"/>
        <v/>
      </c>
      <c r="C210" s="42" t="str">
        <f t="shared" si="7"/>
        <v/>
      </c>
      <c r="D210" s="60"/>
      <c r="E210" s="63"/>
      <c r="F210" s="61"/>
      <c r="G210" s="62"/>
      <c r="H210" s="62"/>
      <c r="I210" s="62"/>
      <c r="J210" s="49">
        <f>IF(AND(ISBLANK(G210),ISBLANK(H210),ISBLANK(I210)),VLOOKUP(TEXT(D210,"TTT"),Stammdaten!$B$20:$F$26,5,FALSE),H210-G210-I210)-IF(ISERROR(VLOOKUP(D210,Stammdaten!$I$9:$J$26,2,FALSE)),0,VLOOKUP(D210,Stammdaten!$I$9:$J$26,2,FALSE)/24)</f>
        <v>0</v>
      </c>
    </row>
    <row r="211" spans="2:10" x14ac:dyDescent="0.3">
      <c r="B211" s="50" t="str">
        <f t="shared" si="8"/>
        <v/>
      </c>
      <c r="C211" s="42" t="str">
        <f t="shared" si="7"/>
        <v/>
      </c>
      <c r="D211" s="60"/>
      <c r="E211" s="63"/>
      <c r="F211" s="61"/>
      <c r="G211" s="62"/>
      <c r="H211" s="62"/>
      <c r="I211" s="62"/>
      <c r="J211" s="49">
        <f>IF(AND(ISBLANK(G211),ISBLANK(H211),ISBLANK(I211)),VLOOKUP(TEXT(D211,"TTT"),Stammdaten!$B$20:$F$26,5,FALSE),H211-G211-I211)-IF(ISERROR(VLOOKUP(D211,Stammdaten!$I$9:$J$26,2,FALSE)),0,VLOOKUP(D211,Stammdaten!$I$9:$J$26,2,FALSE)/24)</f>
        <v>0</v>
      </c>
    </row>
    <row r="212" spans="2:10" x14ac:dyDescent="0.3">
      <c r="B212" s="50" t="str">
        <f t="shared" si="8"/>
        <v/>
      </c>
      <c r="C212" s="42" t="str">
        <f t="shared" si="7"/>
        <v/>
      </c>
      <c r="D212" s="60"/>
      <c r="E212" s="63"/>
      <c r="F212" s="61"/>
      <c r="G212" s="62"/>
      <c r="H212" s="62"/>
      <c r="I212" s="62"/>
      <c r="J212" s="49">
        <f>IF(AND(ISBLANK(G212),ISBLANK(H212),ISBLANK(I212)),VLOOKUP(TEXT(D212,"TTT"),Stammdaten!$B$20:$F$26,5,FALSE),H212-G212-I212)-IF(ISERROR(VLOOKUP(D212,Stammdaten!$I$9:$J$26,2,FALSE)),0,VLOOKUP(D212,Stammdaten!$I$9:$J$26,2,FALSE)/24)</f>
        <v>0</v>
      </c>
    </row>
    <row r="213" spans="2:10" x14ac:dyDescent="0.3">
      <c r="B213" s="50" t="str">
        <f t="shared" si="8"/>
        <v/>
      </c>
      <c r="C213" s="42" t="str">
        <f t="shared" si="7"/>
        <v/>
      </c>
      <c r="D213" s="60"/>
      <c r="E213" s="63"/>
      <c r="F213" s="61"/>
      <c r="G213" s="62"/>
      <c r="H213" s="62"/>
      <c r="I213" s="62"/>
      <c r="J213" s="49">
        <f>IF(AND(ISBLANK(G213),ISBLANK(H213),ISBLANK(I213)),VLOOKUP(TEXT(D213,"TTT"),Stammdaten!$B$20:$F$26,5,FALSE),H213-G213-I213)-IF(ISERROR(VLOOKUP(D213,Stammdaten!$I$9:$J$26,2,FALSE)),0,VLOOKUP(D213,Stammdaten!$I$9:$J$26,2,FALSE)/24)</f>
        <v>0</v>
      </c>
    </row>
    <row r="214" spans="2:10" x14ac:dyDescent="0.3">
      <c r="B214" s="50" t="str">
        <f t="shared" si="8"/>
        <v/>
      </c>
      <c r="C214" s="42" t="str">
        <f t="shared" si="7"/>
        <v/>
      </c>
      <c r="D214" s="60"/>
      <c r="E214" s="63"/>
      <c r="F214" s="61"/>
      <c r="G214" s="62"/>
      <c r="H214" s="62"/>
      <c r="I214" s="62"/>
      <c r="J214" s="49">
        <f>IF(AND(ISBLANK(G214),ISBLANK(H214),ISBLANK(I214)),VLOOKUP(TEXT(D214,"TTT"),Stammdaten!$B$20:$F$26,5,FALSE),H214-G214-I214)-IF(ISERROR(VLOOKUP(D214,Stammdaten!$I$9:$J$26,2,FALSE)),0,VLOOKUP(D214,Stammdaten!$I$9:$J$26,2,FALSE)/24)</f>
        <v>0</v>
      </c>
    </row>
    <row r="215" spans="2:10" x14ac:dyDescent="0.3">
      <c r="B215" s="50" t="str">
        <f t="shared" si="8"/>
        <v/>
      </c>
      <c r="C215" s="42" t="str">
        <f t="shared" si="7"/>
        <v/>
      </c>
      <c r="D215" s="60"/>
      <c r="E215" s="63"/>
      <c r="F215" s="61"/>
      <c r="G215" s="62"/>
      <c r="H215" s="62"/>
      <c r="I215" s="62"/>
      <c r="J215" s="49">
        <f>IF(AND(ISBLANK(G215),ISBLANK(H215),ISBLANK(I215)),VLOOKUP(TEXT(D215,"TTT"),Stammdaten!$B$20:$F$26,5,FALSE),H215-G215-I215)-IF(ISERROR(VLOOKUP(D215,Stammdaten!$I$9:$J$26,2,FALSE)),0,VLOOKUP(D215,Stammdaten!$I$9:$J$26,2,FALSE)/24)</f>
        <v>0</v>
      </c>
    </row>
    <row r="216" spans="2:10" x14ac:dyDescent="0.3">
      <c r="B216" s="50" t="str">
        <f t="shared" si="8"/>
        <v/>
      </c>
      <c r="C216" s="42" t="str">
        <f t="shared" si="7"/>
        <v/>
      </c>
      <c r="D216" s="60"/>
      <c r="E216" s="63"/>
      <c r="F216" s="61"/>
      <c r="G216" s="62"/>
      <c r="H216" s="62"/>
      <c r="I216" s="62"/>
      <c r="J216" s="49">
        <f>IF(AND(ISBLANK(G216),ISBLANK(H216),ISBLANK(I216)),VLOOKUP(TEXT(D216,"TTT"),Stammdaten!$B$20:$F$26,5,FALSE),H216-G216-I216)-IF(ISERROR(VLOOKUP(D216,Stammdaten!$I$9:$J$26,2,FALSE)),0,VLOOKUP(D216,Stammdaten!$I$9:$J$26,2,FALSE)/24)</f>
        <v>0</v>
      </c>
    </row>
    <row r="217" spans="2:10" x14ac:dyDescent="0.3">
      <c r="B217" s="50" t="str">
        <f t="shared" si="8"/>
        <v/>
      </c>
      <c r="C217" s="42" t="str">
        <f t="shared" si="7"/>
        <v/>
      </c>
      <c r="D217" s="60"/>
      <c r="E217" s="63"/>
      <c r="F217" s="61"/>
      <c r="G217" s="62"/>
      <c r="H217" s="62"/>
      <c r="I217" s="62"/>
      <c r="J217" s="49">
        <f>IF(AND(ISBLANK(G217),ISBLANK(H217),ISBLANK(I217)),VLOOKUP(TEXT(D217,"TTT"),Stammdaten!$B$20:$F$26,5,FALSE),H217-G217-I217)-IF(ISERROR(VLOOKUP(D217,Stammdaten!$I$9:$J$26,2,FALSE)),0,VLOOKUP(D217,Stammdaten!$I$9:$J$26,2,FALSE)/24)</f>
        <v>0</v>
      </c>
    </row>
    <row r="218" spans="2:10" x14ac:dyDescent="0.3">
      <c r="B218" s="50" t="str">
        <f t="shared" si="8"/>
        <v/>
      </c>
      <c r="C218" s="42" t="str">
        <f t="shared" si="7"/>
        <v/>
      </c>
      <c r="D218" s="60"/>
      <c r="E218" s="63"/>
      <c r="F218" s="61"/>
      <c r="G218" s="62"/>
      <c r="H218" s="62"/>
      <c r="I218" s="62"/>
      <c r="J218" s="49">
        <f>IF(AND(ISBLANK(G218),ISBLANK(H218),ISBLANK(I218)),VLOOKUP(TEXT(D218,"TTT"),Stammdaten!$B$20:$F$26,5,FALSE),H218-G218-I218)-IF(ISERROR(VLOOKUP(D218,Stammdaten!$I$9:$J$26,2,FALSE)),0,VLOOKUP(D218,Stammdaten!$I$9:$J$26,2,FALSE)/24)</f>
        <v>0</v>
      </c>
    </row>
    <row r="219" spans="2:10" x14ac:dyDescent="0.3">
      <c r="B219" s="50" t="str">
        <f t="shared" si="8"/>
        <v/>
      </c>
      <c r="C219" s="42" t="str">
        <f t="shared" si="7"/>
        <v/>
      </c>
      <c r="D219" s="60"/>
      <c r="E219" s="63"/>
      <c r="F219" s="61"/>
      <c r="G219" s="62"/>
      <c r="H219" s="62"/>
      <c r="I219" s="62"/>
      <c r="J219" s="49">
        <f>IF(AND(ISBLANK(G219),ISBLANK(H219),ISBLANK(I219)),VLOOKUP(TEXT(D219,"TTT"),Stammdaten!$B$20:$F$26,5,FALSE),H219-G219-I219)-IF(ISERROR(VLOOKUP(D219,Stammdaten!$I$9:$J$26,2,FALSE)),0,VLOOKUP(D219,Stammdaten!$I$9:$J$26,2,FALSE)/24)</f>
        <v>0</v>
      </c>
    </row>
    <row r="220" spans="2:10" x14ac:dyDescent="0.3">
      <c r="B220" s="50" t="str">
        <f t="shared" si="8"/>
        <v/>
      </c>
      <c r="C220" s="42" t="str">
        <f t="shared" si="7"/>
        <v/>
      </c>
      <c r="D220" s="60"/>
      <c r="E220" s="63"/>
      <c r="F220" s="61"/>
      <c r="G220" s="62"/>
      <c r="H220" s="62"/>
      <c r="I220" s="62"/>
      <c r="J220" s="49">
        <f>IF(AND(ISBLANK(G220),ISBLANK(H220),ISBLANK(I220)),VLOOKUP(TEXT(D220,"TTT"),Stammdaten!$B$20:$F$26,5,FALSE),H220-G220-I220)-IF(ISERROR(VLOOKUP(D220,Stammdaten!$I$9:$J$26,2,FALSE)),0,VLOOKUP(D220,Stammdaten!$I$9:$J$26,2,FALSE)/24)</f>
        <v>0</v>
      </c>
    </row>
    <row r="221" spans="2:10" x14ac:dyDescent="0.3">
      <c r="B221" s="50" t="str">
        <f t="shared" si="8"/>
        <v/>
      </c>
      <c r="C221" s="42" t="str">
        <f t="shared" si="7"/>
        <v/>
      </c>
      <c r="D221" s="60"/>
      <c r="E221" s="63"/>
      <c r="F221" s="61"/>
      <c r="G221" s="62"/>
      <c r="H221" s="62"/>
      <c r="I221" s="62"/>
      <c r="J221" s="49">
        <f>IF(AND(ISBLANK(G221),ISBLANK(H221),ISBLANK(I221)),VLOOKUP(TEXT(D221,"TTT"),Stammdaten!$B$20:$F$26,5,FALSE),H221-G221-I221)-IF(ISERROR(VLOOKUP(D221,Stammdaten!$I$9:$J$26,2,FALSE)),0,VLOOKUP(D221,Stammdaten!$I$9:$J$26,2,FALSE)/24)</f>
        <v>0</v>
      </c>
    </row>
    <row r="222" spans="2:10" x14ac:dyDescent="0.3">
      <c r="B222" s="50" t="str">
        <f t="shared" si="8"/>
        <v/>
      </c>
      <c r="C222" s="42" t="str">
        <f t="shared" si="7"/>
        <v/>
      </c>
      <c r="D222" s="60"/>
      <c r="E222" s="63"/>
      <c r="F222" s="61"/>
      <c r="G222" s="62"/>
      <c r="H222" s="62"/>
      <c r="I222" s="62"/>
      <c r="J222" s="49">
        <f>IF(AND(ISBLANK(G222),ISBLANK(H222),ISBLANK(I222)),VLOOKUP(TEXT(D222,"TTT"),Stammdaten!$B$20:$F$26,5,FALSE),H222-G222-I222)-IF(ISERROR(VLOOKUP(D222,Stammdaten!$I$9:$J$26,2,FALSE)),0,VLOOKUP(D222,Stammdaten!$I$9:$J$26,2,FALSE)/24)</f>
        <v>0</v>
      </c>
    </row>
    <row r="223" spans="2:10" x14ac:dyDescent="0.3">
      <c r="B223" s="50" t="str">
        <f t="shared" si="8"/>
        <v/>
      </c>
      <c r="C223" s="42" t="str">
        <f t="shared" si="7"/>
        <v/>
      </c>
      <c r="D223" s="60"/>
      <c r="E223" s="63"/>
      <c r="F223" s="61"/>
      <c r="G223" s="62"/>
      <c r="H223" s="62"/>
      <c r="I223" s="62"/>
      <c r="J223" s="49">
        <f>IF(AND(ISBLANK(G223),ISBLANK(H223),ISBLANK(I223)),VLOOKUP(TEXT(D223,"TTT"),Stammdaten!$B$20:$F$26,5,FALSE),H223-G223-I223)-IF(ISERROR(VLOOKUP(D223,Stammdaten!$I$9:$J$26,2,FALSE)),0,VLOOKUP(D223,Stammdaten!$I$9:$J$26,2,FALSE)/24)</f>
        <v>0</v>
      </c>
    </row>
    <row r="224" spans="2:10" x14ac:dyDescent="0.3">
      <c r="B224" s="50" t="str">
        <f t="shared" si="8"/>
        <v/>
      </c>
      <c r="C224" s="42" t="str">
        <f t="shared" si="7"/>
        <v/>
      </c>
      <c r="D224" s="60"/>
      <c r="E224" s="63"/>
      <c r="F224" s="61"/>
      <c r="G224" s="62"/>
      <c r="H224" s="62"/>
      <c r="I224" s="62"/>
      <c r="J224" s="49">
        <f>IF(AND(ISBLANK(G224),ISBLANK(H224),ISBLANK(I224)),VLOOKUP(TEXT(D224,"TTT"),Stammdaten!$B$20:$F$26,5,FALSE),H224-G224-I224)-IF(ISERROR(VLOOKUP(D224,Stammdaten!$I$9:$J$26,2,FALSE)),0,VLOOKUP(D224,Stammdaten!$I$9:$J$26,2,FALSE)/24)</f>
        <v>0</v>
      </c>
    </row>
    <row r="225" spans="2:10" x14ac:dyDescent="0.3">
      <c r="B225" s="50" t="str">
        <f t="shared" si="8"/>
        <v/>
      </c>
      <c r="C225" s="42" t="str">
        <f t="shared" si="7"/>
        <v/>
      </c>
      <c r="D225" s="60"/>
      <c r="E225" s="63"/>
      <c r="F225" s="61"/>
      <c r="G225" s="62"/>
      <c r="H225" s="62"/>
      <c r="I225" s="62"/>
      <c r="J225" s="49">
        <f>IF(AND(ISBLANK(G225),ISBLANK(H225),ISBLANK(I225)),VLOOKUP(TEXT(D225,"TTT"),Stammdaten!$B$20:$F$26,5,FALSE),H225-G225-I225)-IF(ISERROR(VLOOKUP(D225,Stammdaten!$I$9:$J$26,2,FALSE)),0,VLOOKUP(D225,Stammdaten!$I$9:$J$26,2,FALSE)/24)</f>
        <v>0</v>
      </c>
    </row>
    <row r="226" spans="2:10" x14ac:dyDescent="0.3">
      <c r="B226" s="50" t="str">
        <f t="shared" si="8"/>
        <v/>
      </c>
      <c r="C226" s="42" t="str">
        <f t="shared" si="7"/>
        <v/>
      </c>
      <c r="D226" s="60"/>
      <c r="E226" s="63"/>
      <c r="F226" s="61"/>
      <c r="G226" s="62"/>
      <c r="H226" s="62"/>
      <c r="I226" s="62"/>
      <c r="J226" s="49">
        <f>IF(AND(ISBLANK(G226),ISBLANK(H226),ISBLANK(I226)),VLOOKUP(TEXT(D226,"TTT"),Stammdaten!$B$20:$F$26,5,FALSE),H226-G226-I226)-IF(ISERROR(VLOOKUP(D226,Stammdaten!$I$9:$J$26,2,FALSE)),0,VLOOKUP(D226,Stammdaten!$I$9:$J$26,2,FALSE)/24)</f>
        <v>0</v>
      </c>
    </row>
    <row r="227" spans="2:10" x14ac:dyDescent="0.3">
      <c r="B227" s="50" t="str">
        <f t="shared" si="8"/>
        <v/>
      </c>
      <c r="C227" s="42" t="str">
        <f t="shared" si="7"/>
        <v/>
      </c>
      <c r="D227" s="60"/>
      <c r="E227" s="63"/>
      <c r="F227" s="61"/>
      <c r="G227" s="62"/>
      <c r="H227" s="62"/>
      <c r="I227" s="62"/>
      <c r="J227" s="49">
        <f>IF(AND(ISBLANK(G227),ISBLANK(H227),ISBLANK(I227)),VLOOKUP(TEXT(D227,"TTT"),Stammdaten!$B$20:$F$26,5,FALSE),H227-G227-I227)-IF(ISERROR(VLOOKUP(D227,Stammdaten!$I$9:$J$26,2,FALSE)),0,VLOOKUP(D227,Stammdaten!$I$9:$J$26,2,FALSE)/24)</f>
        <v>0</v>
      </c>
    </row>
    <row r="228" spans="2:10" x14ac:dyDescent="0.3">
      <c r="B228" s="50" t="str">
        <f t="shared" si="8"/>
        <v/>
      </c>
      <c r="C228" s="42" t="str">
        <f t="shared" si="7"/>
        <v/>
      </c>
      <c r="D228" s="60"/>
      <c r="E228" s="63"/>
      <c r="F228" s="61"/>
      <c r="G228" s="62"/>
      <c r="H228" s="62"/>
      <c r="I228" s="62"/>
      <c r="J228" s="49">
        <f>IF(AND(ISBLANK(G228),ISBLANK(H228),ISBLANK(I228)),VLOOKUP(TEXT(D228,"TTT"),Stammdaten!$B$20:$F$26,5,FALSE),H228-G228-I228)-IF(ISERROR(VLOOKUP(D228,Stammdaten!$I$9:$J$26,2,FALSE)),0,VLOOKUP(D228,Stammdaten!$I$9:$J$26,2,FALSE)/24)</f>
        <v>0</v>
      </c>
    </row>
    <row r="229" spans="2:10" x14ac:dyDescent="0.3">
      <c r="B229" s="50" t="str">
        <f t="shared" si="8"/>
        <v/>
      </c>
      <c r="C229" s="42" t="str">
        <f t="shared" si="7"/>
        <v/>
      </c>
      <c r="D229" s="60"/>
      <c r="E229" s="63"/>
      <c r="F229" s="61"/>
      <c r="G229" s="62"/>
      <c r="H229" s="62"/>
      <c r="I229" s="62"/>
      <c r="J229" s="49">
        <f>IF(AND(ISBLANK(G229),ISBLANK(H229),ISBLANK(I229)),VLOOKUP(TEXT(D229,"TTT"),Stammdaten!$B$20:$F$26,5,FALSE),H229-G229-I229)-IF(ISERROR(VLOOKUP(D229,Stammdaten!$I$9:$J$26,2,FALSE)),0,VLOOKUP(D229,Stammdaten!$I$9:$J$26,2,FALSE)/24)</f>
        <v>0</v>
      </c>
    </row>
    <row r="230" spans="2:10" x14ac:dyDescent="0.3">
      <c r="B230" s="50" t="str">
        <f t="shared" si="8"/>
        <v/>
      </c>
      <c r="C230" s="42" t="str">
        <f t="shared" si="7"/>
        <v/>
      </c>
      <c r="D230" s="60"/>
      <c r="E230" s="63"/>
      <c r="F230" s="61"/>
      <c r="G230" s="62"/>
      <c r="H230" s="62"/>
      <c r="I230" s="62"/>
      <c r="J230" s="49">
        <f>IF(AND(ISBLANK(G230),ISBLANK(H230),ISBLANK(I230)),VLOOKUP(TEXT(D230,"TTT"),Stammdaten!$B$20:$F$26,5,FALSE),H230-G230-I230)-IF(ISERROR(VLOOKUP(D230,Stammdaten!$I$9:$J$26,2,FALSE)),0,VLOOKUP(D230,Stammdaten!$I$9:$J$26,2,FALSE)/24)</f>
        <v>0</v>
      </c>
    </row>
    <row r="231" spans="2:10" x14ac:dyDescent="0.3">
      <c r="B231" s="50" t="str">
        <f t="shared" si="8"/>
        <v/>
      </c>
      <c r="C231" s="42" t="str">
        <f t="shared" si="7"/>
        <v/>
      </c>
      <c r="D231" s="60"/>
      <c r="E231" s="63"/>
      <c r="F231" s="61"/>
      <c r="G231" s="62"/>
      <c r="H231" s="62"/>
      <c r="I231" s="62"/>
      <c r="J231" s="49">
        <f>IF(AND(ISBLANK(G231),ISBLANK(H231),ISBLANK(I231)),VLOOKUP(TEXT(D231,"TTT"),Stammdaten!$B$20:$F$26,5,FALSE),H231-G231-I231)-IF(ISERROR(VLOOKUP(D231,Stammdaten!$I$9:$J$26,2,FALSE)),0,VLOOKUP(D231,Stammdaten!$I$9:$J$26,2,FALSE)/24)</f>
        <v>0</v>
      </c>
    </row>
    <row r="232" spans="2:10" x14ac:dyDescent="0.3">
      <c r="B232" s="50" t="str">
        <f t="shared" si="8"/>
        <v/>
      </c>
      <c r="C232" s="42" t="str">
        <f t="shared" si="7"/>
        <v/>
      </c>
      <c r="D232" s="60"/>
      <c r="E232" s="63"/>
      <c r="F232" s="61"/>
      <c r="G232" s="62"/>
      <c r="H232" s="62"/>
      <c r="I232" s="62"/>
      <c r="J232" s="49">
        <f>IF(AND(ISBLANK(G232),ISBLANK(H232),ISBLANK(I232)),VLOOKUP(TEXT(D232,"TTT"),Stammdaten!$B$20:$F$26,5,FALSE),H232-G232-I232)-IF(ISERROR(VLOOKUP(D232,Stammdaten!$I$9:$J$26,2,FALSE)),0,VLOOKUP(D232,Stammdaten!$I$9:$J$26,2,FALSE)/24)</f>
        <v>0</v>
      </c>
    </row>
    <row r="233" spans="2:10" x14ac:dyDescent="0.3">
      <c r="B233" s="50" t="str">
        <f t="shared" si="8"/>
        <v/>
      </c>
      <c r="C233" s="42" t="str">
        <f t="shared" si="7"/>
        <v/>
      </c>
      <c r="D233" s="60"/>
      <c r="E233" s="63"/>
      <c r="F233" s="61"/>
      <c r="G233" s="62"/>
      <c r="H233" s="62"/>
      <c r="I233" s="62"/>
      <c r="J233" s="49">
        <f>IF(AND(ISBLANK(G233),ISBLANK(H233),ISBLANK(I233)),VLOOKUP(TEXT(D233,"TTT"),Stammdaten!$B$20:$F$26,5,FALSE),H233-G233-I233)-IF(ISERROR(VLOOKUP(D233,Stammdaten!$I$9:$J$26,2,FALSE)),0,VLOOKUP(D233,Stammdaten!$I$9:$J$26,2,FALSE)/24)</f>
        <v>0</v>
      </c>
    </row>
    <row r="234" spans="2:10" x14ac:dyDescent="0.3">
      <c r="B234" s="50" t="str">
        <f t="shared" si="8"/>
        <v/>
      </c>
      <c r="C234" s="42" t="str">
        <f t="shared" si="7"/>
        <v/>
      </c>
      <c r="D234" s="60"/>
      <c r="E234" s="63"/>
      <c r="F234" s="61"/>
      <c r="G234" s="62"/>
      <c r="H234" s="62"/>
      <c r="I234" s="62"/>
      <c r="J234" s="49">
        <f>IF(AND(ISBLANK(G234),ISBLANK(H234),ISBLANK(I234)),VLOOKUP(TEXT(D234,"TTT"),Stammdaten!$B$20:$F$26,5,FALSE),H234-G234-I234)-IF(ISERROR(VLOOKUP(D234,Stammdaten!$I$9:$J$26,2,FALSE)),0,VLOOKUP(D234,Stammdaten!$I$9:$J$26,2,FALSE)/24)</f>
        <v>0</v>
      </c>
    </row>
    <row r="235" spans="2:10" x14ac:dyDescent="0.3">
      <c r="B235" s="50" t="str">
        <f t="shared" si="8"/>
        <v/>
      </c>
      <c r="C235" s="42" t="str">
        <f t="shared" si="7"/>
        <v/>
      </c>
      <c r="D235" s="60"/>
      <c r="E235" s="63"/>
      <c r="F235" s="61"/>
      <c r="G235" s="62"/>
      <c r="H235" s="62"/>
      <c r="I235" s="62"/>
      <c r="J235" s="49">
        <f>IF(AND(ISBLANK(G235),ISBLANK(H235),ISBLANK(I235)),VLOOKUP(TEXT(D235,"TTT"),Stammdaten!$B$20:$F$26,5,FALSE),H235-G235-I235)-IF(ISERROR(VLOOKUP(D235,Stammdaten!$I$9:$J$26,2,FALSE)),0,VLOOKUP(D235,Stammdaten!$I$9:$J$26,2,FALSE)/24)</f>
        <v>0</v>
      </c>
    </row>
    <row r="236" spans="2:10" x14ac:dyDescent="0.3">
      <c r="B236" s="50" t="str">
        <f t="shared" si="8"/>
        <v/>
      </c>
      <c r="C236" s="42" t="str">
        <f t="shared" si="7"/>
        <v/>
      </c>
      <c r="D236" s="60"/>
      <c r="E236" s="63"/>
      <c r="F236" s="61"/>
      <c r="G236" s="62"/>
      <c r="H236" s="62"/>
      <c r="I236" s="62"/>
      <c r="J236" s="49">
        <f>IF(AND(ISBLANK(G236),ISBLANK(H236),ISBLANK(I236)),VLOOKUP(TEXT(D236,"TTT"),Stammdaten!$B$20:$F$26,5,FALSE),H236-G236-I236)-IF(ISERROR(VLOOKUP(D236,Stammdaten!$I$9:$J$26,2,FALSE)),0,VLOOKUP(D236,Stammdaten!$I$9:$J$26,2,FALSE)/24)</f>
        <v>0</v>
      </c>
    </row>
    <row r="237" spans="2:10" x14ac:dyDescent="0.3">
      <c r="B237" s="50" t="str">
        <f t="shared" si="8"/>
        <v/>
      </c>
      <c r="C237" s="42" t="str">
        <f t="shared" si="7"/>
        <v/>
      </c>
      <c r="D237" s="60"/>
      <c r="E237" s="63"/>
      <c r="F237" s="61"/>
      <c r="G237" s="62"/>
      <c r="H237" s="62"/>
      <c r="I237" s="62"/>
      <c r="J237" s="49">
        <f>IF(AND(ISBLANK(G237),ISBLANK(H237),ISBLANK(I237)),VLOOKUP(TEXT(D237,"TTT"),Stammdaten!$B$20:$F$26,5,FALSE),H237-G237-I237)-IF(ISERROR(VLOOKUP(D237,Stammdaten!$I$9:$J$26,2,FALSE)),0,VLOOKUP(D237,Stammdaten!$I$9:$J$26,2,FALSE)/24)</f>
        <v>0</v>
      </c>
    </row>
    <row r="238" spans="2:10" x14ac:dyDescent="0.3">
      <c r="B238" s="50" t="str">
        <f t="shared" si="8"/>
        <v/>
      </c>
      <c r="C238" s="42" t="str">
        <f t="shared" si="7"/>
        <v/>
      </c>
      <c r="D238" s="60"/>
      <c r="E238" s="63"/>
      <c r="F238" s="61"/>
      <c r="G238" s="62"/>
      <c r="H238" s="62"/>
      <c r="I238" s="62"/>
      <c r="J238" s="49">
        <f>IF(AND(ISBLANK(G238),ISBLANK(H238),ISBLANK(I238)),VLOOKUP(TEXT(D238,"TTT"),Stammdaten!$B$20:$F$26,5,FALSE),H238-G238-I238)-IF(ISERROR(VLOOKUP(D238,Stammdaten!$I$9:$J$26,2,FALSE)),0,VLOOKUP(D238,Stammdaten!$I$9:$J$26,2,FALSE)/24)</f>
        <v>0</v>
      </c>
    </row>
    <row r="239" spans="2:10" x14ac:dyDescent="0.3">
      <c r="B239" s="50" t="str">
        <f t="shared" si="8"/>
        <v/>
      </c>
      <c r="C239" s="42" t="str">
        <f t="shared" si="7"/>
        <v/>
      </c>
      <c r="D239" s="60"/>
      <c r="E239" s="63"/>
      <c r="F239" s="61"/>
      <c r="G239" s="62"/>
      <c r="H239" s="62"/>
      <c r="I239" s="62"/>
      <c r="J239" s="49">
        <f>IF(AND(ISBLANK(G239),ISBLANK(H239),ISBLANK(I239)),VLOOKUP(TEXT(D239,"TTT"),Stammdaten!$B$20:$F$26,5,FALSE),H239-G239-I239)-IF(ISERROR(VLOOKUP(D239,Stammdaten!$I$9:$J$26,2,FALSE)),0,VLOOKUP(D239,Stammdaten!$I$9:$J$26,2,FALSE)/24)</f>
        <v>0</v>
      </c>
    </row>
    <row r="240" spans="2:10" x14ac:dyDescent="0.3">
      <c r="B240" s="50" t="str">
        <f t="shared" si="8"/>
        <v/>
      </c>
      <c r="C240" s="42" t="str">
        <f t="shared" si="7"/>
        <v/>
      </c>
      <c r="D240" s="60"/>
      <c r="E240" s="63"/>
      <c r="F240" s="61"/>
      <c r="G240" s="62"/>
      <c r="H240" s="62"/>
      <c r="I240" s="62"/>
      <c r="J240" s="49">
        <f>IF(AND(ISBLANK(G240),ISBLANK(H240),ISBLANK(I240)),VLOOKUP(TEXT(D240,"TTT"),Stammdaten!$B$20:$F$26,5,FALSE),H240-G240-I240)-IF(ISERROR(VLOOKUP(D240,Stammdaten!$I$9:$J$26,2,FALSE)),0,VLOOKUP(D240,Stammdaten!$I$9:$J$26,2,FALSE)/24)</f>
        <v>0</v>
      </c>
    </row>
    <row r="241" spans="2:10" x14ac:dyDescent="0.3">
      <c r="B241" s="50" t="str">
        <f t="shared" si="8"/>
        <v/>
      </c>
      <c r="C241" s="42" t="str">
        <f t="shared" si="7"/>
        <v/>
      </c>
      <c r="D241" s="60"/>
      <c r="E241" s="63"/>
      <c r="F241" s="61"/>
      <c r="G241" s="62"/>
      <c r="H241" s="62"/>
      <c r="I241" s="62"/>
      <c r="J241" s="49">
        <f>IF(AND(ISBLANK(G241),ISBLANK(H241),ISBLANK(I241)),VLOOKUP(TEXT(D241,"TTT"),Stammdaten!$B$20:$F$26,5,FALSE),H241-G241-I241)-IF(ISERROR(VLOOKUP(D241,Stammdaten!$I$9:$J$26,2,FALSE)),0,VLOOKUP(D241,Stammdaten!$I$9:$J$26,2,FALSE)/24)</f>
        <v>0</v>
      </c>
    </row>
    <row r="242" spans="2:10" x14ac:dyDescent="0.3">
      <c r="B242" s="50" t="str">
        <f t="shared" si="8"/>
        <v/>
      </c>
      <c r="C242" s="42" t="str">
        <f t="shared" si="7"/>
        <v/>
      </c>
      <c r="D242" s="60"/>
      <c r="E242" s="63"/>
      <c r="F242" s="61"/>
      <c r="G242" s="62"/>
      <c r="H242" s="62"/>
      <c r="I242" s="62"/>
      <c r="J242" s="49">
        <f>IF(AND(ISBLANK(G242),ISBLANK(H242),ISBLANK(I242)),VLOOKUP(TEXT(D242,"TTT"),Stammdaten!$B$20:$F$26,5,FALSE),H242-G242-I242)-IF(ISERROR(VLOOKUP(D242,Stammdaten!$I$9:$J$26,2,FALSE)),0,VLOOKUP(D242,Stammdaten!$I$9:$J$26,2,FALSE)/24)</f>
        <v>0</v>
      </c>
    </row>
    <row r="243" spans="2:10" x14ac:dyDescent="0.3">
      <c r="B243" s="50" t="str">
        <f t="shared" si="8"/>
        <v/>
      </c>
      <c r="C243" s="42" t="str">
        <f t="shared" si="7"/>
        <v/>
      </c>
      <c r="D243" s="60"/>
      <c r="E243" s="63"/>
      <c r="F243" s="61"/>
      <c r="G243" s="62"/>
      <c r="H243" s="62"/>
      <c r="I243" s="62"/>
      <c r="J243" s="49">
        <f>IF(AND(ISBLANK(G243),ISBLANK(H243),ISBLANK(I243)),VLOOKUP(TEXT(D243,"TTT"),Stammdaten!$B$20:$F$26,5,FALSE),H243-G243-I243)-IF(ISERROR(VLOOKUP(D243,Stammdaten!$I$9:$J$26,2,FALSE)),0,VLOOKUP(D243,Stammdaten!$I$9:$J$26,2,FALSE)/24)</f>
        <v>0</v>
      </c>
    </row>
    <row r="244" spans="2:10" x14ac:dyDescent="0.3">
      <c r="B244" s="50" t="str">
        <f t="shared" si="8"/>
        <v/>
      </c>
      <c r="C244" s="42" t="str">
        <f t="shared" si="7"/>
        <v/>
      </c>
      <c r="D244" s="60"/>
      <c r="E244" s="63"/>
      <c r="F244" s="61"/>
      <c r="G244" s="62"/>
      <c r="H244" s="62"/>
      <c r="I244" s="62"/>
      <c r="J244" s="49">
        <f>IF(AND(ISBLANK(G244),ISBLANK(H244),ISBLANK(I244)),VLOOKUP(TEXT(D244,"TTT"),Stammdaten!$B$20:$F$26,5,FALSE),H244-G244-I244)-IF(ISERROR(VLOOKUP(D244,Stammdaten!$I$9:$J$26,2,FALSE)),0,VLOOKUP(D244,Stammdaten!$I$9:$J$26,2,FALSE)/24)</f>
        <v>0</v>
      </c>
    </row>
    <row r="245" spans="2:10" x14ac:dyDescent="0.3">
      <c r="B245" s="50" t="str">
        <f t="shared" si="8"/>
        <v/>
      </c>
      <c r="C245" s="42" t="str">
        <f t="shared" si="7"/>
        <v/>
      </c>
      <c r="D245" s="60"/>
      <c r="E245" s="63"/>
      <c r="F245" s="61"/>
      <c r="G245" s="62"/>
      <c r="H245" s="62"/>
      <c r="I245" s="62"/>
      <c r="J245" s="49">
        <f>IF(AND(ISBLANK(G245),ISBLANK(H245),ISBLANK(I245)),VLOOKUP(TEXT(D245,"TTT"),Stammdaten!$B$20:$F$26,5,FALSE),H245-G245-I245)-IF(ISERROR(VLOOKUP(D245,Stammdaten!$I$9:$J$26,2,FALSE)),0,VLOOKUP(D245,Stammdaten!$I$9:$J$26,2,FALSE)/24)</f>
        <v>0</v>
      </c>
    </row>
    <row r="246" spans="2:10" x14ac:dyDescent="0.3">
      <c r="B246" s="50" t="str">
        <f t="shared" si="8"/>
        <v/>
      </c>
      <c r="C246" s="42" t="str">
        <f t="shared" si="7"/>
        <v/>
      </c>
      <c r="D246" s="60"/>
      <c r="E246" s="63"/>
      <c r="F246" s="61"/>
      <c r="G246" s="62"/>
      <c r="H246" s="62"/>
      <c r="I246" s="62"/>
      <c r="J246" s="49">
        <f>IF(AND(ISBLANK(G246),ISBLANK(H246),ISBLANK(I246)),VLOOKUP(TEXT(D246,"TTT"),Stammdaten!$B$20:$F$26,5,FALSE),H246-G246-I246)-IF(ISERROR(VLOOKUP(D246,Stammdaten!$I$9:$J$26,2,FALSE)),0,VLOOKUP(D246,Stammdaten!$I$9:$J$26,2,FALSE)/24)</f>
        <v>0</v>
      </c>
    </row>
    <row r="247" spans="2:10" x14ac:dyDescent="0.3">
      <c r="B247" s="50" t="str">
        <f t="shared" si="8"/>
        <v/>
      </c>
      <c r="C247" s="42" t="str">
        <f t="shared" si="7"/>
        <v/>
      </c>
      <c r="D247" s="60"/>
      <c r="E247" s="63"/>
      <c r="F247" s="61"/>
      <c r="G247" s="62"/>
      <c r="H247" s="62"/>
      <c r="I247" s="62"/>
      <c r="J247" s="49">
        <f>IF(AND(ISBLANK(G247),ISBLANK(H247),ISBLANK(I247)),VLOOKUP(TEXT(D247,"TTT"),Stammdaten!$B$20:$F$26,5,FALSE),H247-G247-I247)-IF(ISERROR(VLOOKUP(D247,Stammdaten!$I$9:$J$26,2,FALSE)),0,VLOOKUP(D247,Stammdaten!$I$9:$J$26,2,FALSE)/24)</f>
        <v>0</v>
      </c>
    </row>
    <row r="248" spans="2:10" x14ac:dyDescent="0.3">
      <c r="B248" s="50" t="str">
        <f t="shared" si="8"/>
        <v/>
      </c>
      <c r="C248" s="42" t="str">
        <f t="shared" si="7"/>
        <v/>
      </c>
      <c r="D248" s="60"/>
      <c r="E248" s="63"/>
      <c r="F248" s="61"/>
      <c r="G248" s="62"/>
      <c r="H248" s="62"/>
      <c r="I248" s="62"/>
      <c r="J248" s="49">
        <f>IF(AND(ISBLANK(G248),ISBLANK(H248),ISBLANK(I248)),VLOOKUP(TEXT(D248,"TTT"),Stammdaten!$B$20:$F$26,5,FALSE),H248-G248-I248)-IF(ISERROR(VLOOKUP(D248,Stammdaten!$I$9:$J$26,2,FALSE)),0,VLOOKUP(D248,Stammdaten!$I$9:$J$26,2,FALSE)/24)</f>
        <v>0</v>
      </c>
    </row>
    <row r="249" spans="2:10" x14ac:dyDescent="0.3">
      <c r="B249" s="50" t="str">
        <f t="shared" si="8"/>
        <v/>
      </c>
      <c r="C249" s="42" t="str">
        <f t="shared" si="7"/>
        <v/>
      </c>
      <c r="D249" s="60"/>
      <c r="E249" s="63"/>
      <c r="F249" s="61"/>
      <c r="G249" s="62"/>
      <c r="H249" s="62"/>
      <c r="I249" s="62"/>
      <c r="J249" s="49">
        <f>IF(AND(ISBLANK(G249),ISBLANK(H249),ISBLANK(I249)),VLOOKUP(TEXT(D249,"TTT"),Stammdaten!$B$20:$F$26,5,FALSE),H249-G249-I249)-IF(ISERROR(VLOOKUP(D249,Stammdaten!$I$9:$J$26,2,FALSE)),0,VLOOKUP(D249,Stammdaten!$I$9:$J$26,2,FALSE)/24)</f>
        <v>0</v>
      </c>
    </row>
    <row r="250" spans="2:10" x14ac:dyDescent="0.3">
      <c r="B250" s="50" t="str">
        <f t="shared" si="8"/>
        <v/>
      </c>
      <c r="C250" s="42" t="str">
        <f t="shared" si="7"/>
        <v/>
      </c>
      <c r="D250" s="60"/>
      <c r="E250" s="63"/>
      <c r="F250" s="61"/>
      <c r="G250" s="62"/>
      <c r="H250" s="62"/>
      <c r="I250" s="62"/>
      <c r="J250" s="49">
        <f>IF(AND(ISBLANK(G250),ISBLANK(H250),ISBLANK(I250)),VLOOKUP(TEXT(D250,"TTT"),Stammdaten!$B$20:$F$26,5,FALSE),H250-G250-I250)-IF(ISERROR(VLOOKUP(D250,Stammdaten!$I$9:$J$26,2,FALSE)),0,VLOOKUP(D250,Stammdaten!$I$9:$J$26,2,FALSE)/24)</f>
        <v>0</v>
      </c>
    </row>
    <row r="251" spans="2:10" x14ac:dyDescent="0.3">
      <c r="B251" s="50" t="str">
        <f t="shared" si="8"/>
        <v/>
      </c>
      <c r="C251" s="42" t="str">
        <f t="shared" si="7"/>
        <v/>
      </c>
      <c r="D251" s="60"/>
      <c r="E251" s="63"/>
      <c r="F251" s="61"/>
      <c r="G251" s="62"/>
      <c r="H251" s="62"/>
      <c r="I251" s="62"/>
      <c r="J251" s="49">
        <f>IF(AND(ISBLANK(G251),ISBLANK(H251),ISBLANK(I251)),VLOOKUP(TEXT(D251,"TTT"),Stammdaten!$B$20:$F$26,5,FALSE),H251-G251-I251)-IF(ISERROR(VLOOKUP(D251,Stammdaten!$I$9:$J$26,2,FALSE)),0,VLOOKUP(D251,Stammdaten!$I$9:$J$26,2,FALSE)/24)</f>
        <v>0</v>
      </c>
    </row>
    <row r="252" spans="2:10" x14ac:dyDescent="0.3">
      <c r="B252" s="50" t="str">
        <f t="shared" si="8"/>
        <v/>
      </c>
      <c r="C252" s="42" t="str">
        <f t="shared" si="7"/>
        <v/>
      </c>
      <c r="D252" s="60"/>
      <c r="E252" s="63"/>
      <c r="F252" s="61"/>
      <c r="G252" s="62"/>
      <c r="H252" s="62"/>
      <c r="I252" s="62"/>
      <c r="J252" s="49">
        <f>IF(AND(ISBLANK(G252),ISBLANK(H252),ISBLANK(I252)),VLOOKUP(TEXT(D252,"TTT"),Stammdaten!$B$20:$F$26,5,FALSE),H252-G252-I252)-IF(ISERROR(VLOOKUP(D252,Stammdaten!$I$9:$J$26,2,FALSE)),0,VLOOKUP(D252,Stammdaten!$I$9:$J$26,2,FALSE)/24)</f>
        <v>0</v>
      </c>
    </row>
    <row r="253" spans="2:10" x14ac:dyDescent="0.3">
      <c r="B253" s="50" t="str">
        <f t="shared" si="8"/>
        <v/>
      </c>
      <c r="C253" s="42" t="str">
        <f t="shared" si="7"/>
        <v/>
      </c>
      <c r="D253" s="60"/>
      <c r="E253" s="63"/>
      <c r="F253" s="61"/>
      <c r="G253" s="62"/>
      <c r="H253" s="62"/>
      <c r="I253" s="62"/>
      <c r="J253" s="49">
        <f>IF(AND(ISBLANK(G253),ISBLANK(H253),ISBLANK(I253)),VLOOKUP(TEXT(D253,"TTT"),Stammdaten!$B$20:$F$26,5,FALSE),H253-G253-I253)-IF(ISERROR(VLOOKUP(D253,Stammdaten!$I$9:$J$26,2,FALSE)),0,VLOOKUP(D253,Stammdaten!$I$9:$J$26,2,FALSE)/24)</f>
        <v>0</v>
      </c>
    </row>
    <row r="254" spans="2:10" x14ac:dyDescent="0.3">
      <c r="B254" s="50" t="str">
        <f t="shared" si="8"/>
        <v/>
      </c>
      <c r="C254" s="42" t="str">
        <f t="shared" si="7"/>
        <v/>
      </c>
      <c r="D254" s="60"/>
      <c r="E254" s="63"/>
      <c r="F254" s="61"/>
      <c r="G254" s="62"/>
      <c r="H254" s="62"/>
      <c r="I254" s="62"/>
      <c r="J254" s="49">
        <f>IF(AND(ISBLANK(G254),ISBLANK(H254),ISBLANK(I254)),VLOOKUP(TEXT(D254,"TTT"),Stammdaten!$B$20:$F$26,5,FALSE),H254-G254-I254)-IF(ISERROR(VLOOKUP(D254,Stammdaten!$I$9:$J$26,2,FALSE)),0,VLOOKUP(D254,Stammdaten!$I$9:$J$26,2,FALSE)/24)</f>
        <v>0</v>
      </c>
    </row>
    <row r="255" spans="2:10" x14ac:dyDescent="0.3">
      <c r="B255" s="50" t="str">
        <f t="shared" si="8"/>
        <v/>
      </c>
      <c r="C255" s="42" t="str">
        <f t="shared" si="7"/>
        <v/>
      </c>
      <c r="D255" s="60"/>
      <c r="E255" s="63"/>
      <c r="F255" s="61"/>
      <c r="G255" s="62"/>
      <c r="H255" s="62"/>
      <c r="I255" s="62"/>
      <c r="J255" s="49">
        <f>IF(AND(ISBLANK(G255),ISBLANK(H255),ISBLANK(I255)),VLOOKUP(TEXT(D255,"TTT"),Stammdaten!$B$20:$F$26,5,FALSE),H255-G255-I255)-IF(ISERROR(VLOOKUP(D255,Stammdaten!$I$9:$J$26,2,FALSE)),0,VLOOKUP(D255,Stammdaten!$I$9:$J$26,2,FALSE)/24)</f>
        <v>0</v>
      </c>
    </row>
    <row r="256" spans="2:10" x14ac:dyDescent="0.3">
      <c r="B256" s="50" t="str">
        <f t="shared" si="8"/>
        <v/>
      </c>
      <c r="C256" s="42" t="str">
        <f t="shared" si="7"/>
        <v/>
      </c>
      <c r="D256" s="60"/>
      <c r="E256" s="63"/>
      <c r="F256" s="61"/>
      <c r="G256" s="62"/>
      <c r="H256" s="62"/>
      <c r="I256" s="62"/>
      <c r="J256" s="49">
        <f>IF(AND(ISBLANK(G256),ISBLANK(H256),ISBLANK(I256)),VLOOKUP(TEXT(D256,"TTT"),Stammdaten!$B$20:$F$26,5,FALSE),H256-G256-I256)-IF(ISERROR(VLOOKUP(D256,Stammdaten!$I$9:$J$26,2,FALSE)),0,VLOOKUP(D256,Stammdaten!$I$9:$J$26,2,FALSE)/24)</f>
        <v>0</v>
      </c>
    </row>
    <row r="257" spans="2:10" x14ac:dyDescent="0.3">
      <c r="B257" s="50" t="str">
        <f t="shared" si="8"/>
        <v/>
      </c>
      <c r="C257" s="42" t="str">
        <f t="shared" si="7"/>
        <v/>
      </c>
      <c r="D257" s="60"/>
      <c r="E257" s="63"/>
      <c r="F257" s="61"/>
      <c r="G257" s="62"/>
      <c r="H257" s="62"/>
      <c r="I257" s="62"/>
      <c r="J257" s="49">
        <f>IF(AND(ISBLANK(G257),ISBLANK(H257),ISBLANK(I257)),VLOOKUP(TEXT(D257,"TTT"),Stammdaten!$B$20:$F$26,5,FALSE),H257-G257-I257)-IF(ISERROR(VLOOKUP(D257,Stammdaten!$I$9:$J$26,2,FALSE)),0,VLOOKUP(D257,Stammdaten!$I$9:$J$26,2,FALSE)/24)</f>
        <v>0</v>
      </c>
    </row>
    <row r="258" spans="2:10" x14ac:dyDescent="0.3">
      <c r="B258" s="50" t="str">
        <f t="shared" si="8"/>
        <v/>
      </c>
      <c r="C258" s="42" t="str">
        <f t="shared" ref="C258:C321" si="9">IF(D258="","",D258)</f>
        <v/>
      </c>
      <c r="D258" s="60"/>
      <c r="E258" s="63"/>
      <c r="F258" s="61"/>
      <c r="G258" s="62"/>
      <c r="H258" s="62"/>
      <c r="I258" s="62"/>
      <c r="J258" s="49">
        <f>IF(AND(ISBLANK(G258),ISBLANK(H258),ISBLANK(I258)),VLOOKUP(TEXT(D258,"TTT"),Stammdaten!$B$20:$F$26,5,FALSE),H258-G258-I258)-IF(ISERROR(VLOOKUP(D258,Stammdaten!$I$9:$J$26,2,FALSE)),0,VLOOKUP(D258,Stammdaten!$I$9:$J$26,2,FALSE)/24)</f>
        <v>0</v>
      </c>
    </row>
    <row r="259" spans="2:10" x14ac:dyDescent="0.3">
      <c r="B259" s="50" t="str">
        <f t="shared" si="8"/>
        <v/>
      </c>
      <c r="C259" s="42" t="str">
        <f t="shared" si="9"/>
        <v/>
      </c>
      <c r="D259" s="60"/>
      <c r="E259" s="63"/>
      <c r="F259" s="61"/>
      <c r="G259" s="62"/>
      <c r="H259" s="62"/>
      <c r="I259" s="62"/>
      <c r="J259" s="49">
        <f>IF(AND(ISBLANK(G259),ISBLANK(H259),ISBLANK(I259)),VLOOKUP(TEXT(D259,"TTT"),Stammdaten!$B$20:$F$26,5,FALSE),H259-G259-I259)-IF(ISERROR(VLOOKUP(D259,Stammdaten!$I$9:$J$26,2,FALSE)),0,VLOOKUP(D259,Stammdaten!$I$9:$J$26,2,FALSE)/24)</f>
        <v>0</v>
      </c>
    </row>
    <row r="260" spans="2:10" x14ac:dyDescent="0.3">
      <c r="B260" s="50" t="str">
        <f t="shared" ref="B260:B323" si="10">IF(ISBLANK(E260),"",VLOOKUP(E260,$L$2:$M$11,2,FALSE))</f>
        <v/>
      </c>
      <c r="C260" s="42" t="str">
        <f t="shared" si="9"/>
        <v/>
      </c>
      <c r="D260" s="60"/>
      <c r="E260" s="63"/>
      <c r="F260" s="61"/>
      <c r="G260" s="62"/>
      <c r="H260" s="62"/>
      <c r="I260" s="62"/>
      <c r="J260" s="49">
        <f>IF(AND(ISBLANK(G260),ISBLANK(H260),ISBLANK(I260)),VLOOKUP(TEXT(D260,"TTT"),Stammdaten!$B$20:$F$26,5,FALSE),H260-G260-I260)-IF(ISERROR(VLOOKUP(D260,Stammdaten!$I$9:$J$26,2,FALSE)),0,VLOOKUP(D260,Stammdaten!$I$9:$J$26,2,FALSE)/24)</f>
        <v>0</v>
      </c>
    </row>
    <row r="261" spans="2:10" x14ac:dyDescent="0.3">
      <c r="B261" s="50" t="str">
        <f t="shared" si="10"/>
        <v/>
      </c>
      <c r="C261" s="42" t="str">
        <f t="shared" si="9"/>
        <v/>
      </c>
      <c r="D261" s="60"/>
      <c r="E261" s="63"/>
      <c r="F261" s="61"/>
      <c r="G261" s="62"/>
      <c r="H261" s="62"/>
      <c r="I261" s="62"/>
      <c r="J261" s="49">
        <f>IF(AND(ISBLANK(G261),ISBLANK(H261),ISBLANK(I261)),VLOOKUP(TEXT(D261,"TTT"),Stammdaten!$B$20:$F$26,5,FALSE),H261-G261-I261)-IF(ISERROR(VLOOKUP(D261,Stammdaten!$I$9:$J$26,2,FALSE)),0,VLOOKUP(D261,Stammdaten!$I$9:$J$26,2,FALSE)/24)</f>
        <v>0</v>
      </c>
    </row>
    <row r="262" spans="2:10" x14ac:dyDescent="0.3">
      <c r="B262" s="50" t="str">
        <f t="shared" si="10"/>
        <v/>
      </c>
      <c r="C262" s="42" t="str">
        <f t="shared" si="9"/>
        <v/>
      </c>
      <c r="D262" s="60"/>
      <c r="E262" s="63"/>
      <c r="F262" s="61"/>
      <c r="G262" s="62"/>
      <c r="H262" s="62"/>
      <c r="I262" s="62"/>
      <c r="J262" s="49">
        <f>IF(AND(ISBLANK(G262),ISBLANK(H262),ISBLANK(I262)),VLOOKUP(TEXT(D262,"TTT"),Stammdaten!$B$20:$F$26,5,FALSE),H262-G262-I262)-IF(ISERROR(VLOOKUP(D262,Stammdaten!$I$9:$J$26,2,FALSE)),0,VLOOKUP(D262,Stammdaten!$I$9:$J$26,2,FALSE)/24)</f>
        <v>0</v>
      </c>
    </row>
    <row r="263" spans="2:10" x14ac:dyDescent="0.3">
      <c r="B263" s="50" t="str">
        <f t="shared" si="10"/>
        <v/>
      </c>
      <c r="C263" s="42" t="str">
        <f t="shared" si="9"/>
        <v/>
      </c>
      <c r="D263" s="60"/>
      <c r="E263" s="63"/>
      <c r="F263" s="61"/>
      <c r="G263" s="62"/>
      <c r="H263" s="62"/>
      <c r="I263" s="62"/>
      <c r="J263" s="49">
        <f>IF(AND(ISBLANK(G263),ISBLANK(H263),ISBLANK(I263)),VLOOKUP(TEXT(D263,"TTT"),Stammdaten!$B$20:$F$26,5,FALSE),H263-G263-I263)-IF(ISERROR(VLOOKUP(D263,Stammdaten!$I$9:$J$26,2,FALSE)),0,VLOOKUP(D263,Stammdaten!$I$9:$J$26,2,FALSE)/24)</f>
        <v>0</v>
      </c>
    </row>
    <row r="264" spans="2:10" x14ac:dyDescent="0.3">
      <c r="B264" s="50" t="str">
        <f t="shared" si="10"/>
        <v/>
      </c>
      <c r="C264" s="42" t="str">
        <f t="shared" si="9"/>
        <v/>
      </c>
      <c r="D264" s="60"/>
      <c r="E264" s="63"/>
      <c r="F264" s="61"/>
      <c r="G264" s="62"/>
      <c r="H264" s="62"/>
      <c r="I264" s="62"/>
      <c r="J264" s="49">
        <f>IF(AND(ISBLANK(G264),ISBLANK(H264),ISBLANK(I264)),VLOOKUP(TEXT(D264,"TTT"),Stammdaten!$B$20:$F$26,5,FALSE),H264-G264-I264)-IF(ISERROR(VLOOKUP(D264,Stammdaten!$I$9:$J$26,2,FALSE)),0,VLOOKUP(D264,Stammdaten!$I$9:$J$26,2,FALSE)/24)</f>
        <v>0</v>
      </c>
    </row>
    <row r="265" spans="2:10" x14ac:dyDescent="0.3">
      <c r="B265" s="50" t="str">
        <f t="shared" si="10"/>
        <v/>
      </c>
      <c r="C265" s="42" t="str">
        <f t="shared" si="9"/>
        <v/>
      </c>
      <c r="D265" s="60"/>
      <c r="E265" s="63"/>
      <c r="F265" s="61"/>
      <c r="G265" s="62"/>
      <c r="H265" s="62"/>
      <c r="I265" s="62"/>
      <c r="J265" s="49">
        <f>IF(AND(ISBLANK(G265),ISBLANK(H265),ISBLANK(I265)),VLOOKUP(TEXT(D265,"TTT"),Stammdaten!$B$20:$F$26,5,FALSE),H265-G265-I265)-IF(ISERROR(VLOOKUP(D265,Stammdaten!$I$9:$J$26,2,FALSE)),0,VLOOKUP(D265,Stammdaten!$I$9:$J$26,2,FALSE)/24)</f>
        <v>0</v>
      </c>
    </row>
    <row r="266" spans="2:10" x14ac:dyDescent="0.3">
      <c r="B266" s="50" t="str">
        <f t="shared" si="10"/>
        <v/>
      </c>
      <c r="C266" s="42" t="str">
        <f t="shared" si="9"/>
        <v/>
      </c>
      <c r="D266" s="60"/>
      <c r="E266" s="63"/>
      <c r="F266" s="61"/>
      <c r="G266" s="62"/>
      <c r="H266" s="62"/>
      <c r="I266" s="62"/>
      <c r="J266" s="49">
        <f>IF(AND(ISBLANK(G266),ISBLANK(H266),ISBLANK(I266)),VLOOKUP(TEXT(D266,"TTT"),Stammdaten!$B$20:$F$26,5,FALSE),H266-G266-I266)-IF(ISERROR(VLOOKUP(D266,Stammdaten!$I$9:$J$26,2,FALSE)),0,VLOOKUP(D266,Stammdaten!$I$9:$J$26,2,FALSE)/24)</f>
        <v>0</v>
      </c>
    </row>
    <row r="267" spans="2:10" x14ac:dyDescent="0.3">
      <c r="B267" s="50" t="str">
        <f t="shared" si="10"/>
        <v/>
      </c>
      <c r="C267" s="42" t="str">
        <f t="shared" si="9"/>
        <v/>
      </c>
      <c r="D267" s="60"/>
      <c r="E267" s="63"/>
      <c r="F267" s="61"/>
      <c r="G267" s="62"/>
      <c r="H267" s="62"/>
      <c r="I267" s="62"/>
      <c r="J267" s="49">
        <f>IF(AND(ISBLANK(G267),ISBLANK(H267),ISBLANK(I267)),VLOOKUP(TEXT(D267,"TTT"),Stammdaten!$B$20:$F$26,5,FALSE),H267-G267-I267)-IF(ISERROR(VLOOKUP(D267,Stammdaten!$I$9:$J$26,2,FALSE)),0,VLOOKUP(D267,Stammdaten!$I$9:$J$26,2,FALSE)/24)</f>
        <v>0</v>
      </c>
    </row>
    <row r="268" spans="2:10" x14ac:dyDescent="0.3">
      <c r="B268" s="50" t="str">
        <f t="shared" si="10"/>
        <v/>
      </c>
      <c r="C268" s="42" t="str">
        <f t="shared" si="9"/>
        <v/>
      </c>
      <c r="D268" s="60"/>
      <c r="E268" s="63"/>
      <c r="F268" s="61"/>
      <c r="G268" s="62"/>
      <c r="H268" s="62"/>
      <c r="I268" s="62"/>
      <c r="J268" s="49">
        <f>IF(AND(ISBLANK(G268),ISBLANK(H268),ISBLANK(I268)),VLOOKUP(TEXT(D268,"TTT"),Stammdaten!$B$20:$F$26,5,FALSE),H268-G268-I268)-IF(ISERROR(VLOOKUP(D268,Stammdaten!$I$9:$J$26,2,FALSE)),0,VLOOKUP(D268,Stammdaten!$I$9:$J$26,2,FALSE)/24)</f>
        <v>0</v>
      </c>
    </row>
    <row r="269" spans="2:10" x14ac:dyDescent="0.3">
      <c r="B269" s="50" t="str">
        <f t="shared" si="10"/>
        <v/>
      </c>
      <c r="C269" s="42" t="str">
        <f t="shared" si="9"/>
        <v/>
      </c>
      <c r="D269" s="60"/>
      <c r="E269" s="63"/>
      <c r="F269" s="61"/>
      <c r="G269" s="62"/>
      <c r="H269" s="62"/>
      <c r="I269" s="62"/>
      <c r="J269" s="49">
        <f>IF(AND(ISBLANK(G269),ISBLANK(H269),ISBLANK(I269)),VLOOKUP(TEXT(D269,"TTT"),Stammdaten!$B$20:$F$26,5,FALSE),H269-G269-I269)-IF(ISERROR(VLOOKUP(D269,Stammdaten!$I$9:$J$26,2,FALSE)),0,VLOOKUP(D269,Stammdaten!$I$9:$J$26,2,FALSE)/24)</f>
        <v>0</v>
      </c>
    </row>
    <row r="270" spans="2:10" x14ac:dyDescent="0.3">
      <c r="B270" s="50" t="str">
        <f t="shared" si="10"/>
        <v/>
      </c>
      <c r="C270" s="42" t="str">
        <f t="shared" si="9"/>
        <v/>
      </c>
      <c r="D270" s="60"/>
      <c r="E270" s="63"/>
      <c r="F270" s="61"/>
      <c r="G270" s="62"/>
      <c r="H270" s="62"/>
      <c r="I270" s="62"/>
      <c r="J270" s="49">
        <f>IF(AND(ISBLANK(G270),ISBLANK(H270),ISBLANK(I270)),VLOOKUP(TEXT(D270,"TTT"),Stammdaten!$B$20:$F$26,5,FALSE),H270-G270-I270)-IF(ISERROR(VLOOKUP(D270,Stammdaten!$I$9:$J$26,2,FALSE)),0,VLOOKUP(D270,Stammdaten!$I$9:$J$26,2,FALSE)/24)</f>
        <v>0</v>
      </c>
    </row>
    <row r="271" spans="2:10" x14ac:dyDescent="0.3">
      <c r="B271" s="50" t="str">
        <f t="shared" si="10"/>
        <v/>
      </c>
      <c r="C271" s="42" t="str">
        <f t="shared" si="9"/>
        <v/>
      </c>
      <c r="D271" s="60"/>
      <c r="E271" s="63"/>
      <c r="F271" s="61"/>
      <c r="G271" s="62"/>
      <c r="H271" s="62"/>
      <c r="I271" s="62"/>
      <c r="J271" s="49">
        <f>IF(AND(ISBLANK(G271),ISBLANK(H271),ISBLANK(I271)),VLOOKUP(TEXT(D271,"TTT"),Stammdaten!$B$20:$F$26,5,FALSE),H271-G271-I271)-IF(ISERROR(VLOOKUP(D271,Stammdaten!$I$9:$J$26,2,FALSE)),0,VLOOKUP(D271,Stammdaten!$I$9:$J$26,2,FALSE)/24)</f>
        <v>0</v>
      </c>
    </row>
    <row r="272" spans="2:10" x14ac:dyDescent="0.3">
      <c r="B272" s="50" t="str">
        <f t="shared" si="10"/>
        <v/>
      </c>
      <c r="C272" s="42" t="str">
        <f t="shared" si="9"/>
        <v/>
      </c>
      <c r="D272" s="60"/>
      <c r="E272" s="63"/>
      <c r="F272" s="61"/>
      <c r="G272" s="62"/>
      <c r="H272" s="62"/>
      <c r="I272" s="62"/>
      <c r="J272" s="49">
        <f>IF(AND(ISBLANK(G272),ISBLANK(H272),ISBLANK(I272)),VLOOKUP(TEXT(D272,"TTT"),Stammdaten!$B$20:$F$26,5,FALSE),H272-G272-I272)-IF(ISERROR(VLOOKUP(D272,Stammdaten!$I$9:$J$26,2,FALSE)),0,VLOOKUP(D272,Stammdaten!$I$9:$J$26,2,FALSE)/24)</f>
        <v>0</v>
      </c>
    </row>
    <row r="273" spans="2:10" x14ac:dyDescent="0.3">
      <c r="B273" s="50" t="str">
        <f t="shared" si="10"/>
        <v/>
      </c>
      <c r="C273" s="42" t="str">
        <f t="shared" si="9"/>
        <v/>
      </c>
      <c r="D273" s="60"/>
      <c r="E273" s="63"/>
      <c r="F273" s="61"/>
      <c r="G273" s="62"/>
      <c r="H273" s="62"/>
      <c r="I273" s="62"/>
      <c r="J273" s="49">
        <f>IF(AND(ISBLANK(G273),ISBLANK(H273),ISBLANK(I273)),VLOOKUP(TEXT(D273,"TTT"),Stammdaten!$B$20:$F$26,5,FALSE),H273-G273-I273)-IF(ISERROR(VLOOKUP(D273,Stammdaten!$I$9:$J$26,2,FALSE)),0,VLOOKUP(D273,Stammdaten!$I$9:$J$26,2,FALSE)/24)</f>
        <v>0</v>
      </c>
    </row>
    <row r="274" spans="2:10" x14ac:dyDescent="0.3">
      <c r="B274" s="50" t="str">
        <f t="shared" si="10"/>
        <v/>
      </c>
      <c r="C274" s="42" t="str">
        <f t="shared" si="9"/>
        <v/>
      </c>
      <c r="D274" s="60"/>
      <c r="E274" s="63"/>
      <c r="F274" s="61"/>
      <c r="G274" s="62"/>
      <c r="H274" s="62"/>
      <c r="I274" s="62"/>
      <c r="J274" s="49">
        <f>IF(AND(ISBLANK(G274),ISBLANK(H274),ISBLANK(I274)),VLOOKUP(TEXT(D274,"TTT"),Stammdaten!$B$20:$F$26,5,FALSE),H274-G274-I274)-IF(ISERROR(VLOOKUP(D274,Stammdaten!$I$9:$J$26,2,FALSE)),0,VLOOKUP(D274,Stammdaten!$I$9:$J$26,2,FALSE)/24)</f>
        <v>0</v>
      </c>
    </row>
    <row r="275" spans="2:10" x14ac:dyDescent="0.3">
      <c r="B275" s="50" t="str">
        <f t="shared" si="10"/>
        <v/>
      </c>
      <c r="C275" s="42" t="str">
        <f t="shared" si="9"/>
        <v/>
      </c>
      <c r="D275" s="60"/>
      <c r="E275" s="63"/>
      <c r="F275" s="61"/>
      <c r="G275" s="62"/>
      <c r="H275" s="62"/>
      <c r="I275" s="62"/>
      <c r="J275" s="49">
        <f>IF(AND(ISBLANK(G275),ISBLANK(H275),ISBLANK(I275)),VLOOKUP(TEXT(D275,"TTT"),Stammdaten!$B$20:$F$26,5,FALSE),H275-G275-I275)-IF(ISERROR(VLOOKUP(D275,Stammdaten!$I$9:$J$26,2,FALSE)),0,VLOOKUP(D275,Stammdaten!$I$9:$J$26,2,FALSE)/24)</f>
        <v>0</v>
      </c>
    </row>
    <row r="276" spans="2:10" x14ac:dyDescent="0.3">
      <c r="B276" s="50" t="str">
        <f t="shared" si="10"/>
        <v/>
      </c>
      <c r="C276" s="42" t="str">
        <f t="shared" si="9"/>
        <v/>
      </c>
      <c r="D276" s="60"/>
      <c r="E276" s="63"/>
      <c r="F276" s="61"/>
      <c r="G276" s="62"/>
      <c r="H276" s="62"/>
      <c r="I276" s="62"/>
      <c r="J276" s="49">
        <f>IF(AND(ISBLANK(G276),ISBLANK(H276),ISBLANK(I276)),VLOOKUP(TEXT(D276,"TTT"),Stammdaten!$B$20:$F$26,5,FALSE),H276-G276-I276)-IF(ISERROR(VLOOKUP(D276,Stammdaten!$I$9:$J$26,2,FALSE)),0,VLOOKUP(D276,Stammdaten!$I$9:$J$26,2,FALSE)/24)</f>
        <v>0</v>
      </c>
    </row>
    <row r="277" spans="2:10" x14ac:dyDescent="0.3">
      <c r="B277" s="50" t="str">
        <f t="shared" si="10"/>
        <v/>
      </c>
      <c r="C277" s="42" t="str">
        <f t="shared" si="9"/>
        <v/>
      </c>
      <c r="D277" s="60"/>
      <c r="E277" s="63"/>
      <c r="F277" s="61"/>
      <c r="G277" s="62"/>
      <c r="H277" s="62"/>
      <c r="I277" s="62"/>
      <c r="J277" s="49">
        <f>IF(AND(ISBLANK(G277),ISBLANK(H277),ISBLANK(I277)),VLOOKUP(TEXT(D277,"TTT"),Stammdaten!$B$20:$F$26,5,FALSE),H277-G277-I277)-IF(ISERROR(VLOOKUP(D277,Stammdaten!$I$9:$J$26,2,FALSE)),0,VLOOKUP(D277,Stammdaten!$I$9:$J$26,2,FALSE)/24)</f>
        <v>0</v>
      </c>
    </row>
    <row r="278" spans="2:10" x14ac:dyDescent="0.3">
      <c r="B278" s="50" t="str">
        <f t="shared" si="10"/>
        <v/>
      </c>
      <c r="C278" s="42" t="str">
        <f t="shared" si="9"/>
        <v/>
      </c>
      <c r="D278" s="60"/>
      <c r="E278" s="63"/>
      <c r="F278" s="61"/>
      <c r="G278" s="62"/>
      <c r="H278" s="62"/>
      <c r="I278" s="62"/>
      <c r="J278" s="49">
        <f>IF(AND(ISBLANK(G278),ISBLANK(H278),ISBLANK(I278)),VLOOKUP(TEXT(D278,"TTT"),Stammdaten!$B$20:$F$26,5,FALSE),H278-G278-I278)-IF(ISERROR(VLOOKUP(D278,Stammdaten!$I$9:$J$26,2,FALSE)),0,VLOOKUP(D278,Stammdaten!$I$9:$J$26,2,FALSE)/24)</f>
        <v>0</v>
      </c>
    </row>
    <row r="279" spans="2:10" x14ac:dyDescent="0.3">
      <c r="B279" s="50" t="str">
        <f t="shared" si="10"/>
        <v/>
      </c>
      <c r="C279" s="42" t="str">
        <f t="shared" si="9"/>
        <v/>
      </c>
      <c r="D279" s="60"/>
      <c r="E279" s="63"/>
      <c r="F279" s="61"/>
      <c r="G279" s="62"/>
      <c r="H279" s="62"/>
      <c r="I279" s="62"/>
      <c r="J279" s="49">
        <f>IF(AND(ISBLANK(G279),ISBLANK(H279),ISBLANK(I279)),VLOOKUP(TEXT(D279,"TTT"),Stammdaten!$B$20:$F$26,5,FALSE),H279-G279-I279)-IF(ISERROR(VLOOKUP(D279,Stammdaten!$I$9:$J$26,2,FALSE)),0,VLOOKUP(D279,Stammdaten!$I$9:$J$26,2,FALSE)/24)</f>
        <v>0</v>
      </c>
    </row>
    <row r="280" spans="2:10" x14ac:dyDescent="0.3">
      <c r="B280" s="50" t="str">
        <f t="shared" si="10"/>
        <v/>
      </c>
      <c r="C280" s="42" t="str">
        <f t="shared" si="9"/>
        <v/>
      </c>
      <c r="D280" s="60"/>
      <c r="E280" s="63"/>
      <c r="F280" s="61"/>
      <c r="G280" s="62"/>
      <c r="H280" s="62"/>
      <c r="I280" s="62"/>
      <c r="J280" s="49">
        <f>IF(AND(ISBLANK(G280),ISBLANK(H280),ISBLANK(I280)),VLOOKUP(TEXT(D280,"TTT"),Stammdaten!$B$20:$F$26,5,FALSE),H280-G280-I280)-IF(ISERROR(VLOOKUP(D280,Stammdaten!$I$9:$J$26,2,FALSE)),0,VLOOKUP(D280,Stammdaten!$I$9:$J$26,2,FALSE)/24)</f>
        <v>0</v>
      </c>
    </row>
    <row r="281" spans="2:10" x14ac:dyDescent="0.3">
      <c r="B281" s="50" t="str">
        <f t="shared" si="10"/>
        <v/>
      </c>
      <c r="C281" s="42" t="str">
        <f t="shared" si="9"/>
        <v/>
      </c>
      <c r="D281" s="60"/>
      <c r="E281" s="63"/>
      <c r="F281" s="61"/>
      <c r="G281" s="62"/>
      <c r="H281" s="62"/>
      <c r="I281" s="62"/>
      <c r="J281" s="49">
        <f>IF(AND(ISBLANK(G281),ISBLANK(H281),ISBLANK(I281)),VLOOKUP(TEXT(D281,"TTT"),Stammdaten!$B$20:$F$26,5,FALSE),H281-G281-I281)-IF(ISERROR(VLOOKUP(D281,Stammdaten!$I$9:$J$26,2,FALSE)),0,VLOOKUP(D281,Stammdaten!$I$9:$J$26,2,FALSE)/24)</f>
        <v>0</v>
      </c>
    </row>
    <row r="282" spans="2:10" x14ac:dyDescent="0.3">
      <c r="B282" s="50" t="str">
        <f t="shared" si="10"/>
        <v/>
      </c>
      <c r="C282" s="42" t="str">
        <f t="shared" si="9"/>
        <v/>
      </c>
      <c r="D282" s="60"/>
      <c r="E282" s="63"/>
      <c r="F282" s="61"/>
      <c r="G282" s="62"/>
      <c r="H282" s="62"/>
      <c r="I282" s="62"/>
      <c r="J282" s="49">
        <f>IF(AND(ISBLANK(G282),ISBLANK(H282),ISBLANK(I282)),VLOOKUP(TEXT(D282,"TTT"),Stammdaten!$B$20:$F$26,5,FALSE),H282-G282-I282)-IF(ISERROR(VLOOKUP(D282,Stammdaten!$I$9:$J$26,2,FALSE)),0,VLOOKUP(D282,Stammdaten!$I$9:$J$26,2,FALSE)/24)</f>
        <v>0</v>
      </c>
    </row>
    <row r="283" spans="2:10" x14ac:dyDescent="0.3">
      <c r="B283" s="50" t="str">
        <f t="shared" si="10"/>
        <v/>
      </c>
      <c r="C283" s="42" t="str">
        <f t="shared" si="9"/>
        <v/>
      </c>
      <c r="D283" s="60"/>
      <c r="E283" s="63"/>
      <c r="F283" s="61"/>
      <c r="G283" s="62"/>
      <c r="H283" s="62"/>
      <c r="I283" s="62"/>
      <c r="J283" s="49">
        <f>IF(AND(ISBLANK(G283),ISBLANK(H283),ISBLANK(I283)),VLOOKUP(TEXT(D283,"TTT"),Stammdaten!$B$20:$F$26,5,FALSE),H283-G283-I283)-IF(ISERROR(VLOOKUP(D283,Stammdaten!$I$9:$J$26,2,FALSE)),0,VLOOKUP(D283,Stammdaten!$I$9:$J$26,2,FALSE)/24)</f>
        <v>0</v>
      </c>
    </row>
    <row r="284" spans="2:10" x14ac:dyDescent="0.3">
      <c r="B284" s="50" t="str">
        <f t="shared" si="10"/>
        <v/>
      </c>
      <c r="C284" s="42" t="str">
        <f t="shared" si="9"/>
        <v/>
      </c>
      <c r="D284" s="60"/>
      <c r="E284" s="63"/>
      <c r="F284" s="61"/>
      <c r="G284" s="62"/>
      <c r="H284" s="62"/>
      <c r="I284" s="62"/>
      <c r="J284" s="49">
        <f>IF(AND(ISBLANK(G284),ISBLANK(H284),ISBLANK(I284)),VLOOKUP(TEXT(D284,"TTT"),Stammdaten!$B$20:$F$26,5,FALSE),H284-G284-I284)-IF(ISERROR(VLOOKUP(D284,Stammdaten!$I$9:$J$26,2,FALSE)),0,VLOOKUP(D284,Stammdaten!$I$9:$J$26,2,FALSE)/24)</f>
        <v>0</v>
      </c>
    </row>
    <row r="285" spans="2:10" x14ac:dyDescent="0.3">
      <c r="B285" s="50" t="str">
        <f t="shared" si="10"/>
        <v/>
      </c>
      <c r="C285" s="42" t="str">
        <f t="shared" si="9"/>
        <v/>
      </c>
      <c r="D285" s="60"/>
      <c r="E285" s="63"/>
      <c r="F285" s="61"/>
      <c r="G285" s="62"/>
      <c r="H285" s="62"/>
      <c r="I285" s="62"/>
      <c r="J285" s="49">
        <f>IF(AND(ISBLANK(G285),ISBLANK(H285),ISBLANK(I285)),VLOOKUP(TEXT(D285,"TTT"),Stammdaten!$B$20:$F$26,5,FALSE),H285-G285-I285)-IF(ISERROR(VLOOKUP(D285,Stammdaten!$I$9:$J$26,2,FALSE)),0,VLOOKUP(D285,Stammdaten!$I$9:$J$26,2,FALSE)/24)</f>
        <v>0</v>
      </c>
    </row>
    <row r="286" spans="2:10" x14ac:dyDescent="0.3">
      <c r="B286" s="50" t="str">
        <f t="shared" si="10"/>
        <v/>
      </c>
      <c r="C286" s="42" t="str">
        <f t="shared" si="9"/>
        <v/>
      </c>
      <c r="D286" s="60"/>
      <c r="E286" s="63"/>
      <c r="F286" s="61"/>
      <c r="G286" s="62"/>
      <c r="H286" s="62"/>
      <c r="I286" s="62"/>
      <c r="J286" s="49">
        <f>IF(AND(ISBLANK(G286),ISBLANK(H286),ISBLANK(I286)),VLOOKUP(TEXT(D286,"TTT"),Stammdaten!$B$20:$F$26,5,FALSE),H286-G286-I286)-IF(ISERROR(VLOOKUP(D286,Stammdaten!$I$9:$J$26,2,FALSE)),0,VLOOKUP(D286,Stammdaten!$I$9:$J$26,2,FALSE)/24)</f>
        <v>0</v>
      </c>
    </row>
    <row r="287" spans="2:10" x14ac:dyDescent="0.3">
      <c r="B287" s="50" t="str">
        <f t="shared" si="10"/>
        <v/>
      </c>
      <c r="C287" s="42" t="str">
        <f t="shared" si="9"/>
        <v/>
      </c>
      <c r="D287" s="60"/>
      <c r="E287" s="63"/>
      <c r="F287" s="61"/>
      <c r="G287" s="62"/>
      <c r="H287" s="62"/>
      <c r="I287" s="62"/>
      <c r="J287" s="49">
        <f>IF(AND(ISBLANK(G287),ISBLANK(H287),ISBLANK(I287)),VLOOKUP(TEXT(D287,"TTT"),Stammdaten!$B$20:$F$26,5,FALSE),H287-G287-I287)-IF(ISERROR(VLOOKUP(D287,Stammdaten!$I$9:$J$26,2,FALSE)),0,VLOOKUP(D287,Stammdaten!$I$9:$J$26,2,FALSE)/24)</f>
        <v>0</v>
      </c>
    </row>
    <row r="288" spans="2:10" x14ac:dyDescent="0.3">
      <c r="B288" s="50" t="str">
        <f t="shared" si="10"/>
        <v/>
      </c>
      <c r="C288" s="42" t="str">
        <f t="shared" si="9"/>
        <v/>
      </c>
      <c r="D288" s="60"/>
      <c r="E288" s="63"/>
      <c r="F288" s="61"/>
      <c r="G288" s="62"/>
      <c r="H288" s="62"/>
      <c r="I288" s="62"/>
      <c r="J288" s="49">
        <f>IF(AND(ISBLANK(G288),ISBLANK(H288),ISBLANK(I288)),VLOOKUP(TEXT(D288,"TTT"),Stammdaten!$B$20:$F$26,5,FALSE),H288-G288-I288)-IF(ISERROR(VLOOKUP(D288,Stammdaten!$I$9:$J$26,2,FALSE)),0,VLOOKUP(D288,Stammdaten!$I$9:$J$26,2,FALSE)/24)</f>
        <v>0</v>
      </c>
    </row>
    <row r="289" spans="2:10" x14ac:dyDescent="0.3">
      <c r="B289" s="50" t="str">
        <f t="shared" si="10"/>
        <v/>
      </c>
      <c r="C289" s="42" t="str">
        <f t="shared" si="9"/>
        <v/>
      </c>
      <c r="D289" s="60"/>
      <c r="E289" s="63"/>
      <c r="F289" s="61"/>
      <c r="G289" s="62"/>
      <c r="H289" s="62"/>
      <c r="I289" s="62"/>
      <c r="J289" s="49">
        <f>IF(AND(ISBLANK(G289),ISBLANK(H289),ISBLANK(I289)),VLOOKUP(TEXT(D289,"TTT"),Stammdaten!$B$20:$F$26,5,FALSE),H289-G289-I289)-IF(ISERROR(VLOOKUP(D289,Stammdaten!$I$9:$J$26,2,FALSE)),0,VLOOKUP(D289,Stammdaten!$I$9:$J$26,2,FALSE)/24)</f>
        <v>0</v>
      </c>
    </row>
    <row r="290" spans="2:10" x14ac:dyDescent="0.3">
      <c r="B290" s="50" t="str">
        <f t="shared" si="10"/>
        <v/>
      </c>
      <c r="C290" s="42" t="str">
        <f t="shared" si="9"/>
        <v/>
      </c>
      <c r="D290" s="60"/>
      <c r="E290" s="63"/>
      <c r="F290" s="61"/>
      <c r="G290" s="62"/>
      <c r="H290" s="62"/>
      <c r="I290" s="62"/>
      <c r="J290" s="49">
        <f>IF(AND(ISBLANK(G290),ISBLANK(H290),ISBLANK(I290)),VLOOKUP(TEXT(D290,"TTT"),Stammdaten!$B$20:$F$26,5,FALSE),H290-G290-I290)-IF(ISERROR(VLOOKUP(D290,Stammdaten!$I$9:$J$26,2,FALSE)),0,VLOOKUP(D290,Stammdaten!$I$9:$J$26,2,FALSE)/24)</f>
        <v>0</v>
      </c>
    </row>
    <row r="291" spans="2:10" x14ac:dyDescent="0.3">
      <c r="B291" s="50" t="str">
        <f t="shared" si="10"/>
        <v/>
      </c>
      <c r="C291" s="42" t="str">
        <f t="shared" si="9"/>
        <v/>
      </c>
      <c r="D291" s="60"/>
      <c r="E291" s="63"/>
      <c r="F291" s="61"/>
      <c r="G291" s="62"/>
      <c r="H291" s="62"/>
      <c r="I291" s="62"/>
      <c r="J291" s="49">
        <f>IF(AND(ISBLANK(G291),ISBLANK(H291),ISBLANK(I291)),VLOOKUP(TEXT(D291,"TTT"),Stammdaten!$B$20:$F$26,5,FALSE),H291-G291-I291)-IF(ISERROR(VLOOKUP(D291,Stammdaten!$I$9:$J$26,2,FALSE)),0,VLOOKUP(D291,Stammdaten!$I$9:$J$26,2,FALSE)/24)</f>
        <v>0</v>
      </c>
    </row>
    <row r="292" spans="2:10" x14ac:dyDescent="0.3">
      <c r="B292" s="50" t="str">
        <f t="shared" si="10"/>
        <v/>
      </c>
      <c r="C292" s="42" t="str">
        <f t="shared" si="9"/>
        <v/>
      </c>
      <c r="D292" s="60"/>
      <c r="E292" s="63"/>
      <c r="F292" s="61"/>
      <c r="G292" s="62"/>
      <c r="H292" s="62"/>
      <c r="I292" s="62"/>
      <c r="J292" s="49">
        <f>IF(AND(ISBLANK(G292),ISBLANK(H292),ISBLANK(I292)),VLOOKUP(TEXT(D292,"TTT"),Stammdaten!$B$20:$F$26,5,FALSE),H292-G292-I292)-IF(ISERROR(VLOOKUP(D292,Stammdaten!$I$9:$J$26,2,FALSE)),0,VLOOKUP(D292,Stammdaten!$I$9:$J$26,2,FALSE)/24)</f>
        <v>0</v>
      </c>
    </row>
    <row r="293" spans="2:10" x14ac:dyDescent="0.3">
      <c r="B293" s="50" t="str">
        <f t="shared" si="10"/>
        <v/>
      </c>
      <c r="C293" s="42" t="str">
        <f t="shared" si="9"/>
        <v/>
      </c>
      <c r="D293" s="60"/>
      <c r="E293" s="63"/>
      <c r="F293" s="61"/>
      <c r="G293" s="62"/>
      <c r="H293" s="62"/>
      <c r="I293" s="62"/>
      <c r="J293" s="49">
        <f>IF(AND(ISBLANK(G293),ISBLANK(H293),ISBLANK(I293)),VLOOKUP(TEXT(D293,"TTT"),Stammdaten!$B$20:$F$26,5,FALSE),H293-G293-I293)-IF(ISERROR(VLOOKUP(D293,Stammdaten!$I$9:$J$26,2,FALSE)),0,VLOOKUP(D293,Stammdaten!$I$9:$J$26,2,FALSE)/24)</f>
        <v>0</v>
      </c>
    </row>
    <row r="294" spans="2:10" x14ac:dyDescent="0.3">
      <c r="B294" s="50" t="str">
        <f t="shared" si="10"/>
        <v/>
      </c>
      <c r="C294" s="42" t="str">
        <f t="shared" si="9"/>
        <v/>
      </c>
      <c r="D294" s="60"/>
      <c r="E294" s="63"/>
      <c r="F294" s="61"/>
      <c r="G294" s="62"/>
      <c r="H294" s="62"/>
      <c r="I294" s="62"/>
      <c r="J294" s="49">
        <f>IF(AND(ISBLANK(G294),ISBLANK(H294),ISBLANK(I294)),VLOOKUP(TEXT(D294,"TTT"),Stammdaten!$B$20:$F$26,5,FALSE),H294-G294-I294)-IF(ISERROR(VLOOKUP(D294,Stammdaten!$I$9:$J$26,2,FALSE)),0,VLOOKUP(D294,Stammdaten!$I$9:$J$26,2,FALSE)/24)</f>
        <v>0</v>
      </c>
    </row>
    <row r="295" spans="2:10" x14ac:dyDescent="0.3">
      <c r="B295" s="50" t="str">
        <f t="shared" si="10"/>
        <v/>
      </c>
      <c r="C295" s="42" t="str">
        <f t="shared" si="9"/>
        <v/>
      </c>
      <c r="D295" s="60"/>
      <c r="E295" s="63"/>
      <c r="F295" s="61"/>
      <c r="G295" s="62"/>
      <c r="H295" s="62"/>
      <c r="I295" s="62"/>
      <c r="J295" s="49">
        <f>IF(AND(ISBLANK(G295),ISBLANK(H295),ISBLANK(I295)),VLOOKUP(TEXT(D295,"TTT"),Stammdaten!$B$20:$F$26,5,FALSE),H295-G295-I295)-IF(ISERROR(VLOOKUP(D295,Stammdaten!$I$9:$J$26,2,FALSE)),0,VLOOKUP(D295,Stammdaten!$I$9:$J$26,2,FALSE)/24)</f>
        <v>0</v>
      </c>
    </row>
    <row r="296" spans="2:10" x14ac:dyDescent="0.3">
      <c r="B296" s="50" t="str">
        <f t="shared" si="10"/>
        <v/>
      </c>
      <c r="C296" s="42" t="str">
        <f t="shared" si="9"/>
        <v/>
      </c>
      <c r="D296" s="60"/>
      <c r="E296" s="63"/>
      <c r="F296" s="61"/>
      <c r="G296" s="62"/>
      <c r="H296" s="62"/>
      <c r="I296" s="62"/>
      <c r="J296" s="49">
        <f>IF(AND(ISBLANK(G296),ISBLANK(H296),ISBLANK(I296)),VLOOKUP(TEXT(D296,"TTT"),Stammdaten!$B$20:$F$26,5,FALSE),H296-G296-I296)-IF(ISERROR(VLOOKUP(D296,Stammdaten!$I$9:$J$26,2,FALSE)),0,VLOOKUP(D296,Stammdaten!$I$9:$J$26,2,FALSE)/24)</f>
        <v>0</v>
      </c>
    </row>
    <row r="297" spans="2:10" x14ac:dyDescent="0.3">
      <c r="B297" s="50" t="str">
        <f t="shared" si="10"/>
        <v/>
      </c>
      <c r="C297" s="42" t="str">
        <f t="shared" si="9"/>
        <v/>
      </c>
      <c r="D297" s="60"/>
      <c r="E297" s="63"/>
      <c r="F297" s="61"/>
      <c r="G297" s="62"/>
      <c r="H297" s="62"/>
      <c r="I297" s="62"/>
      <c r="J297" s="49">
        <f>IF(AND(ISBLANK(G297),ISBLANK(H297),ISBLANK(I297)),VLOOKUP(TEXT(D297,"TTT"),Stammdaten!$B$20:$F$26,5,FALSE),H297-G297-I297)-IF(ISERROR(VLOOKUP(D297,Stammdaten!$I$9:$J$26,2,FALSE)),0,VLOOKUP(D297,Stammdaten!$I$9:$J$26,2,FALSE)/24)</f>
        <v>0</v>
      </c>
    </row>
    <row r="298" spans="2:10" x14ac:dyDescent="0.3">
      <c r="B298" s="50" t="str">
        <f t="shared" si="10"/>
        <v/>
      </c>
      <c r="C298" s="42" t="str">
        <f t="shared" si="9"/>
        <v/>
      </c>
      <c r="D298" s="60"/>
      <c r="E298" s="63"/>
      <c r="F298" s="61"/>
      <c r="G298" s="62"/>
      <c r="H298" s="62"/>
      <c r="I298" s="62"/>
      <c r="J298" s="49">
        <f>IF(AND(ISBLANK(G298),ISBLANK(H298),ISBLANK(I298)),VLOOKUP(TEXT(D298,"TTT"),Stammdaten!$B$20:$F$26,5,FALSE),H298-G298-I298)-IF(ISERROR(VLOOKUP(D298,Stammdaten!$I$9:$J$26,2,FALSE)),0,VLOOKUP(D298,Stammdaten!$I$9:$J$26,2,FALSE)/24)</f>
        <v>0</v>
      </c>
    </row>
    <row r="299" spans="2:10" x14ac:dyDescent="0.3">
      <c r="B299" s="50" t="str">
        <f t="shared" si="10"/>
        <v/>
      </c>
      <c r="C299" s="42" t="str">
        <f t="shared" si="9"/>
        <v/>
      </c>
      <c r="D299" s="60"/>
      <c r="E299" s="63"/>
      <c r="F299" s="61"/>
      <c r="G299" s="62"/>
      <c r="H299" s="62"/>
      <c r="I299" s="62"/>
      <c r="J299" s="49">
        <f>IF(AND(ISBLANK(G299),ISBLANK(H299),ISBLANK(I299)),VLOOKUP(TEXT(D299,"TTT"),Stammdaten!$B$20:$F$26,5,FALSE),H299-G299-I299)-IF(ISERROR(VLOOKUP(D299,Stammdaten!$I$9:$J$26,2,FALSE)),0,VLOOKUP(D299,Stammdaten!$I$9:$J$26,2,FALSE)/24)</f>
        <v>0</v>
      </c>
    </row>
    <row r="300" spans="2:10" x14ac:dyDescent="0.3">
      <c r="B300" s="50" t="str">
        <f t="shared" si="10"/>
        <v/>
      </c>
      <c r="C300" s="42" t="str">
        <f t="shared" si="9"/>
        <v/>
      </c>
      <c r="D300" s="60"/>
      <c r="E300" s="63"/>
      <c r="F300" s="61"/>
      <c r="G300" s="62"/>
      <c r="H300" s="62"/>
      <c r="I300" s="62"/>
      <c r="J300" s="49">
        <f>IF(AND(ISBLANK(G300),ISBLANK(H300),ISBLANK(I300)),VLOOKUP(TEXT(D300,"TTT"),Stammdaten!$B$20:$F$26,5,FALSE),H300-G300-I300)-IF(ISERROR(VLOOKUP(D300,Stammdaten!$I$9:$J$26,2,FALSE)),0,VLOOKUP(D300,Stammdaten!$I$9:$J$26,2,FALSE)/24)</f>
        <v>0</v>
      </c>
    </row>
    <row r="301" spans="2:10" x14ac:dyDescent="0.3">
      <c r="B301" s="50" t="str">
        <f t="shared" si="10"/>
        <v/>
      </c>
      <c r="C301" s="42" t="str">
        <f t="shared" si="9"/>
        <v/>
      </c>
      <c r="D301" s="60"/>
      <c r="E301" s="63"/>
      <c r="F301" s="61"/>
      <c r="G301" s="62"/>
      <c r="H301" s="62"/>
      <c r="I301" s="62"/>
      <c r="J301" s="49">
        <f>IF(AND(ISBLANK(G301),ISBLANK(H301),ISBLANK(I301)),VLOOKUP(TEXT(D301,"TTT"),Stammdaten!$B$20:$F$26,5,FALSE),H301-G301-I301)-IF(ISERROR(VLOOKUP(D301,Stammdaten!$I$9:$J$26,2,FALSE)),0,VLOOKUP(D301,Stammdaten!$I$9:$J$26,2,FALSE)/24)</f>
        <v>0</v>
      </c>
    </row>
    <row r="302" spans="2:10" x14ac:dyDescent="0.3">
      <c r="B302" s="50" t="str">
        <f t="shared" si="10"/>
        <v/>
      </c>
      <c r="C302" s="42" t="str">
        <f t="shared" si="9"/>
        <v/>
      </c>
      <c r="D302" s="60"/>
      <c r="E302" s="63"/>
      <c r="F302" s="61"/>
      <c r="G302" s="62"/>
      <c r="H302" s="62"/>
      <c r="I302" s="62"/>
      <c r="J302" s="49">
        <f>IF(AND(ISBLANK(G302),ISBLANK(H302),ISBLANK(I302)),VLOOKUP(TEXT(D302,"TTT"),Stammdaten!$B$20:$F$26,5,FALSE),H302-G302-I302)-IF(ISERROR(VLOOKUP(D302,Stammdaten!$I$9:$J$26,2,FALSE)),0,VLOOKUP(D302,Stammdaten!$I$9:$J$26,2,FALSE)/24)</f>
        <v>0</v>
      </c>
    </row>
    <row r="303" spans="2:10" x14ac:dyDescent="0.3">
      <c r="B303" s="50" t="str">
        <f t="shared" si="10"/>
        <v/>
      </c>
      <c r="C303" s="42" t="str">
        <f t="shared" si="9"/>
        <v/>
      </c>
      <c r="D303" s="60"/>
      <c r="E303" s="63"/>
      <c r="F303" s="61"/>
      <c r="G303" s="62"/>
      <c r="H303" s="62"/>
      <c r="I303" s="62"/>
      <c r="J303" s="49">
        <f>IF(AND(ISBLANK(G303),ISBLANK(H303),ISBLANK(I303)),VLOOKUP(TEXT(D303,"TTT"),Stammdaten!$B$20:$F$26,5,FALSE),H303-G303-I303)-IF(ISERROR(VLOOKUP(D303,Stammdaten!$I$9:$J$26,2,FALSE)),0,VLOOKUP(D303,Stammdaten!$I$9:$J$26,2,FALSE)/24)</f>
        <v>0</v>
      </c>
    </row>
    <row r="304" spans="2:10" x14ac:dyDescent="0.3">
      <c r="B304" s="50" t="str">
        <f t="shared" si="10"/>
        <v/>
      </c>
      <c r="C304" s="42" t="str">
        <f t="shared" si="9"/>
        <v/>
      </c>
      <c r="D304" s="60"/>
      <c r="E304" s="63"/>
      <c r="F304" s="61"/>
      <c r="G304" s="62"/>
      <c r="H304" s="62"/>
      <c r="I304" s="62"/>
      <c r="J304" s="49">
        <f>IF(AND(ISBLANK(G304),ISBLANK(H304),ISBLANK(I304)),VLOOKUP(TEXT(D304,"TTT"),Stammdaten!$B$20:$F$26,5,FALSE),H304-G304-I304)-IF(ISERROR(VLOOKUP(D304,Stammdaten!$I$9:$J$26,2,FALSE)),0,VLOOKUP(D304,Stammdaten!$I$9:$J$26,2,FALSE)/24)</f>
        <v>0</v>
      </c>
    </row>
    <row r="305" spans="2:10" x14ac:dyDescent="0.3">
      <c r="B305" s="50" t="str">
        <f t="shared" si="10"/>
        <v/>
      </c>
      <c r="C305" s="42" t="str">
        <f t="shared" si="9"/>
        <v/>
      </c>
      <c r="D305" s="60"/>
      <c r="E305" s="63"/>
      <c r="F305" s="61"/>
      <c r="G305" s="62"/>
      <c r="H305" s="62"/>
      <c r="I305" s="62"/>
      <c r="J305" s="49">
        <f>IF(AND(ISBLANK(G305),ISBLANK(H305),ISBLANK(I305)),VLOOKUP(TEXT(D305,"TTT"),Stammdaten!$B$20:$F$26,5,FALSE),H305-G305-I305)-IF(ISERROR(VLOOKUP(D305,Stammdaten!$I$9:$J$26,2,FALSE)),0,VLOOKUP(D305,Stammdaten!$I$9:$J$26,2,FALSE)/24)</f>
        <v>0</v>
      </c>
    </row>
    <row r="306" spans="2:10" x14ac:dyDescent="0.3">
      <c r="B306" s="50" t="str">
        <f t="shared" si="10"/>
        <v/>
      </c>
      <c r="C306" s="42" t="str">
        <f t="shared" si="9"/>
        <v/>
      </c>
      <c r="D306" s="60"/>
      <c r="E306" s="63"/>
      <c r="F306" s="61"/>
      <c r="G306" s="62"/>
      <c r="H306" s="62"/>
      <c r="I306" s="62"/>
      <c r="J306" s="49">
        <f>IF(AND(ISBLANK(G306),ISBLANK(H306),ISBLANK(I306)),VLOOKUP(TEXT(D306,"TTT"),Stammdaten!$B$20:$F$26,5,FALSE),H306-G306-I306)-IF(ISERROR(VLOOKUP(D306,Stammdaten!$I$9:$J$26,2,FALSE)),0,VLOOKUP(D306,Stammdaten!$I$9:$J$26,2,FALSE)/24)</f>
        <v>0</v>
      </c>
    </row>
    <row r="307" spans="2:10" x14ac:dyDescent="0.3">
      <c r="B307" s="50" t="str">
        <f t="shared" si="10"/>
        <v/>
      </c>
      <c r="C307" s="42" t="str">
        <f t="shared" si="9"/>
        <v/>
      </c>
      <c r="D307" s="60"/>
      <c r="E307" s="63"/>
      <c r="F307" s="61"/>
      <c r="G307" s="62"/>
      <c r="H307" s="62"/>
      <c r="I307" s="62"/>
      <c r="J307" s="49">
        <f>IF(AND(ISBLANK(G307),ISBLANK(H307),ISBLANK(I307)),VLOOKUP(TEXT(D307,"TTT"),Stammdaten!$B$20:$F$26,5,FALSE),H307-G307-I307)-IF(ISERROR(VLOOKUP(D307,Stammdaten!$I$9:$J$26,2,FALSE)),0,VLOOKUP(D307,Stammdaten!$I$9:$J$26,2,FALSE)/24)</f>
        <v>0</v>
      </c>
    </row>
    <row r="308" spans="2:10" x14ac:dyDescent="0.3">
      <c r="B308" s="50" t="str">
        <f t="shared" si="10"/>
        <v/>
      </c>
      <c r="C308" s="42" t="str">
        <f t="shared" si="9"/>
        <v/>
      </c>
      <c r="D308" s="60"/>
      <c r="E308" s="63"/>
      <c r="F308" s="61"/>
      <c r="G308" s="62"/>
      <c r="H308" s="62"/>
      <c r="I308" s="62"/>
      <c r="J308" s="49">
        <f>IF(AND(ISBLANK(G308),ISBLANK(H308),ISBLANK(I308)),VLOOKUP(TEXT(D308,"TTT"),Stammdaten!$B$20:$F$26,5,FALSE),H308-G308-I308)-IF(ISERROR(VLOOKUP(D308,Stammdaten!$I$9:$J$26,2,FALSE)),0,VLOOKUP(D308,Stammdaten!$I$9:$J$26,2,FALSE)/24)</f>
        <v>0</v>
      </c>
    </row>
    <row r="309" spans="2:10" x14ac:dyDescent="0.3">
      <c r="B309" s="50" t="str">
        <f t="shared" si="10"/>
        <v/>
      </c>
      <c r="C309" s="42" t="str">
        <f t="shared" si="9"/>
        <v/>
      </c>
      <c r="D309" s="60"/>
      <c r="E309" s="63"/>
      <c r="F309" s="61"/>
      <c r="G309" s="62"/>
      <c r="H309" s="62"/>
      <c r="I309" s="62"/>
      <c r="J309" s="49">
        <f>IF(AND(ISBLANK(G309),ISBLANK(H309),ISBLANK(I309)),VLOOKUP(TEXT(D309,"TTT"),Stammdaten!$B$20:$F$26,5,FALSE),H309-G309-I309)-IF(ISERROR(VLOOKUP(D309,Stammdaten!$I$9:$J$26,2,FALSE)),0,VLOOKUP(D309,Stammdaten!$I$9:$J$26,2,FALSE)/24)</f>
        <v>0</v>
      </c>
    </row>
    <row r="310" spans="2:10" x14ac:dyDescent="0.3">
      <c r="B310" s="50" t="str">
        <f t="shared" si="10"/>
        <v/>
      </c>
      <c r="C310" s="42" t="str">
        <f t="shared" si="9"/>
        <v/>
      </c>
      <c r="D310" s="60"/>
      <c r="E310" s="63"/>
      <c r="F310" s="61"/>
      <c r="G310" s="62"/>
      <c r="H310" s="62"/>
      <c r="I310" s="62"/>
      <c r="J310" s="49">
        <f>IF(AND(ISBLANK(G310),ISBLANK(H310),ISBLANK(I310)),VLOOKUP(TEXT(D310,"TTT"),Stammdaten!$B$20:$F$26,5,FALSE),H310-G310-I310)-IF(ISERROR(VLOOKUP(D310,Stammdaten!$I$9:$J$26,2,FALSE)),0,VLOOKUP(D310,Stammdaten!$I$9:$J$26,2,FALSE)/24)</f>
        <v>0</v>
      </c>
    </row>
    <row r="311" spans="2:10" x14ac:dyDescent="0.3">
      <c r="B311" s="50" t="str">
        <f t="shared" si="10"/>
        <v/>
      </c>
      <c r="C311" s="42" t="str">
        <f t="shared" si="9"/>
        <v/>
      </c>
      <c r="D311" s="60"/>
      <c r="E311" s="63"/>
      <c r="F311" s="61"/>
      <c r="G311" s="62"/>
      <c r="H311" s="62"/>
      <c r="I311" s="62"/>
      <c r="J311" s="49">
        <f>IF(AND(ISBLANK(G311),ISBLANK(H311),ISBLANK(I311)),VLOOKUP(TEXT(D311,"TTT"),Stammdaten!$B$20:$F$26,5,FALSE),H311-G311-I311)-IF(ISERROR(VLOOKUP(D311,Stammdaten!$I$9:$J$26,2,FALSE)),0,VLOOKUP(D311,Stammdaten!$I$9:$J$26,2,FALSE)/24)</f>
        <v>0</v>
      </c>
    </row>
    <row r="312" spans="2:10" x14ac:dyDescent="0.3">
      <c r="B312" s="50" t="str">
        <f t="shared" si="10"/>
        <v/>
      </c>
      <c r="C312" s="42" t="str">
        <f t="shared" si="9"/>
        <v/>
      </c>
      <c r="D312" s="60"/>
      <c r="E312" s="63"/>
      <c r="F312" s="61"/>
      <c r="G312" s="62"/>
      <c r="H312" s="62"/>
      <c r="I312" s="62"/>
      <c r="J312" s="49">
        <f>IF(AND(ISBLANK(G312),ISBLANK(H312),ISBLANK(I312)),VLOOKUP(TEXT(D312,"TTT"),Stammdaten!$B$20:$F$26,5,FALSE),H312-G312-I312)-IF(ISERROR(VLOOKUP(D312,Stammdaten!$I$9:$J$26,2,FALSE)),0,VLOOKUP(D312,Stammdaten!$I$9:$J$26,2,FALSE)/24)</f>
        <v>0</v>
      </c>
    </row>
    <row r="313" spans="2:10" x14ac:dyDescent="0.3">
      <c r="B313" s="50" t="str">
        <f t="shared" si="10"/>
        <v/>
      </c>
      <c r="C313" s="42" t="str">
        <f t="shared" si="9"/>
        <v/>
      </c>
      <c r="D313" s="60"/>
      <c r="E313" s="63"/>
      <c r="F313" s="61"/>
      <c r="G313" s="62"/>
      <c r="H313" s="62"/>
      <c r="I313" s="62"/>
      <c r="J313" s="49">
        <f>IF(AND(ISBLANK(G313),ISBLANK(H313),ISBLANK(I313)),VLOOKUP(TEXT(D313,"TTT"),Stammdaten!$B$20:$F$26,5,FALSE),H313-G313-I313)-IF(ISERROR(VLOOKUP(D313,Stammdaten!$I$9:$J$26,2,FALSE)),0,VLOOKUP(D313,Stammdaten!$I$9:$J$26,2,FALSE)/24)</f>
        <v>0</v>
      </c>
    </row>
    <row r="314" spans="2:10" x14ac:dyDescent="0.3">
      <c r="B314" s="50" t="str">
        <f t="shared" si="10"/>
        <v/>
      </c>
      <c r="C314" s="42" t="str">
        <f t="shared" si="9"/>
        <v/>
      </c>
      <c r="D314" s="60"/>
      <c r="E314" s="63"/>
      <c r="F314" s="61"/>
      <c r="G314" s="62"/>
      <c r="H314" s="62"/>
      <c r="I314" s="62"/>
      <c r="J314" s="49">
        <f>IF(AND(ISBLANK(G314),ISBLANK(H314),ISBLANK(I314)),VLOOKUP(TEXT(D314,"TTT"),Stammdaten!$B$20:$F$26,5,FALSE),H314-G314-I314)-IF(ISERROR(VLOOKUP(D314,Stammdaten!$I$9:$J$26,2,FALSE)),0,VLOOKUP(D314,Stammdaten!$I$9:$J$26,2,FALSE)/24)</f>
        <v>0</v>
      </c>
    </row>
    <row r="315" spans="2:10" x14ac:dyDescent="0.3">
      <c r="B315" s="50" t="str">
        <f t="shared" si="10"/>
        <v/>
      </c>
      <c r="C315" s="42" t="str">
        <f t="shared" si="9"/>
        <v/>
      </c>
      <c r="D315" s="60"/>
      <c r="E315" s="63"/>
      <c r="F315" s="61"/>
      <c r="G315" s="62"/>
      <c r="H315" s="62"/>
      <c r="I315" s="62"/>
      <c r="J315" s="49">
        <f>IF(AND(ISBLANK(G315),ISBLANK(H315),ISBLANK(I315)),VLOOKUP(TEXT(D315,"TTT"),Stammdaten!$B$20:$F$26,5,FALSE),H315-G315-I315)-IF(ISERROR(VLOOKUP(D315,Stammdaten!$I$9:$J$26,2,FALSE)),0,VLOOKUP(D315,Stammdaten!$I$9:$J$26,2,FALSE)/24)</f>
        <v>0</v>
      </c>
    </row>
    <row r="316" spans="2:10" x14ac:dyDescent="0.3">
      <c r="B316" s="50" t="str">
        <f t="shared" si="10"/>
        <v/>
      </c>
      <c r="C316" s="42" t="str">
        <f t="shared" si="9"/>
        <v/>
      </c>
      <c r="D316" s="60"/>
      <c r="E316" s="63"/>
      <c r="F316" s="61"/>
      <c r="G316" s="62"/>
      <c r="H316" s="62"/>
      <c r="I316" s="62"/>
      <c r="J316" s="49">
        <f>IF(AND(ISBLANK(G316),ISBLANK(H316),ISBLANK(I316)),VLOOKUP(TEXT(D316,"TTT"),Stammdaten!$B$20:$F$26,5,FALSE),H316-G316-I316)-IF(ISERROR(VLOOKUP(D316,Stammdaten!$I$9:$J$26,2,FALSE)),0,VLOOKUP(D316,Stammdaten!$I$9:$J$26,2,FALSE)/24)</f>
        <v>0</v>
      </c>
    </row>
    <row r="317" spans="2:10" x14ac:dyDescent="0.3">
      <c r="B317" s="50" t="str">
        <f t="shared" si="10"/>
        <v/>
      </c>
      <c r="C317" s="42" t="str">
        <f t="shared" si="9"/>
        <v/>
      </c>
      <c r="D317" s="60"/>
      <c r="E317" s="63"/>
      <c r="F317" s="61"/>
      <c r="G317" s="62"/>
      <c r="H317" s="62"/>
      <c r="I317" s="62"/>
      <c r="J317" s="49">
        <f>IF(AND(ISBLANK(G317),ISBLANK(H317),ISBLANK(I317)),VLOOKUP(TEXT(D317,"TTT"),Stammdaten!$B$20:$F$26,5,FALSE),H317-G317-I317)-IF(ISERROR(VLOOKUP(D317,Stammdaten!$I$9:$J$26,2,FALSE)),0,VLOOKUP(D317,Stammdaten!$I$9:$J$26,2,FALSE)/24)</f>
        <v>0</v>
      </c>
    </row>
    <row r="318" spans="2:10" x14ac:dyDescent="0.3">
      <c r="B318" s="50" t="str">
        <f t="shared" si="10"/>
        <v/>
      </c>
      <c r="C318" s="42" t="str">
        <f t="shared" si="9"/>
        <v/>
      </c>
      <c r="D318" s="60"/>
      <c r="E318" s="63"/>
      <c r="F318" s="61"/>
      <c r="G318" s="62"/>
      <c r="H318" s="62"/>
      <c r="I318" s="62"/>
      <c r="J318" s="49">
        <f>IF(AND(ISBLANK(G318),ISBLANK(H318),ISBLANK(I318)),VLOOKUP(TEXT(D318,"TTT"),Stammdaten!$B$20:$F$26,5,FALSE),H318-G318-I318)-IF(ISERROR(VLOOKUP(D318,Stammdaten!$I$9:$J$26,2,FALSE)),0,VLOOKUP(D318,Stammdaten!$I$9:$J$26,2,FALSE)/24)</f>
        <v>0</v>
      </c>
    </row>
    <row r="319" spans="2:10" x14ac:dyDescent="0.3">
      <c r="B319" s="50" t="str">
        <f t="shared" si="10"/>
        <v/>
      </c>
      <c r="C319" s="42" t="str">
        <f t="shared" si="9"/>
        <v/>
      </c>
      <c r="D319" s="60"/>
      <c r="E319" s="63"/>
      <c r="F319" s="61"/>
      <c r="G319" s="62"/>
      <c r="H319" s="62"/>
      <c r="I319" s="62"/>
      <c r="J319" s="49">
        <f>IF(AND(ISBLANK(G319),ISBLANK(H319),ISBLANK(I319)),VLOOKUP(TEXT(D319,"TTT"),Stammdaten!$B$20:$F$26,5,FALSE),H319-G319-I319)-IF(ISERROR(VLOOKUP(D319,Stammdaten!$I$9:$J$26,2,FALSE)),0,VLOOKUP(D319,Stammdaten!$I$9:$J$26,2,FALSE)/24)</f>
        <v>0</v>
      </c>
    </row>
    <row r="320" spans="2:10" x14ac:dyDescent="0.3">
      <c r="B320" s="50" t="str">
        <f t="shared" si="10"/>
        <v/>
      </c>
      <c r="C320" s="42" t="str">
        <f t="shared" si="9"/>
        <v/>
      </c>
      <c r="D320" s="60"/>
      <c r="E320" s="63"/>
      <c r="F320" s="61"/>
      <c r="G320" s="62"/>
      <c r="H320" s="62"/>
      <c r="I320" s="62"/>
      <c r="J320" s="49">
        <f>IF(AND(ISBLANK(G320),ISBLANK(H320),ISBLANK(I320)),VLOOKUP(TEXT(D320,"TTT"),Stammdaten!$B$20:$F$26,5,FALSE),H320-G320-I320)-IF(ISERROR(VLOOKUP(D320,Stammdaten!$I$9:$J$26,2,FALSE)),0,VLOOKUP(D320,Stammdaten!$I$9:$J$26,2,FALSE)/24)</f>
        <v>0</v>
      </c>
    </row>
    <row r="321" spans="2:10" x14ac:dyDescent="0.3">
      <c r="B321" s="50" t="str">
        <f t="shared" si="10"/>
        <v/>
      </c>
      <c r="C321" s="42" t="str">
        <f t="shared" si="9"/>
        <v/>
      </c>
      <c r="D321" s="60"/>
      <c r="E321" s="63"/>
      <c r="F321" s="61"/>
      <c r="G321" s="62"/>
      <c r="H321" s="62"/>
      <c r="I321" s="62"/>
      <c r="J321" s="49">
        <f>IF(AND(ISBLANK(G321),ISBLANK(H321),ISBLANK(I321)),VLOOKUP(TEXT(D321,"TTT"),Stammdaten!$B$20:$F$26,5,FALSE),H321-G321-I321)-IF(ISERROR(VLOOKUP(D321,Stammdaten!$I$9:$J$26,2,FALSE)),0,VLOOKUP(D321,Stammdaten!$I$9:$J$26,2,FALSE)/24)</f>
        <v>0</v>
      </c>
    </row>
    <row r="322" spans="2:10" x14ac:dyDescent="0.3">
      <c r="B322" s="50" t="str">
        <f t="shared" si="10"/>
        <v/>
      </c>
      <c r="C322" s="42" t="str">
        <f t="shared" ref="C322:C385" si="11">IF(D322="","",D322)</f>
        <v/>
      </c>
      <c r="D322" s="60"/>
      <c r="E322" s="63"/>
      <c r="F322" s="61"/>
      <c r="G322" s="62"/>
      <c r="H322" s="62"/>
      <c r="I322" s="62"/>
      <c r="J322" s="49">
        <f>IF(AND(ISBLANK(G322),ISBLANK(H322),ISBLANK(I322)),VLOOKUP(TEXT(D322,"TTT"),Stammdaten!$B$20:$F$26,5,FALSE),H322-G322-I322)-IF(ISERROR(VLOOKUP(D322,Stammdaten!$I$9:$J$26,2,FALSE)),0,VLOOKUP(D322,Stammdaten!$I$9:$J$26,2,FALSE)/24)</f>
        <v>0</v>
      </c>
    </row>
    <row r="323" spans="2:10" x14ac:dyDescent="0.3">
      <c r="B323" s="50" t="str">
        <f t="shared" si="10"/>
        <v/>
      </c>
      <c r="C323" s="42" t="str">
        <f t="shared" si="11"/>
        <v/>
      </c>
      <c r="D323" s="60"/>
      <c r="E323" s="63"/>
      <c r="F323" s="61"/>
      <c r="G323" s="62"/>
      <c r="H323" s="62"/>
      <c r="I323" s="62"/>
      <c r="J323" s="49">
        <f>IF(AND(ISBLANK(G323),ISBLANK(H323),ISBLANK(I323)),VLOOKUP(TEXT(D323,"TTT"),Stammdaten!$B$20:$F$26,5,FALSE),H323-G323-I323)-IF(ISERROR(VLOOKUP(D323,Stammdaten!$I$9:$J$26,2,FALSE)),0,VLOOKUP(D323,Stammdaten!$I$9:$J$26,2,FALSE)/24)</f>
        <v>0</v>
      </c>
    </row>
    <row r="324" spans="2:10" x14ac:dyDescent="0.3">
      <c r="B324" s="50" t="str">
        <f t="shared" ref="B324:B387" si="12">IF(ISBLANK(E324),"",VLOOKUP(E324,$L$2:$M$11,2,FALSE))</f>
        <v/>
      </c>
      <c r="C324" s="42" t="str">
        <f t="shared" si="11"/>
        <v/>
      </c>
      <c r="D324" s="60"/>
      <c r="E324" s="63"/>
      <c r="F324" s="61"/>
      <c r="G324" s="62"/>
      <c r="H324" s="62"/>
      <c r="I324" s="62"/>
      <c r="J324" s="49">
        <f>IF(AND(ISBLANK(G324),ISBLANK(H324),ISBLANK(I324)),VLOOKUP(TEXT(D324,"TTT"),Stammdaten!$B$20:$F$26,5,FALSE),H324-G324-I324)-IF(ISERROR(VLOOKUP(D324,Stammdaten!$I$9:$J$26,2,FALSE)),0,VLOOKUP(D324,Stammdaten!$I$9:$J$26,2,FALSE)/24)</f>
        <v>0</v>
      </c>
    </row>
    <row r="325" spans="2:10" x14ac:dyDescent="0.3">
      <c r="B325" s="50" t="str">
        <f t="shared" si="12"/>
        <v/>
      </c>
      <c r="C325" s="42" t="str">
        <f t="shared" si="11"/>
        <v/>
      </c>
      <c r="D325" s="60"/>
      <c r="E325" s="63"/>
      <c r="F325" s="61"/>
      <c r="G325" s="62"/>
      <c r="H325" s="62"/>
      <c r="I325" s="62"/>
      <c r="J325" s="49">
        <f>IF(AND(ISBLANK(G325),ISBLANK(H325),ISBLANK(I325)),VLOOKUP(TEXT(D325,"TTT"),Stammdaten!$B$20:$F$26,5,FALSE),H325-G325-I325)-IF(ISERROR(VLOOKUP(D325,Stammdaten!$I$9:$J$26,2,FALSE)),0,VLOOKUP(D325,Stammdaten!$I$9:$J$26,2,FALSE)/24)</f>
        <v>0</v>
      </c>
    </row>
    <row r="326" spans="2:10" x14ac:dyDescent="0.3">
      <c r="B326" s="50" t="str">
        <f t="shared" si="12"/>
        <v/>
      </c>
      <c r="C326" s="42" t="str">
        <f t="shared" si="11"/>
        <v/>
      </c>
      <c r="D326" s="60"/>
      <c r="E326" s="63"/>
      <c r="F326" s="61"/>
      <c r="G326" s="62"/>
      <c r="H326" s="62"/>
      <c r="I326" s="62"/>
      <c r="J326" s="49">
        <f>IF(AND(ISBLANK(G326),ISBLANK(H326),ISBLANK(I326)),VLOOKUP(TEXT(D326,"TTT"),Stammdaten!$B$20:$F$26,5,FALSE),H326-G326-I326)-IF(ISERROR(VLOOKUP(D326,Stammdaten!$I$9:$J$26,2,FALSE)),0,VLOOKUP(D326,Stammdaten!$I$9:$J$26,2,FALSE)/24)</f>
        <v>0</v>
      </c>
    </row>
    <row r="327" spans="2:10" x14ac:dyDescent="0.3">
      <c r="B327" s="50" t="str">
        <f t="shared" si="12"/>
        <v/>
      </c>
      <c r="C327" s="42" t="str">
        <f t="shared" si="11"/>
        <v/>
      </c>
      <c r="D327" s="60"/>
      <c r="E327" s="63"/>
      <c r="F327" s="61"/>
      <c r="G327" s="62"/>
      <c r="H327" s="62"/>
      <c r="I327" s="62"/>
      <c r="J327" s="49">
        <f>IF(AND(ISBLANK(G327),ISBLANK(H327),ISBLANK(I327)),VLOOKUP(TEXT(D327,"TTT"),Stammdaten!$B$20:$F$26,5,FALSE),H327-G327-I327)-IF(ISERROR(VLOOKUP(D327,Stammdaten!$I$9:$J$26,2,FALSE)),0,VLOOKUP(D327,Stammdaten!$I$9:$J$26,2,FALSE)/24)</f>
        <v>0</v>
      </c>
    </row>
    <row r="328" spans="2:10" x14ac:dyDescent="0.3">
      <c r="B328" s="50" t="str">
        <f t="shared" si="12"/>
        <v/>
      </c>
      <c r="C328" s="42" t="str">
        <f t="shared" si="11"/>
        <v/>
      </c>
      <c r="D328" s="60"/>
      <c r="E328" s="63"/>
      <c r="F328" s="61"/>
      <c r="G328" s="62"/>
      <c r="H328" s="62"/>
      <c r="I328" s="62"/>
      <c r="J328" s="49">
        <f>IF(AND(ISBLANK(G328),ISBLANK(H328),ISBLANK(I328)),VLOOKUP(TEXT(D328,"TTT"),Stammdaten!$B$20:$F$26,5,FALSE),H328-G328-I328)-IF(ISERROR(VLOOKUP(D328,Stammdaten!$I$9:$J$26,2,FALSE)),0,VLOOKUP(D328,Stammdaten!$I$9:$J$26,2,FALSE)/24)</f>
        <v>0</v>
      </c>
    </row>
    <row r="329" spans="2:10" x14ac:dyDescent="0.3">
      <c r="B329" s="50" t="str">
        <f t="shared" si="12"/>
        <v/>
      </c>
      <c r="C329" s="42" t="str">
        <f t="shared" si="11"/>
        <v/>
      </c>
      <c r="D329" s="60"/>
      <c r="E329" s="63"/>
      <c r="F329" s="61"/>
      <c r="G329" s="62"/>
      <c r="H329" s="62"/>
      <c r="I329" s="62"/>
      <c r="J329" s="49">
        <f>IF(AND(ISBLANK(G329),ISBLANK(H329),ISBLANK(I329)),VLOOKUP(TEXT(D329,"TTT"),Stammdaten!$B$20:$F$26,5,FALSE),H329-G329-I329)-IF(ISERROR(VLOOKUP(D329,Stammdaten!$I$9:$J$26,2,FALSE)),0,VLOOKUP(D329,Stammdaten!$I$9:$J$26,2,FALSE)/24)</f>
        <v>0</v>
      </c>
    </row>
    <row r="330" spans="2:10" x14ac:dyDescent="0.3">
      <c r="B330" s="50" t="str">
        <f t="shared" si="12"/>
        <v/>
      </c>
      <c r="C330" s="42" t="str">
        <f t="shared" si="11"/>
        <v/>
      </c>
      <c r="D330" s="60"/>
      <c r="E330" s="63"/>
      <c r="F330" s="61"/>
      <c r="G330" s="62"/>
      <c r="H330" s="62"/>
      <c r="I330" s="62"/>
      <c r="J330" s="49">
        <f>IF(AND(ISBLANK(G330),ISBLANK(H330),ISBLANK(I330)),VLOOKUP(TEXT(D330,"TTT"),Stammdaten!$B$20:$F$26,5,FALSE),H330-G330-I330)-IF(ISERROR(VLOOKUP(D330,Stammdaten!$I$9:$J$26,2,FALSE)),0,VLOOKUP(D330,Stammdaten!$I$9:$J$26,2,FALSE)/24)</f>
        <v>0</v>
      </c>
    </row>
    <row r="331" spans="2:10" x14ac:dyDescent="0.3">
      <c r="B331" s="50" t="str">
        <f t="shared" si="12"/>
        <v/>
      </c>
      <c r="C331" s="42" t="str">
        <f t="shared" si="11"/>
        <v/>
      </c>
      <c r="D331" s="60"/>
      <c r="E331" s="63"/>
      <c r="F331" s="61"/>
      <c r="G331" s="62"/>
      <c r="H331" s="62"/>
      <c r="I331" s="62"/>
      <c r="J331" s="49">
        <f>IF(AND(ISBLANK(G331),ISBLANK(H331),ISBLANK(I331)),VLOOKUP(TEXT(D331,"TTT"),Stammdaten!$B$20:$F$26,5,FALSE),H331-G331-I331)-IF(ISERROR(VLOOKUP(D331,Stammdaten!$I$9:$J$26,2,FALSE)),0,VLOOKUP(D331,Stammdaten!$I$9:$J$26,2,FALSE)/24)</f>
        <v>0</v>
      </c>
    </row>
    <row r="332" spans="2:10" x14ac:dyDescent="0.3">
      <c r="B332" s="50" t="str">
        <f t="shared" si="12"/>
        <v/>
      </c>
      <c r="C332" s="42" t="str">
        <f t="shared" si="11"/>
        <v/>
      </c>
      <c r="D332" s="60"/>
      <c r="E332" s="63"/>
      <c r="F332" s="61"/>
      <c r="G332" s="62"/>
      <c r="H332" s="62"/>
      <c r="I332" s="62"/>
      <c r="J332" s="49">
        <f>IF(AND(ISBLANK(G332),ISBLANK(H332),ISBLANK(I332)),VLOOKUP(TEXT(D332,"TTT"),Stammdaten!$B$20:$F$26,5,FALSE),H332-G332-I332)-IF(ISERROR(VLOOKUP(D332,Stammdaten!$I$9:$J$26,2,FALSE)),0,VLOOKUP(D332,Stammdaten!$I$9:$J$26,2,FALSE)/24)</f>
        <v>0</v>
      </c>
    </row>
    <row r="333" spans="2:10" x14ac:dyDescent="0.3">
      <c r="B333" s="50" t="str">
        <f t="shared" si="12"/>
        <v/>
      </c>
      <c r="C333" s="42" t="str">
        <f t="shared" si="11"/>
        <v/>
      </c>
      <c r="D333" s="60"/>
      <c r="E333" s="63"/>
      <c r="F333" s="61"/>
      <c r="G333" s="62"/>
      <c r="H333" s="62"/>
      <c r="I333" s="62"/>
      <c r="J333" s="49">
        <f>IF(AND(ISBLANK(G333),ISBLANK(H333),ISBLANK(I333)),VLOOKUP(TEXT(D333,"TTT"),Stammdaten!$B$20:$F$26,5,FALSE),H333-G333-I333)-IF(ISERROR(VLOOKUP(D333,Stammdaten!$I$9:$J$26,2,FALSE)),0,VLOOKUP(D333,Stammdaten!$I$9:$J$26,2,FALSE)/24)</f>
        <v>0</v>
      </c>
    </row>
    <row r="334" spans="2:10" x14ac:dyDescent="0.3">
      <c r="B334" s="50" t="str">
        <f t="shared" si="12"/>
        <v/>
      </c>
      <c r="C334" s="42" t="str">
        <f t="shared" si="11"/>
        <v/>
      </c>
      <c r="D334" s="60"/>
      <c r="E334" s="63"/>
      <c r="F334" s="61"/>
      <c r="G334" s="62"/>
      <c r="H334" s="62"/>
      <c r="I334" s="62"/>
      <c r="J334" s="49">
        <f>IF(AND(ISBLANK(G334),ISBLANK(H334),ISBLANK(I334)),VLOOKUP(TEXT(D334,"TTT"),Stammdaten!$B$20:$F$26,5,FALSE),H334-G334-I334)-IF(ISERROR(VLOOKUP(D334,Stammdaten!$I$9:$J$26,2,FALSE)),0,VLOOKUP(D334,Stammdaten!$I$9:$J$26,2,FALSE)/24)</f>
        <v>0</v>
      </c>
    </row>
    <row r="335" spans="2:10" x14ac:dyDescent="0.3">
      <c r="B335" s="50" t="str">
        <f t="shared" si="12"/>
        <v/>
      </c>
      <c r="C335" s="42" t="str">
        <f t="shared" si="11"/>
        <v/>
      </c>
      <c r="D335" s="60"/>
      <c r="E335" s="63"/>
      <c r="F335" s="61"/>
      <c r="G335" s="62"/>
      <c r="H335" s="62"/>
      <c r="I335" s="62"/>
      <c r="J335" s="49">
        <f>IF(AND(ISBLANK(G335),ISBLANK(H335),ISBLANK(I335)),VLOOKUP(TEXT(D335,"TTT"),Stammdaten!$B$20:$F$26,5,FALSE),H335-G335-I335)-IF(ISERROR(VLOOKUP(D335,Stammdaten!$I$9:$J$26,2,FALSE)),0,VLOOKUP(D335,Stammdaten!$I$9:$J$26,2,FALSE)/24)</f>
        <v>0</v>
      </c>
    </row>
    <row r="336" spans="2:10" x14ac:dyDescent="0.3">
      <c r="B336" s="50" t="str">
        <f t="shared" si="12"/>
        <v/>
      </c>
      <c r="C336" s="42" t="str">
        <f t="shared" si="11"/>
        <v/>
      </c>
      <c r="D336" s="60"/>
      <c r="E336" s="63"/>
      <c r="F336" s="61"/>
      <c r="G336" s="62"/>
      <c r="H336" s="62"/>
      <c r="I336" s="62"/>
      <c r="J336" s="49">
        <f>IF(AND(ISBLANK(G336),ISBLANK(H336),ISBLANK(I336)),VLOOKUP(TEXT(D336,"TTT"),Stammdaten!$B$20:$F$26,5,FALSE),H336-G336-I336)-IF(ISERROR(VLOOKUP(D336,Stammdaten!$I$9:$J$26,2,FALSE)),0,VLOOKUP(D336,Stammdaten!$I$9:$J$26,2,FALSE)/24)</f>
        <v>0</v>
      </c>
    </row>
    <row r="337" spans="2:10" x14ac:dyDescent="0.3">
      <c r="B337" s="50" t="str">
        <f t="shared" si="12"/>
        <v/>
      </c>
      <c r="C337" s="42" t="str">
        <f t="shared" si="11"/>
        <v/>
      </c>
      <c r="D337" s="60"/>
      <c r="E337" s="63"/>
      <c r="F337" s="61"/>
      <c r="G337" s="62"/>
      <c r="H337" s="62"/>
      <c r="I337" s="62"/>
      <c r="J337" s="49">
        <f>IF(AND(ISBLANK(G337),ISBLANK(H337),ISBLANK(I337)),VLOOKUP(TEXT(D337,"TTT"),Stammdaten!$B$20:$F$26,5,FALSE),H337-G337-I337)-IF(ISERROR(VLOOKUP(D337,Stammdaten!$I$9:$J$26,2,FALSE)),0,VLOOKUP(D337,Stammdaten!$I$9:$J$26,2,FALSE)/24)</f>
        <v>0</v>
      </c>
    </row>
    <row r="338" spans="2:10" x14ac:dyDescent="0.3">
      <c r="B338" s="50" t="str">
        <f t="shared" si="12"/>
        <v/>
      </c>
      <c r="C338" s="42" t="str">
        <f t="shared" si="11"/>
        <v/>
      </c>
      <c r="D338" s="60"/>
      <c r="E338" s="63"/>
      <c r="F338" s="61"/>
      <c r="G338" s="62"/>
      <c r="H338" s="62"/>
      <c r="I338" s="62"/>
      <c r="J338" s="49">
        <f>IF(AND(ISBLANK(G338),ISBLANK(H338),ISBLANK(I338)),VLOOKUP(TEXT(D338,"TTT"),Stammdaten!$B$20:$F$26,5,FALSE),H338-G338-I338)-IF(ISERROR(VLOOKUP(D338,Stammdaten!$I$9:$J$26,2,FALSE)),0,VLOOKUP(D338,Stammdaten!$I$9:$J$26,2,FALSE)/24)</f>
        <v>0</v>
      </c>
    </row>
    <row r="339" spans="2:10" x14ac:dyDescent="0.3">
      <c r="B339" s="50" t="str">
        <f t="shared" si="12"/>
        <v/>
      </c>
      <c r="C339" s="42" t="str">
        <f t="shared" si="11"/>
        <v/>
      </c>
      <c r="D339" s="60"/>
      <c r="E339" s="63"/>
      <c r="F339" s="61"/>
      <c r="G339" s="62"/>
      <c r="H339" s="62"/>
      <c r="I339" s="62"/>
      <c r="J339" s="49">
        <f>IF(AND(ISBLANK(G339),ISBLANK(H339),ISBLANK(I339)),VLOOKUP(TEXT(D339,"TTT"),Stammdaten!$B$20:$F$26,5,FALSE),H339-G339-I339)-IF(ISERROR(VLOOKUP(D339,Stammdaten!$I$9:$J$26,2,FALSE)),0,VLOOKUP(D339,Stammdaten!$I$9:$J$26,2,FALSE)/24)</f>
        <v>0</v>
      </c>
    </row>
    <row r="340" spans="2:10" x14ac:dyDescent="0.3">
      <c r="B340" s="50" t="str">
        <f t="shared" si="12"/>
        <v/>
      </c>
      <c r="C340" s="42" t="str">
        <f t="shared" si="11"/>
        <v/>
      </c>
      <c r="D340" s="60"/>
      <c r="E340" s="63"/>
      <c r="F340" s="61"/>
      <c r="G340" s="62"/>
      <c r="H340" s="62"/>
      <c r="I340" s="62"/>
      <c r="J340" s="49">
        <f>IF(AND(ISBLANK(G340),ISBLANK(H340),ISBLANK(I340)),VLOOKUP(TEXT(D340,"TTT"),Stammdaten!$B$20:$F$26,5,FALSE),H340-G340-I340)-IF(ISERROR(VLOOKUP(D340,Stammdaten!$I$9:$J$26,2,FALSE)),0,VLOOKUP(D340,Stammdaten!$I$9:$J$26,2,FALSE)/24)</f>
        <v>0</v>
      </c>
    </row>
    <row r="341" spans="2:10" x14ac:dyDescent="0.3">
      <c r="B341" s="50" t="str">
        <f t="shared" si="12"/>
        <v/>
      </c>
      <c r="C341" s="42" t="str">
        <f t="shared" si="11"/>
        <v/>
      </c>
      <c r="D341" s="60"/>
      <c r="E341" s="63"/>
      <c r="F341" s="61"/>
      <c r="G341" s="62"/>
      <c r="H341" s="62"/>
      <c r="I341" s="62"/>
      <c r="J341" s="49">
        <f>IF(AND(ISBLANK(G341),ISBLANK(H341),ISBLANK(I341)),VLOOKUP(TEXT(D341,"TTT"),Stammdaten!$B$20:$F$26,5,FALSE),H341-G341-I341)-IF(ISERROR(VLOOKUP(D341,Stammdaten!$I$9:$J$26,2,FALSE)),0,VLOOKUP(D341,Stammdaten!$I$9:$J$26,2,FALSE)/24)</f>
        <v>0</v>
      </c>
    </row>
    <row r="342" spans="2:10" x14ac:dyDescent="0.3">
      <c r="B342" s="50" t="str">
        <f t="shared" si="12"/>
        <v/>
      </c>
      <c r="C342" s="42" t="str">
        <f t="shared" si="11"/>
        <v/>
      </c>
      <c r="D342" s="60"/>
      <c r="E342" s="63"/>
      <c r="F342" s="61"/>
      <c r="G342" s="62"/>
      <c r="H342" s="62"/>
      <c r="I342" s="62"/>
      <c r="J342" s="49">
        <f>IF(AND(ISBLANK(G342),ISBLANK(H342),ISBLANK(I342)),VLOOKUP(TEXT(D342,"TTT"),Stammdaten!$B$20:$F$26,5,FALSE),H342-G342-I342)-IF(ISERROR(VLOOKUP(D342,Stammdaten!$I$9:$J$26,2,FALSE)),0,VLOOKUP(D342,Stammdaten!$I$9:$J$26,2,FALSE)/24)</f>
        <v>0</v>
      </c>
    </row>
    <row r="343" spans="2:10" x14ac:dyDescent="0.3">
      <c r="B343" s="50" t="str">
        <f t="shared" si="12"/>
        <v/>
      </c>
      <c r="C343" s="42" t="str">
        <f t="shared" si="11"/>
        <v/>
      </c>
      <c r="D343" s="60"/>
      <c r="E343" s="63"/>
      <c r="F343" s="61"/>
      <c r="G343" s="62"/>
      <c r="H343" s="62"/>
      <c r="I343" s="62"/>
      <c r="J343" s="49">
        <f>IF(AND(ISBLANK(G343),ISBLANK(H343),ISBLANK(I343)),VLOOKUP(TEXT(D343,"TTT"),Stammdaten!$B$20:$F$26,5,FALSE),H343-G343-I343)-IF(ISERROR(VLOOKUP(D343,Stammdaten!$I$9:$J$26,2,FALSE)),0,VLOOKUP(D343,Stammdaten!$I$9:$J$26,2,FALSE)/24)</f>
        <v>0</v>
      </c>
    </row>
    <row r="344" spans="2:10" x14ac:dyDescent="0.3">
      <c r="B344" s="50" t="str">
        <f t="shared" si="12"/>
        <v/>
      </c>
      <c r="C344" s="42" t="str">
        <f t="shared" si="11"/>
        <v/>
      </c>
      <c r="D344" s="60"/>
      <c r="E344" s="63"/>
      <c r="F344" s="61"/>
      <c r="G344" s="62"/>
      <c r="H344" s="62"/>
      <c r="I344" s="62"/>
      <c r="J344" s="49">
        <f>IF(AND(ISBLANK(G344),ISBLANK(H344),ISBLANK(I344)),VLOOKUP(TEXT(D344,"TTT"),Stammdaten!$B$20:$F$26,5,FALSE),H344-G344-I344)-IF(ISERROR(VLOOKUP(D344,Stammdaten!$I$9:$J$26,2,FALSE)),0,VLOOKUP(D344,Stammdaten!$I$9:$J$26,2,FALSE)/24)</f>
        <v>0</v>
      </c>
    </row>
    <row r="345" spans="2:10" x14ac:dyDescent="0.3">
      <c r="B345" s="50" t="str">
        <f t="shared" si="12"/>
        <v/>
      </c>
      <c r="C345" s="42" t="str">
        <f t="shared" si="11"/>
        <v/>
      </c>
      <c r="D345" s="60"/>
      <c r="E345" s="63"/>
      <c r="F345" s="61"/>
      <c r="G345" s="62"/>
      <c r="H345" s="62"/>
      <c r="I345" s="62"/>
      <c r="J345" s="49">
        <f>IF(AND(ISBLANK(G345),ISBLANK(H345),ISBLANK(I345)),VLOOKUP(TEXT(D345,"TTT"),Stammdaten!$B$20:$F$26,5,FALSE),H345-G345-I345)-IF(ISERROR(VLOOKUP(D345,Stammdaten!$I$9:$J$26,2,FALSE)),0,VLOOKUP(D345,Stammdaten!$I$9:$J$26,2,FALSE)/24)</f>
        <v>0</v>
      </c>
    </row>
    <row r="346" spans="2:10" x14ac:dyDescent="0.3">
      <c r="B346" s="50" t="str">
        <f t="shared" si="12"/>
        <v/>
      </c>
      <c r="C346" s="42" t="str">
        <f t="shared" si="11"/>
        <v/>
      </c>
      <c r="D346" s="60"/>
      <c r="E346" s="63"/>
      <c r="F346" s="61"/>
      <c r="G346" s="62"/>
      <c r="H346" s="62"/>
      <c r="I346" s="62"/>
      <c r="J346" s="49">
        <f>IF(AND(ISBLANK(G346),ISBLANK(H346),ISBLANK(I346)),VLOOKUP(TEXT(D346,"TTT"),Stammdaten!$B$20:$F$26,5,FALSE),H346-G346-I346)-IF(ISERROR(VLOOKUP(D346,Stammdaten!$I$9:$J$26,2,FALSE)),0,VLOOKUP(D346,Stammdaten!$I$9:$J$26,2,FALSE)/24)</f>
        <v>0</v>
      </c>
    </row>
    <row r="347" spans="2:10" x14ac:dyDescent="0.3">
      <c r="B347" s="50" t="str">
        <f t="shared" si="12"/>
        <v/>
      </c>
      <c r="C347" s="42" t="str">
        <f t="shared" si="11"/>
        <v/>
      </c>
      <c r="D347" s="60"/>
      <c r="E347" s="63"/>
      <c r="F347" s="61"/>
      <c r="G347" s="62"/>
      <c r="H347" s="62"/>
      <c r="I347" s="62"/>
      <c r="J347" s="49">
        <f>IF(AND(ISBLANK(G347),ISBLANK(H347),ISBLANK(I347)),VLOOKUP(TEXT(D347,"TTT"),Stammdaten!$B$20:$F$26,5,FALSE),H347-G347-I347)-IF(ISERROR(VLOOKUP(D347,Stammdaten!$I$9:$J$26,2,FALSE)),0,VLOOKUP(D347,Stammdaten!$I$9:$J$26,2,FALSE)/24)</f>
        <v>0</v>
      </c>
    </row>
    <row r="348" spans="2:10" x14ac:dyDescent="0.3">
      <c r="B348" s="50" t="str">
        <f t="shared" si="12"/>
        <v/>
      </c>
      <c r="C348" s="42" t="str">
        <f t="shared" si="11"/>
        <v/>
      </c>
      <c r="D348" s="60"/>
      <c r="E348" s="63"/>
      <c r="F348" s="61"/>
      <c r="G348" s="62"/>
      <c r="H348" s="62"/>
      <c r="I348" s="62"/>
      <c r="J348" s="49">
        <f>IF(AND(ISBLANK(G348),ISBLANK(H348),ISBLANK(I348)),VLOOKUP(TEXT(D348,"TTT"),Stammdaten!$B$20:$F$26,5,FALSE),H348-G348-I348)-IF(ISERROR(VLOOKUP(D348,Stammdaten!$I$9:$J$26,2,FALSE)),0,VLOOKUP(D348,Stammdaten!$I$9:$J$26,2,FALSE)/24)</f>
        <v>0</v>
      </c>
    </row>
    <row r="349" spans="2:10" x14ac:dyDescent="0.3">
      <c r="B349" s="50" t="str">
        <f t="shared" si="12"/>
        <v/>
      </c>
      <c r="C349" s="42" t="str">
        <f t="shared" si="11"/>
        <v/>
      </c>
      <c r="D349" s="60"/>
      <c r="E349" s="63"/>
      <c r="F349" s="61"/>
      <c r="G349" s="62"/>
      <c r="H349" s="62"/>
      <c r="I349" s="62"/>
      <c r="J349" s="49">
        <f>IF(AND(ISBLANK(G349),ISBLANK(H349),ISBLANK(I349)),VLOOKUP(TEXT(D349,"TTT"),Stammdaten!$B$20:$F$26,5,FALSE),H349-G349-I349)-IF(ISERROR(VLOOKUP(D349,Stammdaten!$I$9:$J$26,2,FALSE)),0,VLOOKUP(D349,Stammdaten!$I$9:$J$26,2,FALSE)/24)</f>
        <v>0</v>
      </c>
    </row>
    <row r="350" spans="2:10" x14ac:dyDescent="0.3">
      <c r="B350" s="50" t="str">
        <f t="shared" si="12"/>
        <v/>
      </c>
      <c r="C350" s="42" t="str">
        <f t="shared" si="11"/>
        <v/>
      </c>
      <c r="D350" s="60"/>
      <c r="E350" s="63"/>
      <c r="F350" s="61"/>
      <c r="G350" s="62"/>
      <c r="H350" s="62"/>
      <c r="I350" s="62"/>
      <c r="J350" s="49">
        <f>IF(AND(ISBLANK(G350),ISBLANK(H350),ISBLANK(I350)),VLOOKUP(TEXT(D350,"TTT"),Stammdaten!$B$20:$F$26,5,FALSE),H350-G350-I350)-IF(ISERROR(VLOOKUP(D350,Stammdaten!$I$9:$J$26,2,FALSE)),0,VLOOKUP(D350,Stammdaten!$I$9:$J$26,2,FALSE)/24)</f>
        <v>0</v>
      </c>
    </row>
    <row r="351" spans="2:10" x14ac:dyDescent="0.3">
      <c r="B351" s="50" t="str">
        <f t="shared" si="12"/>
        <v/>
      </c>
      <c r="C351" s="42" t="str">
        <f t="shared" si="11"/>
        <v/>
      </c>
      <c r="D351" s="60"/>
      <c r="E351" s="63"/>
      <c r="F351" s="61"/>
      <c r="G351" s="62"/>
      <c r="H351" s="62"/>
      <c r="I351" s="62"/>
      <c r="J351" s="49">
        <f>IF(AND(ISBLANK(G351),ISBLANK(H351),ISBLANK(I351)),VLOOKUP(TEXT(D351,"TTT"),Stammdaten!$B$20:$F$26,5,FALSE),H351-G351-I351)-IF(ISERROR(VLOOKUP(D351,Stammdaten!$I$9:$J$26,2,FALSE)),0,VLOOKUP(D351,Stammdaten!$I$9:$J$26,2,FALSE)/24)</f>
        <v>0</v>
      </c>
    </row>
    <row r="352" spans="2:10" x14ac:dyDescent="0.3">
      <c r="B352" s="50" t="str">
        <f t="shared" si="12"/>
        <v/>
      </c>
      <c r="C352" s="42" t="str">
        <f t="shared" si="11"/>
        <v/>
      </c>
      <c r="D352" s="60"/>
      <c r="E352" s="63"/>
      <c r="F352" s="61"/>
      <c r="G352" s="62"/>
      <c r="H352" s="62"/>
      <c r="I352" s="62"/>
      <c r="J352" s="49">
        <f>IF(AND(ISBLANK(G352),ISBLANK(H352),ISBLANK(I352)),VLOOKUP(TEXT(D352,"TTT"),Stammdaten!$B$20:$F$26,5,FALSE),H352-G352-I352)-IF(ISERROR(VLOOKUP(D352,Stammdaten!$I$9:$J$26,2,FALSE)),0,VLOOKUP(D352,Stammdaten!$I$9:$J$26,2,FALSE)/24)</f>
        <v>0</v>
      </c>
    </row>
    <row r="353" spans="2:10" x14ac:dyDescent="0.3">
      <c r="B353" s="50" t="str">
        <f t="shared" si="12"/>
        <v/>
      </c>
      <c r="C353" s="42" t="str">
        <f t="shared" si="11"/>
        <v/>
      </c>
      <c r="D353" s="60"/>
      <c r="E353" s="63"/>
      <c r="F353" s="61"/>
      <c r="G353" s="62"/>
      <c r="H353" s="62"/>
      <c r="I353" s="62"/>
      <c r="J353" s="49">
        <f>IF(AND(ISBLANK(G353),ISBLANK(H353),ISBLANK(I353)),VLOOKUP(TEXT(D353,"TTT"),Stammdaten!$B$20:$F$26,5,FALSE),H353-G353-I353)-IF(ISERROR(VLOOKUP(D353,Stammdaten!$I$9:$J$26,2,FALSE)),0,VLOOKUP(D353,Stammdaten!$I$9:$J$26,2,FALSE)/24)</f>
        <v>0</v>
      </c>
    </row>
    <row r="354" spans="2:10" x14ac:dyDescent="0.3">
      <c r="B354" s="50" t="str">
        <f t="shared" si="12"/>
        <v/>
      </c>
      <c r="C354" s="42" t="str">
        <f t="shared" si="11"/>
        <v/>
      </c>
      <c r="D354" s="60"/>
      <c r="E354" s="63"/>
      <c r="F354" s="61"/>
      <c r="G354" s="62"/>
      <c r="H354" s="62"/>
      <c r="I354" s="62"/>
      <c r="J354" s="49">
        <f>IF(AND(ISBLANK(G354),ISBLANK(H354),ISBLANK(I354)),VLOOKUP(TEXT(D354,"TTT"),Stammdaten!$B$20:$F$26,5,FALSE),H354-G354-I354)-IF(ISERROR(VLOOKUP(D354,Stammdaten!$I$9:$J$26,2,FALSE)),0,VLOOKUP(D354,Stammdaten!$I$9:$J$26,2,FALSE)/24)</f>
        <v>0</v>
      </c>
    </row>
    <row r="355" spans="2:10" x14ac:dyDescent="0.3">
      <c r="B355" s="50" t="str">
        <f t="shared" si="12"/>
        <v/>
      </c>
      <c r="C355" s="42" t="str">
        <f t="shared" si="11"/>
        <v/>
      </c>
      <c r="D355" s="60"/>
      <c r="E355" s="63"/>
      <c r="F355" s="61"/>
      <c r="G355" s="62"/>
      <c r="H355" s="62"/>
      <c r="I355" s="62"/>
      <c r="J355" s="49">
        <f>IF(AND(ISBLANK(G355),ISBLANK(H355),ISBLANK(I355)),VLOOKUP(TEXT(D355,"TTT"),Stammdaten!$B$20:$F$26,5,FALSE),H355-G355-I355)-IF(ISERROR(VLOOKUP(D355,Stammdaten!$I$9:$J$26,2,FALSE)),0,VLOOKUP(D355,Stammdaten!$I$9:$J$26,2,FALSE)/24)</f>
        <v>0</v>
      </c>
    </row>
    <row r="356" spans="2:10" x14ac:dyDescent="0.3">
      <c r="B356" s="50" t="str">
        <f t="shared" si="12"/>
        <v/>
      </c>
      <c r="C356" s="42" t="str">
        <f t="shared" si="11"/>
        <v/>
      </c>
      <c r="D356" s="60"/>
      <c r="E356" s="63"/>
      <c r="F356" s="61"/>
      <c r="G356" s="62"/>
      <c r="H356" s="62"/>
      <c r="I356" s="62"/>
      <c r="J356" s="49">
        <f>IF(AND(ISBLANK(G356),ISBLANK(H356),ISBLANK(I356)),VLOOKUP(TEXT(D356,"TTT"),Stammdaten!$B$20:$F$26,5,FALSE),H356-G356-I356)-IF(ISERROR(VLOOKUP(D356,Stammdaten!$I$9:$J$26,2,FALSE)),0,VLOOKUP(D356,Stammdaten!$I$9:$J$26,2,FALSE)/24)</f>
        <v>0</v>
      </c>
    </row>
    <row r="357" spans="2:10" x14ac:dyDescent="0.3">
      <c r="B357" s="50" t="str">
        <f t="shared" si="12"/>
        <v/>
      </c>
      <c r="C357" s="42" t="str">
        <f t="shared" si="11"/>
        <v/>
      </c>
      <c r="D357" s="60"/>
      <c r="E357" s="63"/>
      <c r="F357" s="61"/>
      <c r="G357" s="62"/>
      <c r="H357" s="62"/>
      <c r="I357" s="62"/>
      <c r="J357" s="49">
        <f>IF(AND(ISBLANK(G357),ISBLANK(H357),ISBLANK(I357)),VLOOKUP(TEXT(D357,"TTT"),Stammdaten!$B$20:$F$26,5,FALSE),H357-G357-I357)-IF(ISERROR(VLOOKUP(D357,Stammdaten!$I$9:$J$26,2,FALSE)),0,VLOOKUP(D357,Stammdaten!$I$9:$J$26,2,FALSE)/24)</f>
        <v>0</v>
      </c>
    </row>
    <row r="358" spans="2:10" x14ac:dyDescent="0.3">
      <c r="B358" s="50" t="str">
        <f t="shared" si="12"/>
        <v/>
      </c>
      <c r="C358" s="42" t="str">
        <f t="shared" si="11"/>
        <v/>
      </c>
      <c r="D358" s="60"/>
      <c r="E358" s="63"/>
      <c r="F358" s="61"/>
      <c r="G358" s="62"/>
      <c r="H358" s="62"/>
      <c r="I358" s="62"/>
      <c r="J358" s="49">
        <f>IF(AND(ISBLANK(G358),ISBLANK(H358),ISBLANK(I358)),VLOOKUP(TEXT(D358,"TTT"),Stammdaten!$B$20:$F$26,5,FALSE),H358-G358-I358)-IF(ISERROR(VLOOKUP(D358,Stammdaten!$I$9:$J$26,2,FALSE)),0,VLOOKUP(D358,Stammdaten!$I$9:$J$26,2,FALSE)/24)</f>
        <v>0</v>
      </c>
    </row>
    <row r="359" spans="2:10" x14ac:dyDescent="0.3">
      <c r="B359" s="50" t="str">
        <f t="shared" si="12"/>
        <v/>
      </c>
      <c r="C359" s="42" t="str">
        <f t="shared" si="11"/>
        <v/>
      </c>
      <c r="D359" s="60"/>
      <c r="E359" s="63"/>
      <c r="F359" s="61"/>
      <c r="G359" s="62"/>
      <c r="H359" s="62"/>
      <c r="I359" s="62"/>
      <c r="J359" s="49">
        <f>IF(AND(ISBLANK(G359),ISBLANK(H359),ISBLANK(I359)),VLOOKUP(TEXT(D359,"TTT"),Stammdaten!$B$20:$F$26,5,FALSE),H359-G359-I359)-IF(ISERROR(VLOOKUP(D359,Stammdaten!$I$9:$J$26,2,FALSE)),0,VLOOKUP(D359,Stammdaten!$I$9:$J$26,2,FALSE)/24)</f>
        <v>0</v>
      </c>
    </row>
    <row r="360" spans="2:10" x14ac:dyDescent="0.3">
      <c r="B360" s="50" t="str">
        <f t="shared" si="12"/>
        <v/>
      </c>
      <c r="C360" s="42" t="str">
        <f t="shared" si="11"/>
        <v/>
      </c>
      <c r="D360" s="60"/>
      <c r="E360" s="63"/>
      <c r="F360" s="61"/>
      <c r="G360" s="62"/>
      <c r="H360" s="62"/>
      <c r="I360" s="62"/>
      <c r="J360" s="49">
        <f>IF(AND(ISBLANK(G360),ISBLANK(H360),ISBLANK(I360)),VLOOKUP(TEXT(D360,"TTT"),Stammdaten!$B$20:$F$26,5,FALSE),H360-G360-I360)-IF(ISERROR(VLOOKUP(D360,Stammdaten!$I$9:$J$26,2,FALSE)),0,VLOOKUP(D360,Stammdaten!$I$9:$J$26,2,FALSE)/24)</f>
        <v>0</v>
      </c>
    </row>
    <row r="361" spans="2:10" x14ac:dyDescent="0.3">
      <c r="B361" s="50" t="str">
        <f t="shared" si="12"/>
        <v/>
      </c>
      <c r="C361" s="42" t="str">
        <f t="shared" si="11"/>
        <v/>
      </c>
      <c r="D361" s="60"/>
      <c r="E361" s="63"/>
      <c r="F361" s="61"/>
      <c r="G361" s="62"/>
      <c r="H361" s="62"/>
      <c r="I361" s="62"/>
      <c r="J361" s="49">
        <f>IF(AND(ISBLANK(G361),ISBLANK(H361),ISBLANK(I361)),VLOOKUP(TEXT(D361,"TTT"),Stammdaten!$B$20:$F$26,5,FALSE),H361-G361-I361)-IF(ISERROR(VLOOKUP(D361,Stammdaten!$I$9:$J$26,2,FALSE)),0,VLOOKUP(D361,Stammdaten!$I$9:$J$26,2,FALSE)/24)</f>
        <v>0</v>
      </c>
    </row>
    <row r="362" spans="2:10" x14ac:dyDescent="0.3">
      <c r="B362" s="50" t="str">
        <f t="shared" si="12"/>
        <v/>
      </c>
      <c r="C362" s="42" t="str">
        <f t="shared" si="11"/>
        <v/>
      </c>
      <c r="D362" s="60"/>
      <c r="E362" s="63"/>
      <c r="F362" s="61"/>
      <c r="G362" s="62"/>
      <c r="H362" s="62"/>
      <c r="I362" s="62"/>
      <c r="J362" s="49">
        <f>IF(AND(ISBLANK(G362),ISBLANK(H362),ISBLANK(I362)),VLOOKUP(TEXT(D362,"TTT"),Stammdaten!$B$20:$F$26,5,FALSE),H362-G362-I362)-IF(ISERROR(VLOOKUP(D362,Stammdaten!$I$9:$J$26,2,FALSE)),0,VLOOKUP(D362,Stammdaten!$I$9:$J$26,2,FALSE)/24)</f>
        <v>0</v>
      </c>
    </row>
    <row r="363" spans="2:10" x14ac:dyDescent="0.3">
      <c r="B363" s="50" t="str">
        <f t="shared" si="12"/>
        <v/>
      </c>
      <c r="C363" s="42" t="str">
        <f t="shared" si="11"/>
        <v/>
      </c>
      <c r="D363" s="60"/>
      <c r="E363" s="63"/>
      <c r="F363" s="61"/>
      <c r="G363" s="62"/>
      <c r="H363" s="62"/>
      <c r="I363" s="62"/>
      <c r="J363" s="49">
        <f>IF(AND(ISBLANK(G363),ISBLANK(H363),ISBLANK(I363)),VLOOKUP(TEXT(D363,"TTT"),Stammdaten!$B$20:$F$26,5,FALSE),H363-G363-I363)-IF(ISERROR(VLOOKUP(D363,Stammdaten!$I$9:$J$26,2,FALSE)),0,VLOOKUP(D363,Stammdaten!$I$9:$J$26,2,FALSE)/24)</f>
        <v>0</v>
      </c>
    </row>
    <row r="364" spans="2:10" x14ac:dyDescent="0.3">
      <c r="B364" s="50" t="str">
        <f t="shared" si="12"/>
        <v/>
      </c>
      <c r="C364" s="42" t="str">
        <f t="shared" si="11"/>
        <v/>
      </c>
      <c r="D364" s="60"/>
      <c r="E364" s="63"/>
      <c r="F364" s="61"/>
      <c r="G364" s="62"/>
      <c r="H364" s="62"/>
      <c r="I364" s="62"/>
      <c r="J364" s="49">
        <f>IF(AND(ISBLANK(G364),ISBLANK(H364),ISBLANK(I364)),VLOOKUP(TEXT(D364,"TTT"),Stammdaten!$B$20:$F$26,5,FALSE),H364-G364-I364)-IF(ISERROR(VLOOKUP(D364,Stammdaten!$I$9:$J$26,2,FALSE)),0,VLOOKUP(D364,Stammdaten!$I$9:$J$26,2,FALSE)/24)</f>
        <v>0</v>
      </c>
    </row>
    <row r="365" spans="2:10" x14ac:dyDescent="0.3">
      <c r="B365" s="50" t="str">
        <f t="shared" si="12"/>
        <v/>
      </c>
      <c r="C365" s="42" t="str">
        <f t="shared" si="11"/>
        <v/>
      </c>
      <c r="D365" s="60"/>
      <c r="E365" s="63"/>
      <c r="F365" s="61"/>
      <c r="G365" s="62"/>
      <c r="H365" s="62"/>
      <c r="I365" s="62"/>
      <c r="J365" s="49">
        <f>IF(AND(ISBLANK(G365),ISBLANK(H365),ISBLANK(I365)),VLOOKUP(TEXT(D365,"TTT"),Stammdaten!$B$20:$F$26,5,FALSE),H365-G365-I365)-IF(ISERROR(VLOOKUP(D365,Stammdaten!$I$9:$J$26,2,FALSE)),0,VLOOKUP(D365,Stammdaten!$I$9:$J$26,2,FALSE)/24)</f>
        <v>0</v>
      </c>
    </row>
    <row r="366" spans="2:10" x14ac:dyDescent="0.3">
      <c r="B366" s="50" t="str">
        <f t="shared" si="12"/>
        <v/>
      </c>
      <c r="C366" s="42" t="str">
        <f t="shared" si="11"/>
        <v/>
      </c>
      <c r="D366" s="60"/>
      <c r="E366" s="63"/>
      <c r="F366" s="61"/>
      <c r="G366" s="62"/>
      <c r="H366" s="62"/>
      <c r="I366" s="62"/>
      <c r="J366" s="49">
        <f>IF(AND(ISBLANK(G366),ISBLANK(H366),ISBLANK(I366)),VLOOKUP(TEXT(D366,"TTT"),Stammdaten!$B$20:$F$26,5,FALSE),H366-G366-I366)-IF(ISERROR(VLOOKUP(D366,Stammdaten!$I$9:$J$26,2,FALSE)),0,VLOOKUP(D366,Stammdaten!$I$9:$J$26,2,FALSE)/24)</f>
        <v>0</v>
      </c>
    </row>
    <row r="367" spans="2:10" x14ac:dyDescent="0.3">
      <c r="B367" s="50" t="str">
        <f t="shared" si="12"/>
        <v/>
      </c>
      <c r="C367" s="42" t="str">
        <f t="shared" si="11"/>
        <v/>
      </c>
      <c r="D367" s="60"/>
      <c r="E367" s="63"/>
      <c r="F367" s="61"/>
      <c r="G367" s="62"/>
      <c r="H367" s="62"/>
      <c r="I367" s="62"/>
      <c r="J367" s="49">
        <f>IF(AND(ISBLANK(G367),ISBLANK(H367),ISBLANK(I367)),VLOOKUP(TEXT(D367,"TTT"),Stammdaten!$B$20:$F$26,5,FALSE),H367-G367-I367)-IF(ISERROR(VLOOKUP(D367,Stammdaten!$I$9:$J$26,2,FALSE)),0,VLOOKUP(D367,Stammdaten!$I$9:$J$26,2,FALSE)/24)</f>
        <v>0</v>
      </c>
    </row>
    <row r="368" spans="2:10" x14ac:dyDescent="0.3">
      <c r="B368" s="50" t="str">
        <f t="shared" si="12"/>
        <v/>
      </c>
      <c r="C368" s="42" t="str">
        <f t="shared" si="11"/>
        <v/>
      </c>
      <c r="D368" s="60"/>
      <c r="E368" s="63"/>
      <c r="F368" s="61"/>
      <c r="G368" s="62"/>
      <c r="H368" s="62"/>
      <c r="I368" s="62"/>
      <c r="J368" s="49">
        <f>IF(AND(ISBLANK(G368),ISBLANK(H368),ISBLANK(I368)),VLOOKUP(TEXT(D368,"TTT"),Stammdaten!$B$20:$F$26,5,FALSE),H368-G368-I368)-IF(ISERROR(VLOOKUP(D368,Stammdaten!$I$9:$J$26,2,FALSE)),0,VLOOKUP(D368,Stammdaten!$I$9:$J$26,2,FALSE)/24)</f>
        <v>0</v>
      </c>
    </row>
    <row r="369" spans="2:10" x14ac:dyDescent="0.3">
      <c r="B369" s="50" t="str">
        <f t="shared" si="12"/>
        <v/>
      </c>
      <c r="C369" s="42" t="str">
        <f t="shared" si="11"/>
        <v/>
      </c>
      <c r="D369" s="60"/>
      <c r="E369" s="63"/>
      <c r="F369" s="61"/>
      <c r="G369" s="62"/>
      <c r="H369" s="62"/>
      <c r="I369" s="62"/>
      <c r="J369" s="49">
        <f>IF(AND(ISBLANK(G369),ISBLANK(H369),ISBLANK(I369)),VLOOKUP(TEXT(D369,"TTT"),Stammdaten!$B$20:$F$26,5,FALSE),H369-G369-I369)-IF(ISERROR(VLOOKUP(D369,Stammdaten!$I$9:$J$26,2,FALSE)),0,VLOOKUP(D369,Stammdaten!$I$9:$J$26,2,FALSE)/24)</f>
        <v>0</v>
      </c>
    </row>
    <row r="370" spans="2:10" x14ac:dyDescent="0.3">
      <c r="B370" s="50" t="str">
        <f t="shared" si="12"/>
        <v/>
      </c>
      <c r="C370" s="42" t="str">
        <f t="shared" si="11"/>
        <v/>
      </c>
      <c r="D370" s="60"/>
      <c r="E370" s="63"/>
      <c r="F370" s="61"/>
      <c r="G370" s="62"/>
      <c r="H370" s="62"/>
      <c r="I370" s="62"/>
      <c r="J370" s="49">
        <f>IF(AND(ISBLANK(G370),ISBLANK(H370),ISBLANK(I370)),VLOOKUP(TEXT(D370,"TTT"),Stammdaten!$B$20:$F$26,5,FALSE),H370-G370-I370)-IF(ISERROR(VLOOKUP(D370,Stammdaten!$I$9:$J$26,2,FALSE)),0,VLOOKUP(D370,Stammdaten!$I$9:$J$26,2,FALSE)/24)</f>
        <v>0</v>
      </c>
    </row>
    <row r="371" spans="2:10" x14ac:dyDescent="0.3">
      <c r="B371" s="50" t="str">
        <f t="shared" si="12"/>
        <v/>
      </c>
      <c r="C371" s="42" t="str">
        <f t="shared" si="11"/>
        <v/>
      </c>
      <c r="D371" s="60"/>
      <c r="E371" s="63"/>
      <c r="F371" s="61"/>
      <c r="G371" s="62"/>
      <c r="H371" s="62"/>
      <c r="I371" s="62"/>
      <c r="J371" s="49">
        <f>IF(AND(ISBLANK(G371),ISBLANK(H371),ISBLANK(I371)),VLOOKUP(TEXT(D371,"TTT"),Stammdaten!$B$20:$F$26,5,FALSE),H371-G371-I371)-IF(ISERROR(VLOOKUP(D371,Stammdaten!$I$9:$J$26,2,FALSE)),0,VLOOKUP(D371,Stammdaten!$I$9:$J$26,2,FALSE)/24)</f>
        <v>0</v>
      </c>
    </row>
    <row r="372" spans="2:10" x14ac:dyDescent="0.3">
      <c r="B372" s="50" t="str">
        <f t="shared" si="12"/>
        <v/>
      </c>
      <c r="C372" s="42" t="str">
        <f t="shared" si="11"/>
        <v/>
      </c>
      <c r="D372" s="60"/>
      <c r="E372" s="63"/>
      <c r="F372" s="61"/>
      <c r="G372" s="62"/>
      <c r="H372" s="62"/>
      <c r="I372" s="62"/>
      <c r="J372" s="49">
        <f>IF(AND(ISBLANK(G372),ISBLANK(H372),ISBLANK(I372)),VLOOKUP(TEXT(D372,"TTT"),Stammdaten!$B$20:$F$26,5,FALSE),H372-G372-I372)-IF(ISERROR(VLOOKUP(D372,Stammdaten!$I$9:$J$26,2,FALSE)),0,VLOOKUP(D372,Stammdaten!$I$9:$J$26,2,FALSE)/24)</f>
        <v>0</v>
      </c>
    </row>
    <row r="373" spans="2:10" x14ac:dyDescent="0.3">
      <c r="B373" s="50" t="str">
        <f t="shared" si="12"/>
        <v/>
      </c>
      <c r="C373" s="42" t="str">
        <f t="shared" si="11"/>
        <v/>
      </c>
      <c r="D373" s="60"/>
      <c r="E373" s="63"/>
      <c r="F373" s="61"/>
      <c r="G373" s="62"/>
      <c r="H373" s="62"/>
      <c r="I373" s="62"/>
      <c r="J373" s="49">
        <f>IF(AND(ISBLANK(G373),ISBLANK(H373),ISBLANK(I373)),VLOOKUP(TEXT(D373,"TTT"),Stammdaten!$B$20:$F$26,5,FALSE),H373-G373-I373)-IF(ISERROR(VLOOKUP(D373,Stammdaten!$I$9:$J$26,2,FALSE)),0,VLOOKUP(D373,Stammdaten!$I$9:$J$26,2,FALSE)/24)</f>
        <v>0</v>
      </c>
    </row>
    <row r="374" spans="2:10" x14ac:dyDescent="0.3">
      <c r="B374" s="50" t="str">
        <f t="shared" si="12"/>
        <v/>
      </c>
      <c r="C374" s="42" t="str">
        <f t="shared" si="11"/>
        <v/>
      </c>
      <c r="D374" s="60"/>
      <c r="E374" s="63"/>
      <c r="F374" s="61"/>
      <c r="G374" s="62"/>
      <c r="H374" s="62"/>
      <c r="I374" s="62"/>
      <c r="J374" s="49">
        <f>IF(AND(ISBLANK(G374),ISBLANK(H374),ISBLANK(I374)),VLOOKUP(TEXT(D374,"TTT"),Stammdaten!$B$20:$F$26,5,FALSE),H374-G374-I374)-IF(ISERROR(VLOOKUP(D374,Stammdaten!$I$9:$J$26,2,FALSE)),0,VLOOKUP(D374,Stammdaten!$I$9:$J$26,2,FALSE)/24)</f>
        <v>0</v>
      </c>
    </row>
    <row r="375" spans="2:10" x14ac:dyDescent="0.3">
      <c r="B375" s="50" t="str">
        <f t="shared" si="12"/>
        <v/>
      </c>
      <c r="C375" s="42" t="str">
        <f t="shared" si="11"/>
        <v/>
      </c>
      <c r="D375" s="60"/>
      <c r="E375" s="63"/>
      <c r="F375" s="61"/>
      <c r="G375" s="62"/>
      <c r="H375" s="62"/>
      <c r="I375" s="62"/>
      <c r="J375" s="49">
        <f>IF(AND(ISBLANK(G375),ISBLANK(H375),ISBLANK(I375)),VLOOKUP(TEXT(D375,"TTT"),Stammdaten!$B$20:$F$26,5,FALSE),H375-G375-I375)-IF(ISERROR(VLOOKUP(D375,Stammdaten!$I$9:$J$26,2,FALSE)),0,VLOOKUP(D375,Stammdaten!$I$9:$J$26,2,FALSE)/24)</f>
        <v>0</v>
      </c>
    </row>
    <row r="376" spans="2:10" x14ac:dyDescent="0.3">
      <c r="B376" s="50" t="str">
        <f t="shared" si="12"/>
        <v/>
      </c>
      <c r="C376" s="42" t="str">
        <f t="shared" si="11"/>
        <v/>
      </c>
      <c r="D376" s="60"/>
      <c r="E376" s="63"/>
      <c r="F376" s="61"/>
      <c r="G376" s="62"/>
      <c r="H376" s="62"/>
      <c r="I376" s="62"/>
      <c r="J376" s="49">
        <f>IF(AND(ISBLANK(G376),ISBLANK(H376),ISBLANK(I376)),VLOOKUP(TEXT(D376,"TTT"),Stammdaten!$B$20:$F$26,5,FALSE),H376-G376-I376)-IF(ISERROR(VLOOKUP(D376,Stammdaten!$I$9:$J$26,2,FALSE)),0,VLOOKUP(D376,Stammdaten!$I$9:$J$26,2,FALSE)/24)</f>
        <v>0</v>
      </c>
    </row>
    <row r="377" spans="2:10" x14ac:dyDescent="0.3">
      <c r="B377" s="50" t="str">
        <f t="shared" si="12"/>
        <v/>
      </c>
      <c r="C377" s="42" t="str">
        <f t="shared" si="11"/>
        <v/>
      </c>
      <c r="D377" s="60"/>
      <c r="E377" s="63"/>
      <c r="F377" s="61"/>
      <c r="G377" s="62"/>
      <c r="H377" s="62"/>
      <c r="I377" s="62"/>
      <c r="J377" s="49">
        <f>IF(AND(ISBLANK(G377),ISBLANK(H377),ISBLANK(I377)),VLOOKUP(TEXT(D377,"TTT"),Stammdaten!$B$20:$F$26,5,FALSE),H377-G377-I377)-IF(ISERROR(VLOOKUP(D377,Stammdaten!$I$9:$J$26,2,FALSE)),0,VLOOKUP(D377,Stammdaten!$I$9:$J$26,2,FALSE)/24)</f>
        <v>0</v>
      </c>
    </row>
    <row r="378" spans="2:10" x14ac:dyDescent="0.3">
      <c r="B378" s="50" t="str">
        <f t="shared" si="12"/>
        <v/>
      </c>
      <c r="C378" s="42" t="str">
        <f t="shared" si="11"/>
        <v/>
      </c>
      <c r="D378" s="60"/>
      <c r="E378" s="63"/>
      <c r="F378" s="61"/>
      <c r="G378" s="62"/>
      <c r="H378" s="62"/>
      <c r="I378" s="62"/>
      <c r="J378" s="49">
        <f>IF(AND(ISBLANK(G378),ISBLANK(H378),ISBLANK(I378)),VLOOKUP(TEXT(D378,"TTT"),Stammdaten!$B$20:$F$26,5,FALSE),H378-G378-I378)-IF(ISERROR(VLOOKUP(D378,Stammdaten!$I$9:$J$26,2,FALSE)),0,VLOOKUP(D378,Stammdaten!$I$9:$J$26,2,FALSE)/24)</f>
        <v>0</v>
      </c>
    </row>
    <row r="379" spans="2:10" x14ac:dyDescent="0.3">
      <c r="B379" s="50" t="str">
        <f t="shared" si="12"/>
        <v/>
      </c>
      <c r="C379" s="42" t="str">
        <f t="shared" si="11"/>
        <v/>
      </c>
      <c r="D379" s="60"/>
      <c r="E379" s="63"/>
      <c r="F379" s="61"/>
      <c r="G379" s="62"/>
      <c r="H379" s="62"/>
      <c r="I379" s="62"/>
      <c r="J379" s="49">
        <f>IF(AND(ISBLANK(G379),ISBLANK(H379),ISBLANK(I379)),VLOOKUP(TEXT(D379,"TTT"),Stammdaten!$B$20:$F$26,5,FALSE),H379-G379-I379)-IF(ISERROR(VLOOKUP(D379,Stammdaten!$I$9:$J$26,2,FALSE)),0,VLOOKUP(D379,Stammdaten!$I$9:$J$26,2,FALSE)/24)</f>
        <v>0</v>
      </c>
    </row>
    <row r="380" spans="2:10" x14ac:dyDescent="0.3">
      <c r="B380" s="50" t="str">
        <f t="shared" si="12"/>
        <v/>
      </c>
      <c r="C380" s="42" t="str">
        <f t="shared" si="11"/>
        <v/>
      </c>
      <c r="D380" s="60"/>
      <c r="E380" s="63"/>
      <c r="F380" s="61"/>
      <c r="G380" s="62"/>
      <c r="H380" s="62"/>
      <c r="I380" s="62"/>
      <c r="J380" s="49">
        <f>IF(AND(ISBLANK(G380),ISBLANK(H380),ISBLANK(I380)),VLOOKUP(TEXT(D380,"TTT"),Stammdaten!$B$20:$F$26,5,FALSE),H380-G380-I380)-IF(ISERROR(VLOOKUP(D380,Stammdaten!$I$9:$J$26,2,FALSE)),0,VLOOKUP(D380,Stammdaten!$I$9:$J$26,2,FALSE)/24)</f>
        <v>0</v>
      </c>
    </row>
    <row r="381" spans="2:10" x14ac:dyDescent="0.3">
      <c r="B381" s="50" t="str">
        <f t="shared" si="12"/>
        <v/>
      </c>
      <c r="C381" s="42" t="str">
        <f t="shared" si="11"/>
        <v/>
      </c>
      <c r="D381" s="60"/>
      <c r="E381" s="63"/>
      <c r="F381" s="61"/>
      <c r="G381" s="62"/>
      <c r="H381" s="62"/>
      <c r="I381" s="62"/>
      <c r="J381" s="49">
        <f>IF(AND(ISBLANK(G381),ISBLANK(H381),ISBLANK(I381)),VLOOKUP(TEXT(D381,"TTT"),Stammdaten!$B$20:$F$26,5,FALSE),H381-G381-I381)-IF(ISERROR(VLOOKUP(D381,Stammdaten!$I$9:$J$26,2,FALSE)),0,VLOOKUP(D381,Stammdaten!$I$9:$J$26,2,FALSE)/24)</f>
        <v>0</v>
      </c>
    </row>
    <row r="382" spans="2:10" x14ac:dyDescent="0.3">
      <c r="B382" s="50" t="str">
        <f t="shared" si="12"/>
        <v/>
      </c>
      <c r="C382" s="42" t="str">
        <f t="shared" si="11"/>
        <v/>
      </c>
      <c r="D382" s="60"/>
      <c r="E382" s="63"/>
      <c r="F382" s="61"/>
      <c r="G382" s="62"/>
      <c r="H382" s="62"/>
      <c r="I382" s="62"/>
      <c r="J382" s="49">
        <f>IF(AND(ISBLANK(G382),ISBLANK(H382),ISBLANK(I382)),VLOOKUP(TEXT(D382,"TTT"),Stammdaten!$B$20:$F$26,5,FALSE),H382-G382-I382)-IF(ISERROR(VLOOKUP(D382,Stammdaten!$I$9:$J$26,2,FALSE)),0,VLOOKUP(D382,Stammdaten!$I$9:$J$26,2,FALSE)/24)</f>
        <v>0</v>
      </c>
    </row>
    <row r="383" spans="2:10" x14ac:dyDescent="0.3">
      <c r="B383" s="50" t="str">
        <f t="shared" si="12"/>
        <v/>
      </c>
      <c r="C383" s="42" t="str">
        <f t="shared" si="11"/>
        <v/>
      </c>
      <c r="D383" s="60"/>
      <c r="E383" s="63"/>
      <c r="F383" s="61"/>
      <c r="G383" s="62"/>
      <c r="H383" s="62"/>
      <c r="I383" s="62"/>
      <c r="J383" s="49">
        <f>IF(AND(ISBLANK(G383),ISBLANK(H383),ISBLANK(I383)),VLOOKUP(TEXT(D383,"TTT"),Stammdaten!$B$20:$F$26,5,FALSE),H383-G383-I383)-IF(ISERROR(VLOOKUP(D383,Stammdaten!$I$9:$J$26,2,FALSE)),0,VLOOKUP(D383,Stammdaten!$I$9:$J$26,2,FALSE)/24)</f>
        <v>0</v>
      </c>
    </row>
    <row r="384" spans="2:10" x14ac:dyDescent="0.3">
      <c r="B384" s="50" t="str">
        <f t="shared" si="12"/>
        <v/>
      </c>
      <c r="C384" s="42" t="str">
        <f t="shared" si="11"/>
        <v/>
      </c>
      <c r="D384" s="60"/>
      <c r="E384" s="63"/>
      <c r="F384" s="61"/>
      <c r="G384" s="62"/>
      <c r="H384" s="62"/>
      <c r="I384" s="62"/>
      <c r="J384" s="49">
        <f>IF(AND(ISBLANK(G384),ISBLANK(H384),ISBLANK(I384)),VLOOKUP(TEXT(D384,"TTT"),Stammdaten!$B$20:$F$26,5,FALSE),H384-G384-I384)-IF(ISERROR(VLOOKUP(D384,Stammdaten!$I$9:$J$26,2,FALSE)),0,VLOOKUP(D384,Stammdaten!$I$9:$J$26,2,FALSE)/24)</f>
        <v>0</v>
      </c>
    </row>
    <row r="385" spans="2:10" x14ac:dyDescent="0.3">
      <c r="B385" s="50" t="str">
        <f t="shared" si="12"/>
        <v/>
      </c>
      <c r="C385" s="42" t="str">
        <f t="shared" si="11"/>
        <v/>
      </c>
      <c r="D385" s="60"/>
      <c r="E385" s="63"/>
      <c r="F385" s="61"/>
      <c r="G385" s="62"/>
      <c r="H385" s="62"/>
      <c r="I385" s="62"/>
      <c r="J385" s="49">
        <f>IF(AND(ISBLANK(G385),ISBLANK(H385),ISBLANK(I385)),VLOOKUP(TEXT(D385,"TTT"),Stammdaten!$B$20:$F$26,5,FALSE),H385-G385-I385)-IF(ISERROR(VLOOKUP(D385,Stammdaten!$I$9:$J$26,2,FALSE)),0,VLOOKUP(D385,Stammdaten!$I$9:$J$26,2,FALSE)/24)</f>
        <v>0</v>
      </c>
    </row>
    <row r="386" spans="2:10" x14ac:dyDescent="0.3">
      <c r="B386" s="50" t="str">
        <f t="shared" si="12"/>
        <v/>
      </c>
      <c r="C386" s="42" t="str">
        <f t="shared" ref="C386:C449" si="13">IF(D386="","",D386)</f>
        <v/>
      </c>
      <c r="D386" s="60"/>
      <c r="E386" s="63"/>
      <c r="F386" s="61"/>
      <c r="G386" s="62"/>
      <c r="H386" s="62"/>
      <c r="I386" s="62"/>
      <c r="J386" s="49">
        <f>IF(AND(ISBLANK(G386),ISBLANK(H386),ISBLANK(I386)),VLOOKUP(TEXT(D386,"TTT"),Stammdaten!$B$20:$F$26,5,FALSE),H386-G386-I386)-IF(ISERROR(VLOOKUP(D386,Stammdaten!$I$9:$J$26,2,FALSE)),0,VLOOKUP(D386,Stammdaten!$I$9:$J$26,2,FALSE)/24)</f>
        <v>0</v>
      </c>
    </row>
    <row r="387" spans="2:10" x14ac:dyDescent="0.3">
      <c r="B387" s="50" t="str">
        <f t="shared" si="12"/>
        <v/>
      </c>
      <c r="C387" s="42" t="str">
        <f t="shared" si="13"/>
        <v/>
      </c>
      <c r="D387" s="60"/>
      <c r="E387" s="63"/>
      <c r="F387" s="61"/>
      <c r="G387" s="62"/>
      <c r="H387" s="62"/>
      <c r="I387" s="62"/>
      <c r="J387" s="49">
        <f>IF(AND(ISBLANK(G387),ISBLANK(H387),ISBLANK(I387)),VLOOKUP(TEXT(D387,"TTT"),Stammdaten!$B$20:$F$26,5,FALSE),H387-G387-I387)-IF(ISERROR(VLOOKUP(D387,Stammdaten!$I$9:$J$26,2,FALSE)),0,VLOOKUP(D387,Stammdaten!$I$9:$J$26,2,FALSE)/24)</f>
        <v>0</v>
      </c>
    </row>
    <row r="388" spans="2:10" x14ac:dyDescent="0.3">
      <c r="B388" s="50" t="str">
        <f t="shared" ref="B388:B451" si="14">IF(ISBLANK(E388),"",VLOOKUP(E388,$L$2:$M$11,2,FALSE))</f>
        <v/>
      </c>
      <c r="C388" s="42" t="str">
        <f t="shared" si="13"/>
        <v/>
      </c>
      <c r="D388" s="60"/>
      <c r="E388" s="63"/>
      <c r="F388" s="61"/>
      <c r="G388" s="62"/>
      <c r="H388" s="62"/>
      <c r="I388" s="62"/>
      <c r="J388" s="49">
        <f>IF(AND(ISBLANK(G388),ISBLANK(H388),ISBLANK(I388)),VLOOKUP(TEXT(D388,"TTT"),Stammdaten!$B$20:$F$26,5,FALSE),H388-G388-I388)-IF(ISERROR(VLOOKUP(D388,Stammdaten!$I$9:$J$26,2,FALSE)),0,VLOOKUP(D388,Stammdaten!$I$9:$J$26,2,FALSE)/24)</f>
        <v>0</v>
      </c>
    </row>
    <row r="389" spans="2:10" x14ac:dyDescent="0.3">
      <c r="B389" s="50" t="str">
        <f t="shared" si="14"/>
        <v/>
      </c>
      <c r="C389" s="42" t="str">
        <f t="shared" si="13"/>
        <v/>
      </c>
      <c r="D389" s="60"/>
      <c r="E389" s="63"/>
      <c r="F389" s="61"/>
      <c r="G389" s="62"/>
      <c r="H389" s="62"/>
      <c r="I389" s="62"/>
      <c r="J389" s="49">
        <f>IF(AND(ISBLANK(G389),ISBLANK(H389),ISBLANK(I389)),VLOOKUP(TEXT(D389,"TTT"),Stammdaten!$B$20:$F$26,5,FALSE),H389-G389-I389)-IF(ISERROR(VLOOKUP(D389,Stammdaten!$I$9:$J$26,2,FALSE)),0,VLOOKUP(D389,Stammdaten!$I$9:$J$26,2,FALSE)/24)</f>
        <v>0</v>
      </c>
    </row>
    <row r="390" spans="2:10" x14ac:dyDescent="0.3">
      <c r="B390" s="50" t="str">
        <f t="shared" si="14"/>
        <v/>
      </c>
      <c r="C390" s="42" t="str">
        <f t="shared" si="13"/>
        <v/>
      </c>
      <c r="D390" s="60"/>
      <c r="E390" s="63"/>
      <c r="F390" s="61"/>
      <c r="G390" s="62"/>
      <c r="H390" s="62"/>
      <c r="I390" s="62"/>
      <c r="J390" s="49">
        <f>IF(AND(ISBLANK(G390),ISBLANK(H390),ISBLANK(I390)),VLOOKUP(TEXT(D390,"TTT"),Stammdaten!$B$20:$F$26,5,FALSE),H390-G390-I390)-IF(ISERROR(VLOOKUP(D390,Stammdaten!$I$9:$J$26,2,FALSE)),0,VLOOKUP(D390,Stammdaten!$I$9:$J$26,2,FALSE)/24)</f>
        <v>0</v>
      </c>
    </row>
    <row r="391" spans="2:10" x14ac:dyDescent="0.3">
      <c r="B391" s="50" t="str">
        <f t="shared" si="14"/>
        <v/>
      </c>
      <c r="C391" s="42" t="str">
        <f t="shared" si="13"/>
        <v/>
      </c>
      <c r="D391" s="60"/>
      <c r="E391" s="63"/>
      <c r="F391" s="61"/>
      <c r="G391" s="62"/>
      <c r="H391" s="62"/>
      <c r="I391" s="62"/>
      <c r="J391" s="49">
        <f>IF(AND(ISBLANK(G391),ISBLANK(H391),ISBLANK(I391)),VLOOKUP(TEXT(D391,"TTT"),Stammdaten!$B$20:$F$26,5,FALSE),H391-G391-I391)-IF(ISERROR(VLOOKUP(D391,Stammdaten!$I$9:$J$26,2,FALSE)),0,VLOOKUP(D391,Stammdaten!$I$9:$J$26,2,FALSE)/24)</f>
        <v>0</v>
      </c>
    </row>
    <row r="392" spans="2:10" x14ac:dyDescent="0.3">
      <c r="B392" s="50" t="str">
        <f t="shared" si="14"/>
        <v/>
      </c>
      <c r="C392" s="42" t="str">
        <f t="shared" si="13"/>
        <v/>
      </c>
      <c r="D392" s="60"/>
      <c r="E392" s="63"/>
      <c r="F392" s="61"/>
      <c r="G392" s="62"/>
      <c r="H392" s="62"/>
      <c r="I392" s="62"/>
      <c r="J392" s="49">
        <f>IF(AND(ISBLANK(G392),ISBLANK(H392),ISBLANK(I392)),VLOOKUP(TEXT(D392,"TTT"),Stammdaten!$B$20:$F$26,5,FALSE),H392-G392-I392)-IF(ISERROR(VLOOKUP(D392,Stammdaten!$I$9:$J$26,2,FALSE)),0,VLOOKUP(D392,Stammdaten!$I$9:$J$26,2,FALSE)/24)</f>
        <v>0</v>
      </c>
    </row>
    <row r="393" spans="2:10" x14ac:dyDescent="0.3">
      <c r="B393" s="50" t="str">
        <f t="shared" si="14"/>
        <v/>
      </c>
      <c r="C393" s="42" t="str">
        <f t="shared" si="13"/>
        <v/>
      </c>
      <c r="D393" s="60"/>
      <c r="E393" s="63"/>
      <c r="F393" s="61"/>
      <c r="G393" s="62"/>
      <c r="H393" s="62"/>
      <c r="I393" s="62"/>
      <c r="J393" s="49">
        <f>IF(AND(ISBLANK(G393),ISBLANK(H393),ISBLANK(I393)),VLOOKUP(TEXT(D393,"TTT"),Stammdaten!$B$20:$F$26,5,FALSE),H393-G393-I393)-IF(ISERROR(VLOOKUP(D393,Stammdaten!$I$9:$J$26,2,FALSE)),0,VLOOKUP(D393,Stammdaten!$I$9:$J$26,2,FALSE)/24)</f>
        <v>0</v>
      </c>
    </row>
    <row r="394" spans="2:10" x14ac:dyDescent="0.3">
      <c r="B394" s="50" t="str">
        <f t="shared" si="14"/>
        <v/>
      </c>
      <c r="C394" s="42" t="str">
        <f t="shared" si="13"/>
        <v/>
      </c>
      <c r="D394" s="60"/>
      <c r="E394" s="63"/>
      <c r="F394" s="61"/>
      <c r="G394" s="62"/>
      <c r="H394" s="62"/>
      <c r="I394" s="62"/>
      <c r="J394" s="49">
        <f>IF(AND(ISBLANK(G394),ISBLANK(H394),ISBLANK(I394)),VLOOKUP(TEXT(D394,"TTT"),Stammdaten!$B$20:$F$26,5,FALSE),H394-G394-I394)-IF(ISERROR(VLOOKUP(D394,Stammdaten!$I$9:$J$26,2,FALSE)),0,VLOOKUP(D394,Stammdaten!$I$9:$J$26,2,FALSE)/24)</f>
        <v>0</v>
      </c>
    </row>
    <row r="395" spans="2:10" x14ac:dyDescent="0.3">
      <c r="B395" s="50" t="str">
        <f t="shared" si="14"/>
        <v/>
      </c>
      <c r="C395" s="42" t="str">
        <f t="shared" si="13"/>
        <v/>
      </c>
      <c r="D395" s="60"/>
      <c r="E395" s="63"/>
      <c r="F395" s="61"/>
      <c r="G395" s="62"/>
      <c r="H395" s="62"/>
      <c r="I395" s="62"/>
      <c r="J395" s="49">
        <f>IF(AND(ISBLANK(G395),ISBLANK(H395),ISBLANK(I395)),VLOOKUP(TEXT(D395,"TTT"),Stammdaten!$B$20:$F$26,5,FALSE),H395-G395-I395)-IF(ISERROR(VLOOKUP(D395,Stammdaten!$I$9:$J$26,2,FALSE)),0,VLOOKUP(D395,Stammdaten!$I$9:$J$26,2,FALSE)/24)</f>
        <v>0</v>
      </c>
    </row>
    <row r="396" spans="2:10" x14ac:dyDescent="0.3">
      <c r="B396" s="50" t="str">
        <f t="shared" si="14"/>
        <v/>
      </c>
      <c r="C396" s="42" t="str">
        <f t="shared" si="13"/>
        <v/>
      </c>
      <c r="D396" s="60"/>
      <c r="E396" s="63"/>
      <c r="F396" s="61"/>
      <c r="G396" s="62"/>
      <c r="H396" s="62"/>
      <c r="I396" s="62"/>
      <c r="J396" s="49">
        <f>IF(AND(ISBLANK(G396),ISBLANK(H396),ISBLANK(I396)),VLOOKUP(TEXT(D396,"TTT"),Stammdaten!$B$20:$F$26,5,FALSE),H396-G396-I396)-IF(ISERROR(VLOOKUP(D396,Stammdaten!$I$9:$J$26,2,FALSE)),0,VLOOKUP(D396,Stammdaten!$I$9:$J$26,2,FALSE)/24)</f>
        <v>0</v>
      </c>
    </row>
    <row r="397" spans="2:10" x14ac:dyDescent="0.3">
      <c r="B397" s="50" t="str">
        <f t="shared" si="14"/>
        <v/>
      </c>
      <c r="C397" s="42" t="str">
        <f t="shared" si="13"/>
        <v/>
      </c>
      <c r="D397" s="60"/>
      <c r="E397" s="63"/>
      <c r="F397" s="61"/>
      <c r="G397" s="62"/>
      <c r="H397" s="62"/>
      <c r="I397" s="62"/>
      <c r="J397" s="49">
        <f>IF(AND(ISBLANK(G397),ISBLANK(H397),ISBLANK(I397)),VLOOKUP(TEXT(D397,"TTT"),Stammdaten!$B$20:$F$26,5,FALSE),H397-G397-I397)-IF(ISERROR(VLOOKUP(D397,Stammdaten!$I$9:$J$26,2,FALSE)),0,VLOOKUP(D397,Stammdaten!$I$9:$J$26,2,FALSE)/24)</f>
        <v>0</v>
      </c>
    </row>
    <row r="398" spans="2:10" x14ac:dyDescent="0.3">
      <c r="B398" s="50" t="str">
        <f t="shared" si="14"/>
        <v/>
      </c>
      <c r="C398" s="42" t="str">
        <f t="shared" si="13"/>
        <v/>
      </c>
      <c r="D398" s="60"/>
      <c r="E398" s="63"/>
      <c r="F398" s="61"/>
      <c r="G398" s="62"/>
      <c r="H398" s="62"/>
      <c r="I398" s="62"/>
      <c r="J398" s="49">
        <f>IF(AND(ISBLANK(G398),ISBLANK(H398),ISBLANK(I398)),VLOOKUP(TEXT(D398,"TTT"),Stammdaten!$B$20:$F$26,5,FALSE),H398-G398-I398)-IF(ISERROR(VLOOKUP(D398,Stammdaten!$I$9:$J$26,2,FALSE)),0,VLOOKUP(D398,Stammdaten!$I$9:$J$26,2,FALSE)/24)</f>
        <v>0</v>
      </c>
    </row>
    <row r="399" spans="2:10" x14ac:dyDescent="0.3">
      <c r="B399" s="50" t="str">
        <f t="shared" si="14"/>
        <v/>
      </c>
      <c r="C399" s="42" t="str">
        <f t="shared" si="13"/>
        <v/>
      </c>
      <c r="D399" s="60"/>
      <c r="E399" s="63"/>
      <c r="F399" s="61"/>
      <c r="G399" s="62"/>
      <c r="H399" s="62"/>
      <c r="I399" s="62"/>
      <c r="J399" s="49">
        <f>IF(AND(ISBLANK(G399),ISBLANK(H399),ISBLANK(I399)),VLOOKUP(TEXT(D399,"TTT"),Stammdaten!$B$20:$F$26,5,FALSE),H399-G399-I399)-IF(ISERROR(VLOOKUP(D399,Stammdaten!$I$9:$J$26,2,FALSE)),0,VLOOKUP(D399,Stammdaten!$I$9:$J$26,2,FALSE)/24)</f>
        <v>0</v>
      </c>
    </row>
    <row r="400" spans="2:10" x14ac:dyDescent="0.3">
      <c r="B400" s="50" t="str">
        <f t="shared" si="14"/>
        <v/>
      </c>
      <c r="C400" s="42" t="str">
        <f t="shared" si="13"/>
        <v/>
      </c>
      <c r="D400" s="60"/>
      <c r="E400" s="63"/>
      <c r="F400" s="61"/>
      <c r="G400" s="62"/>
      <c r="H400" s="62"/>
      <c r="I400" s="62"/>
      <c r="J400" s="49">
        <f>IF(AND(ISBLANK(G400),ISBLANK(H400),ISBLANK(I400)),VLOOKUP(TEXT(D400,"TTT"),Stammdaten!$B$20:$F$26,5,FALSE),H400-G400-I400)-IF(ISERROR(VLOOKUP(D400,Stammdaten!$I$9:$J$26,2,FALSE)),0,VLOOKUP(D400,Stammdaten!$I$9:$J$26,2,FALSE)/24)</f>
        <v>0</v>
      </c>
    </row>
    <row r="401" spans="2:10" x14ac:dyDescent="0.3">
      <c r="B401" s="50" t="str">
        <f t="shared" si="14"/>
        <v/>
      </c>
      <c r="C401" s="42" t="str">
        <f t="shared" si="13"/>
        <v/>
      </c>
      <c r="D401" s="60"/>
      <c r="E401" s="63"/>
      <c r="F401" s="61"/>
      <c r="G401" s="62"/>
      <c r="H401" s="62"/>
      <c r="I401" s="62"/>
      <c r="J401" s="49">
        <f>IF(AND(ISBLANK(G401),ISBLANK(H401),ISBLANK(I401)),VLOOKUP(TEXT(D401,"TTT"),Stammdaten!$B$20:$F$26,5,FALSE),H401-G401-I401)-IF(ISERROR(VLOOKUP(D401,Stammdaten!$I$9:$J$26,2,FALSE)),0,VLOOKUP(D401,Stammdaten!$I$9:$J$26,2,FALSE)/24)</f>
        <v>0</v>
      </c>
    </row>
    <row r="402" spans="2:10" x14ac:dyDescent="0.3">
      <c r="B402" s="50" t="str">
        <f t="shared" si="14"/>
        <v/>
      </c>
      <c r="C402" s="42" t="str">
        <f t="shared" si="13"/>
        <v/>
      </c>
      <c r="D402" s="60"/>
      <c r="E402" s="63"/>
      <c r="F402" s="61"/>
      <c r="G402" s="62"/>
      <c r="H402" s="62"/>
      <c r="I402" s="62"/>
      <c r="J402" s="49">
        <f>IF(AND(ISBLANK(G402),ISBLANK(H402),ISBLANK(I402)),VLOOKUP(TEXT(D402,"TTT"),Stammdaten!$B$20:$F$26,5,FALSE),H402-G402-I402)-IF(ISERROR(VLOOKUP(D402,Stammdaten!$I$9:$J$26,2,FALSE)),0,VLOOKUP(D402,Stammdaten!$I$9:$J$26,2,FALSE)/24)</f>
        <v>0</v>
      </c>
    </row>
    <row r="403" spans="2:10" x14ac:dyDescent="0.3">
      <c r="B403" s="50" t="str">
        <f t="shared" si="14"/>
        <v/>
      </c>
      <c r="C403" s="42" t="str">
        <f t="shared" si="13"/>
        <v/>
      </c>
      <c r="D403" s="60"/>
      <c r="E403" s="63"/>
      <c r="F403" s="61"/>
      <c r="G403" s="62"/>
      <c r="H403" s="62"/>
      <c r="I403" s="62"/>
      <c r="J403" s="49">
        <f>IF(AND(ISBLANK(G403),ISBLANK(H403),ISBLANK(I403)),VLOOKUP(TEXT(D403,"TTT"),Stammdaten!$B$20:$F$26,5,FALSE),H403-G403-I403)-IF(ISERROR(VLOOKUP(D403,Stammdaten!$I$9:$J$26,2,FALSE)),0,VLOOKUP(D403,Stammdaten!$I$9:$J$26,2,FALSE)/24)</f>
        <v>0</v>
      </c>
    </row>
    <row r="404" spans="2:10" x14ac:dyDescent="0.3">
      <c r="B404" s="50" t="str">
        <f t="shared" si="14"/>
        <v/>
      </c>
      <c r="C404" s="42" t="str">
        <f t="shared" si="13"/>
        <v/>
      </c>
      <c r="D404" s="60"/>
      <c r="E404" s="63"/>
      <c r="F404" s="61"/>
      <c r="G404" s="62"/>
      <c r="H404" s="62"/>
      <c r="I404" s="62"/>
      <c r="J404" s="49">
        <f>IF(AND(ISBLANK(G404),ISBLANK(H404),ISBLANK(I404)),VLOOKUP(TEXT(D404,"TTT"),Stammdaten!$B$20:$F$26,5,FALSE),H404-G404-I404)-IF(ISERROR(VLOOKUP(D404,Stammdaten!$I$9:$J$26,2,FALSE)),0,VLOOKUP(D404,Stammdaten!$I$9:$J$26,2,FALSE)/24)</f>
        <v>0</v>
      </c>
    </row>
    <row r="405" spans="2:10" x14ac:dyDescent="0.3">
      <c r="B405" s="50" t="str">
        <f t="shared" si="14"/>
        <v/>
      </c>
      <c r="C405" s="42" t="str">
        <f t="shared" si="13"/>
        <v/>
      </c>
      <c r="D405" s="60"/>
      <c r="E405" s="63"/>
      <c r="F405" s="61"/>
      <c r="G405" s="62"/>
      <c r="H405" s="62"/>
      <c r="I405" s="62"/>
      <c r="J405" s="49">
        <f>IF(AND(ISBLANK(G405),ISBLANK(H405),ISBLANK(I405)),VLOOKUP(TEXT(D405,"TTT"),Stammdaten!$B$20:$F$26,5,FALSE),H405-G405-I405)-IF(ISERROR(VLOOKUP(D405,Stammdaten!$I$9:$J$26,2,FALSE)),0,VLOOKUP(D405,Stammdaten!$I$9:$J$26,2,FALSE)/24)</f>
        <v>0</v>
      </c>
    </row>
    <row r="406" spans="2:10" x14ac:dyDescent="0.3">
      <c r="B406" s="50" t="str">
        <f t="shared" si="14"/>
        <v/>
      </c>
      <c r="C406" s="42" t="str">
        <f t="shared" si="13"/>
        <v/>
      </c>
      <c r="D406" s="60"/>
      <c r="E406" s="63"/>
      <c r="F406" s="61"/>
      <c r="G406" s="62"/>
      <c r="H406" s="62"/>
      <c r="I406" s="62"/>
      <c r="J406" s="49">
        <f>IF(AND(ISBLANK(G406),ISBLANK(H406),ISBLANK(I406)),VLOOKUP(TEXT(D406,"TTT"),Stammdaten!$B$20:$F$26,5,FALSE),H406-G406-I406)-IF(ISERROR(VLOOKUP(D406,Stammdaten!$I$9:$J$26,2,FALSE)),0,VLOOKUP(D406,Stammdaten!$I$9:$J$26,2,FALSE)/24)</f>
        <v>0</v>
      </c>
    </row>
    <row r="407" spans="2:10" x14ac:dyDescent="0.3">
      <c r="B407" s="50" t="str">
        <f t="shared" si="14"/>
        <v/>
      </c>
      <c r="C407" s="42" t="str">
        <f t="shared" si="13"/>
        <v/>
      </c>
      <c r="D407" s="60"/>
      <c r="E407" s="63"/>
      <c r="F407" s="61"/>
      <c r="G407" s="62"/>
      <c r="H407" s="62"/>
      <c r="I407" s="62"/>
      <c r="J407" s="49">
        <f>IF(AND(ISBLANK(G407),ISBLANK(H407),ISBLANK(I407)),VLOOKUP(TEXT(D407,"TTT"),Stammdaten!$B$20:$F$26,5,FALSE),H407-G407-I407)-IF(ISERROR(VLOOKUP(D407,Stammdaten!$I$9:$J$26,2,FALSE)),0,VLOOKUP(D407,Stammdaten!$I$9:$J$26,2,FALSE)/24)</f>
        <v>0</v>
      </c>
    </row>
    <row r="408" spans="2:10" x14ac:dyDescent="0.3">
      <c r="B408" s="50" t="str">
        <f t="shared" si="14"/>
        <v/>
      </c>
      <c r="C408" s="42" t="str">
        <f t="shared" si="13"/>
        <v/>
      </c>
      <c r="D408" s="60"/>
      <c r="E408" s="63"/>
      <c r="F408" s="61"/>
      <c r="G408" s="62"/>
      <c r="H408" s="62"/>
      <c r="I408" s="62"/>
      <c r="J408" s="49">
        <f>IF(AND(ISBLANK(G408),ISBLANK(H408),ISBLANK(I408)),VLOOKUP(TEXT(D408,"TTT"),Stammdaten!$B$20:$F$26,5,FALSE),H408-G408-I408)-IF(ISERROR(VLOOKUP(D408,Stammdaten!$I$9:$J$26,2,FALSE)),0,VLOOKUP(D408,Stammdaten!$I$9:$J$26,2,FALSE)/24)</f>
        <v>0</v>
      </c>
    </row>
    <row r="409" spans="2:10" x14ac:dyDescent="0.3">
      <c r="B409" s="50" t="str">
        <f t="shared" si="14"/>
        <v/>
      </c>
      <c r="C409" s="42" t="str">
        <f t="shared" si="13"/>
        <v/>
      </c>
      <c r="D409" s="60"/>
      <c r="E409" s="63"/>
      <c r="F409" s="61"/>
      <c r="G409" s="62"/>
      <c r="H409" s="62"/>
      <c r="I409" s="62"/>
      <c r="J409" s="49">
        <f>IF(AND(ISBLANK(G409),ISBLANK(H409),ISBLANK(I409)),VLOOKUP(TEXT(D409,"TTT"),Stammdaten!$B$20:$F$26,5,FALSE),H409-G409-I409)-IF(ISERROR(VLOOKUP(D409,Stammdaten!$I$9:$J$26,2,FALSE)),0,VLOOKUP(D409,Stammdaten!$I$9:$J$26,2,FALSE)/24)</f>
        <v>0</v>
      </c>
    </row>
    <row r="410" spans="2:10" x14ac:dyDescent="0.3">
      <c r="B410" s="50" t="str">
        <f t="shared" si="14"/>
        <v/>
      </c>
      <c r="C410" s="42" t="str">
        <f t="shared" si="13"/>
        <v/>
      </c>
      <c r="D410" s="60"/>
      <c r="E410" s="63"/>
      <c r="F410" s="61"/>
      <c r="G410" s="62"/>
      <c r="H410" s="62"/>
      <c r="I410" s="62"/>
      <c r="J410" s="49">
        <f>IF(AND(ISBLANK(G410),ISBLANK(H410),ISBLANK(I410)),VLOOKUP(TEXT(D410,"TTT"),Stammdaten!$B$20:$F$26,5,FALSE),H410-G410-I410)-IF(ISERROR(VLOOKUP(D410,Stammdaten!$I$9:$J$26,2,FALSE)),0,VLOOKUP(D410,Stammdaten!$I$9:$J$26,2,FALSE)/24)</f>
        <v>0</v>
      </c>
    </row>
    <row r="411" spans="2:10" x14ac:dyDescent="0.3">
      <c r="B411" s="50" t="str">
        <f t="shared" si="14"/>
        <v/>
      </c>
      <c r="C411" s="42" t="str">
        <f t="shared" si="13"/>
        <v/>
      </c>
      <c r="D411" s="60"/>
      <c r="E411" s="63"/>
      <c r="F411" s="61"/>
      <c r="G411" s="62"/>
      <c r="H411" s="62"/>
      <c r="I411" s="62"/>
      <c r="J411" s="49">
        <f>IF(AND(ISBLANK(G411),ISBLANK(H411),ISBLANK(I411)),VLOOKUP(TEXT(D411,"TTT"),Stammdaten!$B$20:$F$26,5,FALSE),H411-G411-I411)-IF(ISERROR(VLOOKUP(D411,Stammdaten!$I$9:$J$26,2,FALSE)),0,VLOOKUP(D411,Stammdaten!$I$9:$J$26,2,FALSE)/24)</f>
        <v>0</v>
      </c>
    </row>
    <row r="412" spans="2:10" x14ac:dyDescent="0.3">
      <c r="B412" s="50" t="str">
        <f t="shared" si="14"/>
        <v/>
      </c>
      <c r="C412" s="42" t="str">
        <f t="shared" si="13"/>
        <v/>
      </c>
      <c r="D412" s="60"/>
      <c r="E412" s="63"/>
      <c r="F412" s="61"/>
      <c r="G412" s="62"/>
      <c r="H412" s="62"/>
      <c r="I412" s="62"/>
      <c r="J412" s="49">
        <f>IF(AND(ISBLANK(G412),ISBLANK(H412),ISBLANK(I412)),VLOOKUP(TEXT(D412,"TTT"),Stammdaten!$B$20:$F$26,5,FALSE),H412-G412-I412)-IF(ISERROR(VLOOKUP(D412,Stammdaten!$I$9:$J$26,2,FALSE)),0,VLOOKUP(D412,Stammdaten!$I$9:$J$26,2,FALSE)/24)</f>
        <v>0</v>
      </c>
    </row>
    <row r="413" spans="2:10" x14ac:dyDescent="0.3">
      <c r="B413" s="50" t="str">
        <f t="shared" si="14"/>
        <v/>
      </c>
      <c r="C413" s="42" t="str">
        <f t="shared" si="13"/>
        <v/>
      </c>
      <c r="D413" s="60"/>
      <c r="E413" s="63"/>
      <c r="F413" s="61"/>
      <c r="G413" s="62"/>
      <c r="H413" s="62"/>
      <c r="I413" s="62"/>
      <c r="J413" s="49">
        <f>IF(AND(ISBLANK(G413),ISBLANK(H413),ISBLANK(I413)),VLOOKUP(TEXT(D413,"TTT"),Stammdaten!$B$20:$F$26,5,FALSE),H413-G413-I413)-IF(ISERROR(VLOOKUP(D413,Stammdaten!$I$9:$J$26,2,FALSE)),0,VLOOKUP(D413,Stammdaten!$I$9:$J$26,2,FALSE)/24)</f>
        <v>0</v>
      </c>
    </row>
    <row r="414" spans="2:10" x14ac:dyDescent="0.3">
      <c r="B414" s="50" t="str">
        <f t="shared" si="14"/>
        <v/>
      </c>
      <c r="C414" s="42" t="str">
        <f t="shared" si="13"/>
        <v/>
      </c>
      <c r="D414" s="60"/>
      <c r="E414" s="63"/>
      <c r="F414" s="61"/>
      <c r="G414" s="62"/>
      <c r="H414" s="62"/>
      <c r="I414" s="62"/>
      <c r="J414" s="49">
        <f>IF(AND(ISBLANK(G414),ISBLANK(H414),ISBLANK(I414)),VLOOKUP(TEXT(D414,"TTT"),Stammdaten!$B$20:$F$26,5,FALSE),H414-G414-I414)-IF(ISERROR(VLOOKUP(D414,Stammdaten!$I$9:$J$26,2,FALSE)),0,VLOOKUP(D414,Stammdaten!$I$9:$J$26,2,FALSE)/24)</f>
        <v>0</v>
      </c>
    </row>
    <row r="415" spans="2:10" x14ac:dyDescent="0.3">
      <c r="B415" s="50" t="str">
        <f t="shared" si="14"/>
        <v/>
      </c>
      <c r="C415" s="42" t="str">
        <f t="shared" si="13"/>
        <v/>
      </c>
      <c r="D415" s="60"/>
      <c r="E415" s="63"/>
      <c r="F415" s="61"/>
      <c r="G415" s="62"/>
      <c r="H415" s="62"/>
      <c r="I415" s="62"/>
      <c r="J415" s="49">
        <f>IF(AND(ISBLANK(G415),ISBLANK(H415),ISBLANK(I415)),VLOOKUP(TEXT(D415,"TTT"),Stammdaten!$B$20:$F$26,5,FALSE),H415-G415-I415)-IF(ISERROR(VLOOKUP(D415,Stammdaten!$I$9:$J$26,2,FALSE)),0,VLOOKUP(D415,Stammdaten!$I$9:$J$26,2,FALSE)/24)</f>
        <v>0</v>
      </c>
    </row>
    <row r="416" spans="2:10" x14ac:dyDescent="0.3">
      <c r="B416" s="50" t="str">
        <f t="shared" si="14"/>
        <v/>
      </c>
      <c r="C416" s="42" t="str">
        <f t="shared" si="13"/>
        <v/>
      </c>
      <c r="D416" s="60"/>
      <c r="E416" s="63"/>
      <c r="F416" s="61"/>
      <c r="G416" s="62"/>
      <c r="H416" s="62"/>
      <c r="I416" s="62"/>
      <c r="J416" s="49">
        <f>IF(AND(ISBLANK(G416),ISBLANK(H416),ISBLANK(I416)),VLOOKUP(TEXT(D416,"TTT"),Stammdaten!$B$20:$F$26,5,FALSE),H416-G416-I416)-IF(ISERROR(VLOOKUP(D416,Stammdaten!$I$9:$J$26,2,FALSE)),0,VLOOKUP(D416,Stammdaten!$I$9:$J$26,2,FALSE)/24)</f>
        <v>0</v>
      </c>
    </row>
    <row r="417" spans="2:10" x14ac:dyDescent="0.3">
      <c r="B417" s="50" t="str">
        <f t="shared" si="14"/>
        <v/>
      </c>
      <c r="C417" s="42" t="str">
        <f t="shared" si="13"/>
        <v/>
      </c>
      <c r="D417" s="60"/>
      <c r="E417" s="63"/>
      <c r="F417" s="61"/>
      <c r="G417" s="62"/>
      <c r="H417" s="62"/>
      <c r="I417" s="62"/>
      <c r="J417" s="49">
        <f>IF(AND(ISBLANK(G417),ISBLANK(H417),ISBLANK(I417)),VLOOKUP(TEXT(D417,"TTT"),Stammdaten!$B$20:$F$26,5,FALSE),H417-G417-I417)-IF(ISERROR(VLOOKUP(D417,Stammdaten!$I$9:$J$26,2,FALSE)),0,VLOOKUP(D417,Stammdaten!$I$9:$J$26,2,FALSE)/24)</f>
        <v>0</v>
      </c>
    </row>
    <row r="418" spans="2:10" x14ac:dyDescent="0.3">
      <c r="B418" s="50" t="str">
        <f t="shared" si="14"/>
        <v/>
      </c>
      <c r="C418" s="42" t="str">
        <f t="shared" si="13"/>
        <v/>
      </c>
      <c r="D418" s="60"/>
      <c r="E418" s="63"/>
      <c r="F418" s="61"/>
      <c r="G418" s="62"/>
      <c r="H418" s="62"/>
      <c r="I418" s="62"/>
      <c r="J418" s="49">
        <f>IF(AND(ISBLANK(G418),ISBLANK(H418),ISBLANK(I418)),VLOOKUP(TEXT(D418,"TTT"),Stammdaten!$B$20:$F$26,5,FALSE),H418-G418-I418)-IF(ISERROR(VLOOKUP(D418,Stammdaten!$I$9:$J$26,2,FALSE)),0,VLOOKUP(D418,Stammdaten!$I$9:$J$26,2,FALSE)/24)</f>
        <v>0</v>
      </c>
    </row>
    <row r="419" spans="2:10" x14ac:dyDescent="0.3">
      <c r="B419" s="50" t="str">
        <f t="shared" si="14"/>
        <v/>
      </c>
      <c r="C419" s="42" t="str">
        <f t="shared" si="13"/>
        <v/>
      </c>
      <c r="D419" s="60"/>
      <c r="E419" s="63"/>
      <c r="F419" s="61"/>
      <c r="G419" s="62"/>
      <c r="H419" s="62"/>
      <c r="I419" s="62"/>
      <c r="J419" s="49">
        <f>IF(AND(ISBLANK(G419),ISBLANK(H419),ISBLANK(I419)),VLOOKUP(TEXT(D419,"TTT"),Stammdaten!$B$20:$F$26,5,FALSE),H419-G419-I419)-IF(ISERROR(VLOOKUP(D419,Stammdaten!$I$9:$J$26,2,FALSE)),0,VLOOKUP(D419,Stammdaten!$I$9:$J$26,2,FALSE)/24)</f>
        <v>0</v>
      </c>
    </row>
    <row r="420" spans="2:10" x14ac:dyDescent="0.3">
      <c r="B420" s="50" t="str">
        <f t="shared" si="14"/>
        <v/>
      </c>
      <c r="C420" s="42" t="str">
        <f t="shared" si="13"/>
        <v/>
      </c>
      <c r="D420" s="60"/>
      <c r="E420" s="63"/>
      <c r="F420" s="61"/>
      <c r="G420" s="62"/>
      <c r="H420" s="62"/>
      <c r="I420" s="62"/>
      <c r="J420" s="49">
        <f>IF(AND(ISBLANK(G420),ISBLANK(H420),ISBLANK(I420)),VLOOKUP(TEXT(D420,"TTT"),Stammdaten!$B$20:$F$26,5,FALSE),H420-G420-I420)-IF(ISERROR(VLOOKUP(D420,Stammdaten!$I$9:$J$26,2,FALSE)),0,VLOOKUP(D420,Stammdaten!$I$9:$J$26,2,FALSE)/24)</f>
        <v>0</v>
      </c>
    </row>
    <row r="421" spans="2:10" x14ac:dyDescent="0.3">
      <c r="B421" s="50" t="str">
        <f t="shared" si="14"/>
        <v/>
      </c>
      <c r="C421" s="42" t="str">
        <f t="shared" si="13"/>
        <v/>
      </c>
      <c r="D421" s="60"/>
      <c r="E421" s="63"/>
      <c r="F421" s="61"/>
      <c r="G421" s="62"/>
      <c r="H421" s="62"/>
      <c r="I421" s="62"/>
      <c r="J421" s="49">
        <f>IF(AND(ISBLANK(G421),ISBLANK(H421),ISBLANK(I421)),VLOOKUP(TEXT(D421,"TTT"),Stammdaten!$B$20:$F$26,5,FALSE),H421-G421-I421)-IF(ISERROR(VLOOKUP(D421,Stammdaten!$I$9:$J$26,2,FALSE)),0,VLOOKUP(D421,Stammdaten!$I$9:$J$26,2,FALSE)/24)</f>
        <v>0</v>
      </c>
    </row>
    <row r="422" spans="2:10" x14ac:dyDescent="0.3">
      <c r="B422" s="50" t="str">
        <f t="shared" si="14"/>
        <v/>
      </c>
      <c r="C422" s="42" t="str">
        <f t="shared" si="13"/>
        <v/>
      </c>
      <c r="D422" s="60"/>
      <c r="E422" s="63"/>
      <c r="F422" s="61"/>
      <c r="G422" s="62"/>
      <c r="H422" s="62"/>
      <c r="I422" s="62"/>
      <c r="J422" s="49">
        <f>IF(AND(ISBLANK(G422),ISBLANK(H422),ISBLANK(I422)),VLOOKUP(TEXT(D422,"TTT"),Stammdaten!$B$20:$F$26,5,FALSE),H422-G422-I422)-IF(ISERROR(VLOOKUP(D422,Stammdaten!$I$9:$J$26,2,FALSE)),0,VLOOKUP(D422,Stammdaten!$I$9:$J$26,2,FALSE)/24)</f>
        <v>0</v>
      </c>
    </row>
    <row r="423" spans="2:10" x14ac:dyDescent="0.3">
      <c r="B423" s="50" t="str">
        <f t="shared" si="14"/>
        <v/>
      </c>
      <c r="C423" s="42" t="str">
        <f t="shared" si="13"/>
        <v/>
      </c>
      <c r="D423" s="60"/>
      <c r="E423" s="63"/>
      <c r="F423" s="61"/>
      <c r="G423" s="62"/>
      <c r="H423" s="62"/>
      <c r="I423" s="62"/>
      <c r="J423" s="49">
        <f>IF(AND(ISBLANK(G423),ISBLANK(H423),ISBLANK(I423)),VLOOKUP(TEXT(D423,"TTT"),Stammdaten!$B$20:$F$26,5,FALSE),H423-G423-I423)-IF(ISERROR(VLOOKUP(D423,Stammdaten!$I$9:$J$26,2,FALSE)),0,VLOOKUP(D423,Stammdaten!$I$9:$J$26,2,FALSE)/24)</f>
        <v>0</v>
      </c>
    </row>
    <row r="424" spans="2:10" x14ac:dyDescent="0.3">
      <c r="B424" s="50" t="str">
        <f t="shared" si="14"/>
        <v/>
      </c>
      <c r="C424" s="42" t="str">
        <f t="shared" si="13"/>
        <v/>
      </c>
      <c r="D424" s="60"/>
      <c r="E424" s="63"/>
      <c r="F424" s="61"/>
      <c r="G424" s="62"/>
      <c r="H424" s="62"/>
      <c r="I424" s="62"/>
      <c r="J424" s="49">
        <f>IF(AND(ISBLANK(G424),ISBLANK(H424),ISBLANK(I424)),VLOOKUP(TEXT(D424,"TTT"),Stammdaten!$B$20:$F$26,5,FALSE),H424-G424-I424)-IF(ISERROR(VLOOKUP(D424,Stammdaten!$I$9:$J$26,2,FALSE)),0,VLOOKUP(D424,Stammdaten!$I$9:$J$26,2,FALSE)/24)</f>
        <v>0</v>
      </c>
    </row>
    <row r="425" spans="2:10" x14ac:dyDescent="0.3">
      <c r="B425" s="50" t="str">
        <f t="shared" si="14"/>
        <v/>
      </c>
      <c r="C425" s="42" t="str">
        <f t="shared" si="13"/>
        <v/>
      </c>
      <c r="D425" s="60"/>
      <c r="E425" s="63"/>
      <c r="F425" s="61"/>
      <c r="G425" s="62"/>
      <c r="H425" s="62"/>
      <c r="I425" s="62"/>
      <c r="J425" s="49">
        <f>IF(AND(ISBLANK(G425),ISBLANK(H425),ISBLANK(I425)),VLOOKUP(TEXT(D425,"TTT"),Stammdaten!$B$20:$F$26,5,FALSE),H425-G425-I425)-IF(ISERROR(VLOOKUP(D425,Stammdaten!$I$9:$J$26,2,FALSE)),0,VLOOKUP(D425,Stammdaten!$I$9:$J$26,2,FALSE)/24)</f>
        <v>0</v>
      </c>
    </row>
    <row r="426" spans="2:10" x14ac:dyDescent="0.3">
      <c r="B426" s="50" t="str">
        <f t="shared" si="14"/>
        <v/>
      </c>
      <c r="C426" s="42" t="str">
        <f t="shared" si="13"/>
        <v/>
      </c>
      <c r="D426" s="60"/>
      <c r="E426" s="63"/>
      <c r="F426" s="61"/>
      <c r="G426" s="62"/>
      <c r="H426" s="62"/>
      <c r="I426" s="62"/>
      <c r="J426" s="49">
        <f>IF(AND(ISBLANK(G426),ISBLANK(H426),ISBLANK(I426)),VLOOKUP(TEXT(D426,"TTT"),Stammdaten!$B$20:$F$26,5,FALSE),H426-G426-I426)-IF(ISERROR(VLOOKUP(D426,Stammdaten!$I$9:$J$26,2,FALSE)),0,VLOOKUP(D426,Stammdaten!$I$9:$J$26,2,FALSE)/24)</f>
        <v>0</v>
      </c>
    </row>
    <row r="427" spans="2:10" x14ac:dyDescent="0.3">
      <c r="B427" s="50" t="str">
        <f t="shared" si="14"/>
        <v/>
      </c>
      <c r="C427" s="42" t="str">
        <f t="shared" si="13"/>
        <v/>
      </c>
      <c r="D427" s="60"/>
      <c r="E427" s="63"/>
      <c r="F427" s="61"/>
      <c r="G427" s="62"/>
      <c r="H427" s="62"/>
      <c r="I427" s="62"/>
      <c r="J427" s="49">
        <f>IF(AND(ISBLANK(G427),ISBLANK(H427),ISBLANK(I427)),VLOOKUP(TEXT(D427,"TTT"),Stammdaten!$B$20:$F$26,5,FALSE),H427-G427-I427)-IF(ISERROR(VLOOKUP(D427,Stammdaten!$I$9:$J$26,2,FALSE)),0,VLOOKUP(D427,Stammdaten!$I$9:$J$26,2,FALSE)/24)</f>
        <v>0</v>
      </c>
    </row>
    <row r="428" spans="2:10" x14ac:dyDescent="0.3">
      <c r="B428" s="50" t="str">
        <f t="shared" si="14"/>
        <v/>
      </c>
      <c r="C428" s="42" t="str">
        <f t="shared" si="13"/>
        <v/>
      </c>
      <c r="D428" s="60"/>
      <c r="E428" s="63"/>
      <c r="F428" s="61"/>
      <c r="G428" s="62"/>
      <c r="H428" s="62"/>
      <c r="I428" s="62"/>
      <c r="J428" s="49">
        <f>IF(AND(ISBLANK(G428),ISBLANK(H428),ISBLANK(I428)),VLOOKUP(TEXT(D428,"TTT"),Stammdaten!$B$20:$F$26,5,FALSE),H428-G428-I428)-IF(ISERROR(VLOOKUP(D428,Stammdaten!$I$9:$J$26,2,FALSE)),0,VLOOKUP(D428,Stammdaten!$I$9:$J$26,2,FALSE)/24)</f>
        <v>0</v>
      </c>
    </row>
    <row r="429" spans="2:10" x14ac:dyDescent="0.3">
      <c r="B429" s="50" t="str">
        <f t="shared" si="14"/>
        <v/>
      </c>
      <c r="C429" s="42" t="str">
        <f t="shared" si="13"/>
        <v/>
      </c>
      <c r="D429" s="60"/>
      <c r="E429" s="63"/>
      <c r="F429" s="61"/>
      <c r="G429" s="62"/>
      <c r="H429" s="62"/>
      <c r="I429" s="62"/>
      <c r="J429" s="49">
        <f>IF(AND(ISBLANK(G429),ISBLANK(H429),ISBLANK(I429)),VLOOKUP(TEXT(D429,"TTT"),Stammdaten!$B$20:$F$26,5,FALSE),H429-G429-I429)-IF(ISERROR(VLOOKUP(D429,Stammdaten!$I$9:$J$26,2,FALSE)),0,VLOOKUP(D429,Stammdaten!$I$9:$J$26,2,FALSE)/24)</f>
        <v>0</v>
      </c>
    </row>
    <row r="430" spans="2:10" x14ac:dyDescent="0.3">
      <c r="B430" s="50" t="str">
        <f t="shared" si="14"/>
        <v/>
      </c>
      <c r="C430" s="42" t="str">
        <f t="shared" si="13"/>
        <v/>
      </c>
      <c r="D430" s="60"/>
      <c r="E430" s="63"/>
      <c r="F430" s="61"/>
      <c r="G430" s="62"/>
      <c r="H430" s="62"/>
      <c r="I430" s="62"/>
      <c r="J430" s="49">
        <f>IF(AND(ISBLANK(G430),ISBLANK(H430),ISBLANK(I430)),VLOOKUP(TEXT(D430,"TTT"),Stammdaten!$B$20:$F$26,5,FALSE),H430-G430-I430)-IF(ISERROR(VLOOKUP(D430,Stammdaten!$I$9:$J$26,2,FALSE)),0,VLOOKUP(D430,Stammdaten!$I$9:$J$26,2,FALSE)/24)</f>
        <v>0</v>
      </c>
    </row>
    <row r="431" spans="2:10" x14ac:dyDescent="0.3">
      <c r="B431" s="50" t="str">
        <f t="shared" si="14"/>
        <v/>
      </c>
      <c r="C431" s="42" t="str">
        <f t="shared" si="13"/>
        <v/>
      </c>
      <c r="D431" s="60"/>
      <c r="E431" s="63"/>
      <c r="F431" s="61"/>
      <c r="G431" s="62"/>
      <c r="H431" s="62"/>
      <c r="I431" s="62"/>
      <c r="J431" s="49">
        <f>IF(AND(ISBLANK(G431),ISBLANK(H431),ISBLANK(I431)),VLOOKUP(TEXT(D431,"TTT"),Stammdaten!$B$20:$F$26,5,FALSE),H431-G431-I431)-IF(ISERROR(VLOOKUP(D431,Stammdaten!$I$9:$J$26,2,FALSE)),0,VLOOKUP(D431,Stammdaten!$I$9:$J$26,2,FALSE)/24)</f>
        <v>0</v>
      </c>
    </row>
    <row r="432" spans="2:10" x14ac:dyDescent="0.3">
      <c r="B432" s="50" t="str">
        <f t="shared" si="14"/>
        <v/>
      </c>
      <c r="C432" s="42" t="str">
        <f t="shared" si="13"/>
        <v/>
      </c>
      <c r="D432" s="60"/>
      <c r="E432" s="63"/>
      <c r="F432" s="61"/>
      <c r="G432" s="62"/>
      <c r="H432" s="62"/>
      <c r="I432" s="62"/>
      <c r="J432" s="49">
        <f>IF(AND(ISBLANK(G432),ISBLANK(H432),ISBLANK(I432)),VLOOKUP(TEXT(D432,"TTT"),Stammdaten!$B$20:$F$26,5,FALSE),H432-G432-I432)-IF(ISERROR(VLOOKUP(D432,Stammdaten!$I$9:$J$26,2,FALSE)),0,VLOOKUP(D432,Stammdaten!$I$9:$J$26,2,FALSE)/24)</f>
        <v>0</v>
      </c>
    </row>
    <row r="433" spans="2:10" x14ac:dyDescent="0.3">
      <c r="B433" s="50" t="str">
        <f t="shared" si="14"/>
        <v/>
      </c>
      <c r="C433" s="42" t="str">
        <f t="shared" si="13"/>
        <v/>
      </c>
      <c r="D433" s="60"/>
      <c r="E433" s="63"/>
      <c r="F433" s="61"/>
      <c r="G433" s="62"/>
      <c r="H433" s="62"/>
      <c r="I433" s="62"/>
      <c r="J433" s="49">
        <f>IF(AND(ISBLANK(G433),ISBLANK(H433),ISBLANK(I433)),VLOOKUP(TEXT(D433,"TTT"),Stammdaten!$B$20:$F$26,5,FALSE),H433-G433-I433)-IF(ISERROR(VLOOKUP(D433,Stammdaten!$I$9:$J$26,2,FALSE)),0,VLOOKUP(D433,Stammdaten!$I$9:$J$26,2,FALSE)/24)</f>
        <v>0</v>
      </c>
    </row>
    <row r="434" spans="2:10" x14ac:dyDescent="0.3">
      <c r="B434" s="50" t="str">
        <f t="shared" si="14"/>
        <v/>
      </c>
      <c r="C434" s="42" t="str">
        <f t="shared" si="13"/>
        <v/>
      </c>
      <c r="D434" s="60"/>
      <c r="E434" s="63"/>
      <c r="F434" s="61"/>
      <c r="G434" s="62"/>
      <c r="H434" s="62"/>
      <c r="I434" s="62"/>
      <c r="J434" s="49">
        <f>IF(AND(ISBLANK(G434),ISBLANK(H434),ISBLANK(I434)),VLOOKUP(TEXT(D434,"TTT"),Stammdaten!$B$20:$F$26,5,FALSE),H434-G434-I434)-IF(ISERROR(VLOOKUP(D434,Stammdaten!$I$9:$J$26,2,FALSE)),0,VLOOKUP(D434,Stammdaten!$I$9:$J$26,2,FALSE)/24)</f>
        <v>0</v>
      </c>
    </row>
    <row r="435" spans="2:10" x14ac:dyDescent="0.3">
      <c r="B435" s="50" t="str">
        <f t="shared" si="14"/>
        <v/>
      </c>
      <c r="C435" s="42" t="str">
        <f t="shared" si="13"/>
        <v/>
      </c>
      <c r="D435" s="60"/>
      <c r="E435" s="63"/>
      <c r="F435" s="61"/>
      <c r="G435" s="62"/>
      <c r="H435" s="62"/>
      <c r="I435" s="62"/>
      <c r="J435" s="49">
        <f>IF(AND(ISBLANK(G435),ISBLANK(H435),ISBLANK(I435)),VLOOKUP(TEXT(D435,"TTT"),Stammdaten!$B$20:$F$26,5,FALSE),H435-G435-I435)-IF(ISERROR(VLOOKUP(D435,Stammdaten!$I$9:$J$26,2,FALSE)),0,VLOOKUP(D435,Stammdaten!$I$9:$J$26,2,FALSE)/24)</f>
        <v>0</v>
      </c>
    </row>
    <row r="436" spans="2:10" x14ac:dyDescent="0.3">
      <c r="B436" s="50" t="str">
        <f t="shared" si="14"/>
        <v/>
      </c>
      <c r="C436" s="42" t="str">
        <f t="shared" si="13"/>
        <v/>
      </c>
      <c r="D436" s="60"/>
      <c r="E436" s="63"/>
      <c r="F436" s="61"/>
      <c r="G436" s="62"/>
      <c r="H436" s="62"/>
      <c r="I436" s="62"/>
      <c r="J436" s="49">
        <f>IF(AND(ISBLANK(G436),ISBLANK(H436),ISBLANK(I436)),VLOOKUP(TEXT(D436,"TTT"),Stammdaten!$B$20:$F$26,5,FALSE),H436-G436-I436)-IF(ISERROR(VLOOKUP(D436,Stammdaten!$I$9:$J$26,2,FALSE)),0,VLOOKUP(D436,Stammdaten!$I$9:$J$26,2,FALSE)/24)</f>
        <v>0</v>
      </c>
    </row>
    <row r="437" spans="2:10" x14ac:dyDescent="0.3">
      <c r="B437" s="50" t="str">
        <f t="shared" si="14"/>
        <v/>
      </c>
      <c r="C437" s="42" t="str">
        <f t="shared" si="13"/>
        <v/>
      </c>
      <c r="D437" s="60"/>
      <c r="E437" s="63"/>
      <c r="F437" s="61"/>
      <c r="G437" s="62"/>
      <c r="H437" s="62"/>
      <c r="I437" s="62"/>
      <c r="J437" s="49">
        <f>IF(AND(ISBLANK(G437),ISBLANK(H437),ISBLANK(I437)),VLOOKUP(TEXT(D437,"TTT"),Stammdaten!$B$20:$F$26,5,FALSE),H437-G437-I437)-IF(ISERROR(VLOOKUP(D437,Stammdaten!$I$9:$J$26,2,FALSE)),0,VLOOKUP(D437,Stammdaten!$I$9:$J$26,2,FALSE)/24)</f>
        <v>0</v>
      </c>
    </row>
    <row r="438" spans="2:10" x14ac:dyDescent="0.3">
      <c r="B438" s="50" t="str">
        <f t="shared" si="14"/>
        <v/>
      </c>
      <c r="C438" s="42" t="str">
        <f t="shared" si="13"/>
        <v/>
      </c>
      <c r="D438" s="60"/>
      <c r="E438" s="63"/>
      <c r="F438" s="61"/>
      <c r="G438" s="62"/>
      <c r="H438" s="62"/>
      <c r="I438" s="62"/>
      <c r="J438" s="49">
        <f>IF(AND(ISBLANK(G438),ISBLANK(H438),ISBLANK(I438)),VLOOKUP(TEXT(D438,"TTT"),Stammdaten!$B$20:$F$26,5,FALSE),H438-G438-I438)-IF(ISERROR(VLOOKUP(D438,Stammdaten!$I$9:$J$26,2,FALSE)),0,VLOOKUP(D438,Stammdaten!$I$9:$J$26,2,FALSE)/24)</f>
        <v>0</v>
      </c>
    </row>
    <row r="439" spans="2:10" x14ac:dyDescent="0.3">
      <c r="B439" s="50" t="str">
        <f t="shared" si="14"/>
        <v/>
      </c>
      <c r="C439" s="42" t="str">
        <f t="shared" si="13"/>
        <v/>
      </c>
      <c r="D439" s="60"/>
      <c r="E439" s="63"/>
      <c r="F439" s="61"/>
      <c r="G439" s="62"/>
      <c r="H439" s="62"/>
      <c r="I439" s="62"/>
      <c r="J439" s="49">
        <f>IF(AND(ISBLANK(G439),ISBLANK(H439),ISBLANK(I439)),VLOOKUP(TEXT(D439,"TTT"),Stammdaten!$B$20:$F$26,5,FALSE),H439-G439-I439)-IF(ISERROR(VLOOKUP(D439,Stammdaten!$I$9:$J$26,2,FALSE)),0,VLOOKUP(D439,Stammdaten!$I$9:$J$26,2,FALSE)/24)</f>
        <v>0</v>
      </c>
    </row>
    <row r="440" spans="2:10" x14ac:dyDescent="0.3">
      <c r="B440" s="50" t="str">
        <f t="shared" si="14"/>
        <v/>
      </c>
      <c r="C440" s="42" t="str">
        <f t="shared" si="13"/>
        <v/>
      </c>
      <c r="D440" s="60"/>
      <c r="E440" s="63"/>
      <c r="F440" s="61"/>
      <c r="G440" s="62"/>
      <c r="H440" s="62"/>
      <c r="I440" s="62"/>
      <c r="J440" s="49">
        <f>IF(AND(ISBLANK(G440),ISBLANK(H440),ISBLANK(I440)),VLOOKUP(TEXT(D440,"TTT"),Stammdaten!$B$20:$F$26,5,FALSE),H440-G440-I440)-IF(ISERROR(VLOOKUP(D440,Stammdaten!$I$9:$J$26,2,FALSE)),0,VLOOKUP(D440,Stammdaten!$I$9:$J$26,2,FALSE)/24)</f>
        <v>0</v>
      </c>
    </row>
    <row r="441" spans="2:10" x14ac:dyDescent="0.3">
      <c r="B441" s="50" t="str">
        <f t="shared" si="14"/>
        <v/>
      </c>
      <c r="C441" s="42" t="str">
        <f t="shared" si="13"/>
        <v/>
      </c>
      <c r="D441" s="60"/>
      <c r="E441" s="63"/>
      <c r="F441" s="61"/>
      <c r="G441" s="62"/>
      <c r="H441" s="62"/>
      <c r="I441" s="62"/>
      <c r="J441" s="49">
        <f>IF(AND(ISBLANK(G441),ISBLANK(H441),ISBLANK(I441)),VLOOKUP(TEXT(D441,"TTT"),Stammdaten!$B$20:$F$26,5,FALSE),H441-G441-I441)-IF(ISERROR(VLOOKUP(D441,Stammdaten!$I$9:$J$26,2,FALSE)),0,VLOOKUP(D441,Stammdaten!$I$9:$J$26,2,FALSE)/24)</f>
        <v>0</v>
      </c>
    </row>
    <row r="442" spans="2:10" x14ac:dyDescent="0.3">
      <c r="B442" s="50" t="str">
        <f t="shared" si="14"/>
        <v/>
      </c>
      <c r="C442" s="42" t="str">
        <f t="shared" si="13"/>
        <v/>
      </c>
      <c r="D442" s="60"/>
      <c r="E442" s="63"/>
      <c r="F442" s="61"/>
      <c r="G442" s="62"/>
      <c r="H442" s="62"/>
      <c r="I442" s="62"/>
      <c r="J442" s="49">
        <f>IF(AND(ISBLANK(G442),ISBLANK(H442),ISBLANK(I442)),VLOOKUP(TEXT(D442,"TTT"),Stammdaten!$B$20:$F$26,5,FALSE),H442-G442-I442)-IF(ISERROR(VLOOKUP(D442,Stammdaten!$I$9:$J$26,2,FALSE)),0,VLOOKUP(D442,Stammdaten!$I$9:$J$26,2,FALSE)/24)</f>
        <v>0</v>
      </c>
    </row>
    <row r="443" spans="2:10" x14ac:dyDescent="0.3">
      <c r="B443" s="50" t="str">
        <f t="shared" si="14"/>
        <v/>
      </c>
      <c r="C443" s="42" t="str">
        <f t="shared" si="13"/>
        <v/>
      </c>
      <c r="D443" s="60"/>
      <c r="E443" s="63"/>
      <c r="F443" s="61"/>
      <c r="G443" s="62"/>
      <c r="H443" s="62"/>
      <c r="I443" s="62"/>
      <c r="J443" s="49">
        <f>IF(AND(ISBLANK(G443),ISBLANK(H443),ISBLANK(I443)),VLOOKUP(TEXT(D443,"TTT"),Stammdaten!$B$20:$F$26,5,FALSE),H443-G443-I443)-IF(ISERROR(VLOOKUP(D443,Stammdaten!$I$9:$J$26,2,FALSE)),0,VLOOKUP(D443,Stammdaten!$I$9:$J$26,2,FALSE)/24)</f>
        <v>0</v>
      </c>
    </row>
    <row r="444" spans="2:10" x14ac:dyDescent="0.3">
      <c r="B444" s="50" t="str">
        <f t="shared" si="14"/>
        <v/>
      </c>
      <c r="C444" s="42" t="str">
        <f t="shared" si="13"/>
        <v/>
      </c>
      <c r="D444" s="60"/>
      <c r="E444" s="63"/>
      <c r="F444" s="61"/>
      <c r="G444" s="62"/>
      <c r="H444" s="62"/>
      <c r="I444" s="62"/>
      <c r="J444" s="49">
        <f>IF(AND(ISBLANK(G444),ISBLANK(H444),ISBLANK(I444)),VLOOKUP(TEXT(D444,"TTT"),Stammdaten!$B$20:$F$26,5,FALSE),H444-G444-I444)-IF(ISERROR(VLOOKUP(D444,Stammdaten!$I$9:$J$26,2,FALSE)),0,VLOOKUP(D444,Stammdaten!$I$9:$J$26,2,FALSE)/24)</f>
        <v>0</v>
      </c>
    </row>
    <row r="445" spans="2:10" x14ac:dyDescent="0.3">
      <c r="B445" s="50" t="str">
        <f t="shared" si="14"/>
        <v/>
      </c>
      <c r="C445" s="42" t="str">
        <f t="shared" si="13"/>
        <v/>
      </c>
      <c r="D445" s="60"/>
      <c r="E445" s="63"/>
      <c r="F445" s="61"/>
      <c r="G445" s="62"/>
      <c r="H445" s="62"/>
      <c r="I445" s="62"/>
      <c r="J445" s="49">
        <f>IF(AND(ISBLANK(G445),ISBLANK(H445),ISBLANK(I445)),VLOOKUP(TEXT(D445,"TTT"),Stammdaten!$B$20:$F$26,5,FALSE),H445-G445-I445)-IF(ISERROR(VLOOKUP(D445,Stammdaten!$I$9:$J$26,2,FALSE)),0,VLOOKUP(D445,Stammdaten!$I$9:$J$26,2,FALSE)/24)</f>
        <v>0</v>
      </c>
    </row>
    <row r="446" spans="2:10" x14ac:dyDescent="0.3">
      <c r="B446" s="50" t="str">
        <f t="shared" si="14"/>
        <v/>
      </c>
      <c r="C446" s="42" t="str">
        <f t="shared" si="13"/>
        <v/>
      </c>
      <c r="D446" s="60"/>
      <c r="E446" s="63"/>
      <c r="F446" s="61"/>
      <c r="G446" s="62"/>
      <c r="H446" s="62"/>
      <c r="I446" s="62"/>
      <c r="J446" s="49">
        <f>IF(AND(ISBLANK(G446),ISBLANK(H446),ISBLANK(I446)),VLOOKUP(TEXT(D446,"TTT"),Stammdaten!$B$20:$F$26,5,FALSE),H446-G446-I446)-IF(ISERROR(VLOOKUP(D446,Stammdaten!$I$9:$J$26,2,FALSE)),0,VLOOKUP(D446,Stammdaten!$I$9:$J$26,2,FALSE)/24)</f>
        <v>0</v>
      </c>
    </row>
    <row r="447" spans="2:10" x14ac:dyDescent="0.3">
      <c r="B447" s="50" t="str">
        <f t="shared" si="14"/>
        <v/>
      </c>
      <c r="C447" s="42" t="str">
        <f t="shared" si="13"/>
        <v/>
      </c>
      <c r="D447" s="60"/>
      <c r="E447" s="63"/>
      <c r="F447" s="61"/>
      <c r="G447" s="62"/>
      <c r="H447" s="62"/>
      <c r="I447" s="62"/>
      <c r="J447" s="49">
        <f>IF(AND(ISBLANK(G447),ISBLANK(H447),ISBLANK(I447)),VLOOKUP(TEXT(D447,"TTT"),Stammdaten!$B$20:$F$26,5,FALSE),H447-G447-I447)-IF(ISERROR(VLOOKUP(D447,Stammdaten!$I$9:$J$26,2,FALSE)),0,VLOOKUP(D447,Stammdaten!$I$9:$J$26,2,FALSE)/24)</f>
        <v>0</v>
      </c>
    </row>
    <row r="448" spans="2:10" x14ac:dyDescent="0.3">
      <c r="B448" s="50" t="str">
        <f t="shared" si="14"/>
        <v/>
      </c>
      <c r="C448" s="42" t="str">
        <f t="shared" si="13"/>
        <v/>
      </c>
      <c r="D448" s="60"/>
      <c r="E448" s="63"/>
      <c r="F448" s="61"/>
      <c r="G448" s="62"/>
      <c r="H448" s="62"/>
      <c r="I448" s="62"/>
      <c r="J448" s="49">
        <f>IF(AND(ISBLANK(G448),ISBLANK(H448),ISBLANK(I448)),VLOOKUP(TEXT(D448,"TTT"),Stammdaten!$B$20:$F$26,5,FALSE),H448-G448-I448)-IF(ISERROR(VLOOKUP(D448,Stammdaten!$I$9:$J$26,2,FALSE)),0,VLOOKUP(D448,Stammdaten!$I$9:$J$26,2,FALSE)/24)</f>
        <v>0</v>
      </c>
    </row>
    <row r="449" spans="2:10" x14ac:dyDescent="0.3">
      <c r="B449" s="50" t="str">
        <f t="shared" si="14"/>
        <v/>
      </c>
      <c r="C449" s="42" t="str">
        <f t="shared" si="13"/>
        <v/>
      </c>
      <c r="D449" s="60"/>
      <c r="E449" s="63"/>
      <c r="F449" s="61"/>
      <c r="G449" s="62"/>
      <c r="H449" s="62"/>
      <c r="I449" s="62"/>
      <c r="J449" s="49">
        <f>IF(AND(ISBLANK(G449),ISBLANK(H449),ISBLANK(I449)),VLOOKUP(TEXT(D449,"TTT"),Stammdaten!$B$20:$F$26,5,FALSE),H449-G449-I449)-IF(ISERROR(VLOOKUP(D449,Stammdaten!$I$9:$J$26,2,FALSE)),0,VLOOKUP(D449,Stammdaten!$I$9:$J$26,2,FALSE)/24)</f>
        <v>0</v>
      </c>
    </row>
    <row r="450" spans="2:10" x14ac:dyDescent="0.3">
      <c r="B450" s="50" t="str">
        <f t="shared" si="14"/>
        <v/>
      </c>
      <c r="C450" s="42" t="str">
        <f t="shared" ref="C450:C513" si="15">IF(D450="","",D450)</f>
        <v/>
      </c>
      <c r="D450" s="60"/>
      <c r="E450" s="63"/>
      <c r="F450" s="61"/>
      <c r="G450" s="62"/>
      <c r="H450" s="62"/>
      <c r="I450" s="62"/>
      <c r="J450" s="49">
        <f>IF(AND(ISBLANK(G450),ISBLANK(H450),ISBLANK(I450)),VLOOKUP(TEXT(D450,"TTT"),Stammdaten!$B$20:$F$26,5,FALSE),H450-G450-I450)-IF(ISERROR(VLOOKUP(D450,Stammdaten!$I$9:$J$26,2,FALSE)),0,VLOOKUP(D450,Stammdaten!$I$9:$J$26,2,FALSE)/24)</f>
        <v>0</v>
      </c>
    </row>
    <row r="451" spans="2:10" x14ac:dyDescent="0.3">
      <c r="B451" s="50" t="str">
        <f t="shared" si="14"/>
        <v/>
      </c>
      <c r="C451" s="42" t="str">
        <f t="shared" si="15"/>
        <v/>
      </c>
      <c r="D451" s="60"/>
      <c r="E451" s="63"/>
      <c r="F451" s="61"/>
      <c r="G451" s="62"/>
      <c r="H451" s="62"/>
      <c r="I451" s="62"/>
      <c r="J451" s="49">
        <f>IF(AND(ISBLANK(G451),ISBLANK(H451),ISBLANK(I451)),VLOOKUP(TEXT(D451,"TTT"),Stammdaten!$B$20:$F$26,5,FALSE),H451-G451-I451)-IF(ISERROR(VLOOKUP(D451,Stammdaten!$I$9:$J$26,2,FALSE)),0,VLOOKUP(D451,Stammdaten!$I$9:$J$26,2,FALSE)/24)</f>
        <v>0</v>
      </c>
    </row>
    <row r="452" spans="2:10" x14ac:dyDescent="0.3">
      <c r="B452" s="50" t="str">
        <f t="shared" ref="B452:B515" si="16">IF(ISBLANK(E452),"",VLOOKUP(E452,$L$2:$M$11,2,FALSE))</f>
        <v/>
      </c>
      <c r="C452" s="42" t="str">
        <f t="shared" si="15"/>
        <v/>
      </c>
      <c r="D452" s="60"/>
      <c r="E452" s="63"/>
      <c r="F452" s="61"/>
      <c r="G452" s="62"/>
      <c r="H452" s="62"/>
      <c r="I452" s="62"/>
      <c r="J452" s="49">
        <f>IF(AND(ISBLANK(G452),ISBLANK(H452),ISBLANK(I452)),VLOOKUP(TEXT(D452,"TTT"),Stammdaten!$B$20:$F$26,5,FALSE),H452-G452-I452)-IF(ISERROR(VLOOKUP(D452,Stammdaten!$I$9:$J$26,2,FALSE)),0,VLOOKUP(D452,Stammdaten!$I$9:$J$26,2,FALSE)/24)</f>
        <v>0</v>
      </c>
    </row>
    <row r="453" spans="2:10" x14ac:dyDescent="0.3">
      <c r="B453" s="50" t="str">
        <f t="shared" si="16"/>
        <v/>
      </c>
      <c r="C453" s="42" t="str">
        <f t="shared" si="15"/>
        <v/>
      </c>
      <c r="D453" s="60"/>
      <c r="E453" s="63"/>
      <c r="F453" s="61"/>
      <c r="G453" s="62"/>
      <c r="H453" s="62"/>
      <c r="I453" s="62"/>
      <c r="J453" s="49">
        <f>IF(AND(ISBLANK(G453),ISBLANK(H453),ISBLANK(I453)),VLOOKUP(TEXT(D453,"TTT"),Stammdaten!$B$20:$F$26,5,FALSE),H453-G453-I453)-IF(ISERROR(VLOOKUP(D453,Stammdaten!$I$9:$J$26,2,FALSE)),0,VLOOKUP(D453,Stammdaten!$I$9:$J$26,2,FALSE)/24)</f>
        <v>0</v>
      </c>
    </row>
    <row r="454" spans="2:10" x14ac:dyDescent="0.3">
      <c r="B454" s="50" t="str">
        <f t="shared" si="16"/>
        <v/>
      </c>
      <c r="C454" s="42" t="str">
        <f t="shared" si="15"/>
        <v/>
      </c>
      <c r="D454" s="60"/>
      <c r="E454" s="63"/>
      <c r="F454" s="61"/>
      <c r="G454" s="62"/>
      <c r="H454" s="62"/>
      <c r="I454" s="62"/>
      <c r="J454" s="49">
        <f>IF(AND(ISBLANK(G454),ISBLANK(H454),ISBLANK(I454)),VLOOKUP(TEXT(D454,"TTT"),Stammdaten!$B$20:$F$26,5,FALSE),H454-G454-I454)-IF(ISERROR(VLOOKUP(D454,Stammdaten!$I$9:$J$26,2,FALSE)),0,VLOOKUP(D454,Stammdaten!$I$9:$J$26,2,FALSE)/24)</f>
        <v>0</v>
      </c>
    </row>
    <row r="455" spans="2:10" x14ac:dyDescent="0.3">
      <c r="B455" s="50" t="str">
        <f t="shared" si="16"/>
        <v/>
      </c>
      <c r="C455" s="42" t="str">
        <f t="shared" si="15"/>
        <v/>
      </c>
      <c r="D455" s="60"/>
      <c r="E455" s="63"/>
      <c r="F455" s="61"/>
      <c r="G455" s="62"/>
      <c r="H455" s="62"/>
      <c r="I455" s="62"/>
      <c r="J455" s="49">
        <f>IF(AND(ISBLANK(G455),ISBLANK(H455),ISBLANK(I455)),VLOOKUP(TEXT(D455,"TTT"),Stammdaten!$B$20:$F$26,5,FALSE),H455-G455-I455)-IF(ISERROR(VLOOKUP(D455,Stammdaten!$I$9:$J$26,2,FALSE)),0,VLOOKUP(D455,Stammdaten!$I$9:$J$26,2,FALSE)/24)</f>
        <v>0</v>
      </c>
    </row>
    <row r="456" spans="2:10" x14ac:dyDescent="0.3">
      <c r="B456" s="50" t="str">
        <f t="shared" si="16"/>
        <v/>
      </c>
      <c r="C456" s="42" t="str">
        <f t="shared" si="15"/>
        <v/>
      </c>
      <c r="D456" s="60"/>
      <c r="E456" s="63"/>
      <c r="F456" s="61"/>
      <c r="G456" s="62"/>
      <c r="H456" s="62"/>
      <c r="I456" s="62"/>
      <c r="J456" s="49">
        <f>IF(AND(ISBLANK(G456),ISBLANK(H456),ISBLANK(I456)),VLOOKUP(TEXT(D456,"TTT"),Stammdaten!$B$20:$F$26,5,FALSE),H456-G456-I456)-IF(ISERROR(VLOOKUP(D456,Stammdaten!$I$9:$J$26,2,FALSE)),0,VLOOKUP(D456,Stammdaten!$I$9:$J$26,2,FALSE)/24)</f>
        <v>0</v>
      </c>
    </row>
    <row r="457" spans="2:10" x14ac:dyDescent="0.3">
      <c r="B457" s="50" t="str">
        <f t="shared" si="16"/>
        <v/>
      </c>
      <c r="C457" s="42" t="str">
        <f t="shared" si="15"/>
        <v/>
      </c>
      <c r="D457" s="60"/>
      <c r="E457" s="63"/>
      <c r="F457" s="61"/>
      <c r="G457" s="62"/>
      <c r="H457" s="62"/>
      <c r="I457" s="62"/>
      <c r="J457" s="49">
        <f>IF(AND(ISBLANK(G457),ISBLANK(H457),ISBLANK(I457)),VLOOKUP(TEXT(D457,"TTT"),Stammdaten!$B$20:$F$26,5,FALSE),H457-G457-I457)-IF(ISERROR(VLOOKUP(D457,Stammdaten!$I$9:$J$26,2,FALSE)),0,VLOOKUP(D457,Stammdaten!$I$9:$J$26,2,FALSE)/24)</f>
        <v>0</v>
      </c>
    </row>
    <row r="458" spans="2:10" x14ac:dyDescent="0.3">
      <c r="B458" s="50" t="str">
        <f t="shared" si="16"/>
        <v/>
      </c>
      <c r="C458" s="42" t="str">
        <f t="shared" si="15"/>
        <v/>
      </c>
      <c r="D458" s="60"/>
      <c r="E458" s="63"/>
      <c r="F458" s="61"/>
      <c r="G458" s="62"/>
      <c r="H458" s="62"/>
      <c r="I458" s="62"/>
      <c r="J458" s="49">
        <f>IF(AND(ISBLANK(G458),ISBLANK(H458),ISBLANK(I458)),VLOOKUP(TEXT(D458,"TTT"),Stammdaten!$B$20:$F$26,5,FALSE),H458-G458-I458)-IF(ISERROR(VLOOKUP(D458,Stammdaten!$I$9:$J$26,2,FALSE)),0,VLOOKUP(D458,Stammdaten!$I$9:$J$26,2,FALSE)/24)</f>
        <v>0</v>
      </c>
    </row>
    <row r="459" spans="2:10" x14ac:dyDescent="0.3">
      <c r="B459" s="50" t="str">
        <f t="shared" si="16"/>
        <v/>
      </c>
      <c r="C459" s="42" t="str">
        <f t="shared" si="15"/>
        <v/>
      </c>
      <c r="D459" s="60"/>
      <c r="E459" s="63"/>
      <c r="F459" s="61"/>
      <c r="G459" s="62"/>
      <c r="H459" s="62"/>
      <c r="I459" s="62"/>
      <c r="J459" s="49">
        <f>IF(AND(ISBLANK(G459),ISBLANK(H459),ISBLANK(I459)),VLOOKUP(TEXT(D459,"TTT"),Stammdaten!$B$20:$F$26,5,FALSE),H459-G459-I459)-IF(ISERROR(VLOOKUP(D459,Stammdaten!$I$9:$J$26,2,FALSE)),0,VLOOKUP(D459,Stammdaten!$I$9:$J$26,2,FALSE)/24)</f>
        <v>0</v>
      </c>
    </row>
    <row r="460" spans="2:10" x14ac:dyDescent="0.3">
      <c r="B460" s="50" t="str">
        <f t="shared" si="16"/>
        <v/>
      </c>
      <c r="C460" s="42" t="str">
        <f t="shared" si="15"/>
        <v/>
      </c>
      <c r="D460" s="60"/>
      <c r="E460" s="63"/>
      <c r="F460" s="61"/>
      <c r="G460" s="62"/>
      <c r="H460" s="62"/>
      <c r="I460" s="62"/>
      <c r="J460" s="49">
        <f>IF(AND(ISBLANK(G460),ISBLANK(H460),ISBLANK(I460)),VLOOKUP(TEXT(D460,"TTT"),Stammdaten!$B$20:$F$26,5,FALSE),H460-G460-I460)-IF(ISERROR(VLOOKUP(D460,Stammdaten!$I$9:$J$26,2,FALSE)),0,VLOOKUP(D460,Stammdaten!$I$9:$J$26,2,FALSE)/24)</f>
        <v>0</v>
      </c>
    </row>
    <row r="461" spans="2:10" x14ac:dyDescent="0.3">
      <c r="B461" s="50" t="str">
        <f t="shared" si="16"/>
        <v/>
      </c>
      <c r="C461" s="42" t="str">
        <f t="shared" si="15"/>
        <v/>
      </c>
      <c r="D461" s="60"/>
      <c r="E461" s="63"/>
      <c r="F461" s="61"/>
      <c r="G461" s="62"/>
      <c r="H461" s="62"/>
      <c r="I461" s="62"/>
      <c r="J461" s="49">
        <f>IF(AND(ISBLANK(G461),ISBLANK(H461),ISBLANK(I461)),VLOOKUP(TEXT(D461,"TTT"),Stammdaten!$B$20:$F$26,5,FALSE),H461-G461-I461)-IF(ISERROR(VLOOKUP(D461,Stammdaten!$I$9:$J$26,2,FALSE)),0,VLOOKUP(D461,Stammdaten!$I$9:$J$26,2,FALSE)/24)</f>
        <v>0</v>
      </c>
    </row>
    <row r="462" spans="2:10" x14ac:dyDescent="0.3">
      <c r="B462" s="50" t="str">
        <f t="shared" si="16"/>
        <v/>
      </c>
      <c r="C462" s="42" t="str">
        <f t="shared" si="15"/>
        <v/>
      </c>
      <c r="D462" s="60"/>
      <c r="E462" s="63"/>
      <c r="F462" s="61"/>
      <c r="G462" s="62"/>
      <c r="H462" s="62"/>
      <c r="I462" s="62"/>
      <c r="J462" s="49">
        <f>IF(AND(ISBLANK(G462),ISBLANK(H462),ISBLANK(I462)),VLOOKUP(TEXT(D462,"TTT"),Stammdaten!$B$20:$F$26,5,FALSE),H462-G462-I462)-IF(ISERROR(VLOOKUP(D462,Stammdaten!$I$9:$J$26,2,FALSE)),0,VLOOKUP(D462,Stammdaten!$I$9:$J$26,2,FALSE)/24)</f>
        <v>0</v>
      </c>
    </row>
    <row r="463" spans="2:10" x14ac:dyDescent="0.3">
      <c r="B463" s="50" t="str">
        <f t="shared" si="16"/>
        <v/>
      </c>
      <c r="C463" s="42" t="str">
        <f t="shared" si="15"/>
        <v/>
      </c>
      <c r="D463" s="60"/>
      <c r="E463" s="63"/>
      <c r="F463" s="61"/>
      <c r="G463" s="62"/>
      <c r="H463" s="62"/>
      <c r="I463" s="62"/>
      <c r="J463" s="49">
        <f>IF(AND(ISBLANK(G463),ISBLANK(H463),ISBLANK(I463)),VLOOKUP(TEXT(D463,"TTT"),Stammdaten!$B$20:$F$26,5,FALSE),H463-G463-I463)-IF(ISERROR(VLOOKUP(D463,Stammdaten!$I$9:$J$26,2,FALSE)),0,VLOOKUP(D463,Stammdaten!$I$9:$J$26,2,FALSE)/24)</f>
        <v>0</v>
      </c>
    </row>
    <row r="464" spans="2:10" x14ac:dyDescent="0.3">
      <c r="B464" s="50" t="str">
        <f t="shared" si="16"/>
        <v/>
      </c>
      <c r="C464" s="42" t="str">
        <f t="shared" si="15"/>
        <v/>
      </c>
      <c r="D464" s="60"/>
      <c r="E464" s="63"/>
      <c r="F464" s="61"/>
      <c r="G464" s="62"/>
      <c r="H464" s="62"/>
      <c r="I464" s="62"/>
      <c r="J464" s="49">
        <f>IF(AND(ISBLANK(G464),ISBLANK(H464),ISBLANK(I464)),VLOOKUP(TEXT(D464,"TTT"),Stammdaten!$B$20:$F$26,5,FALSE),H464-G464-I464)-IF(ISERROR(VLOOKUP(D464,Stammdaten!$I$9:$J$26,2,FALSE)),0,VLOOKUP(D464,Stammdaten!$I$9:$J$26,2,FALSE)/24)</f>
        <v>0</v>
      </c>
    </row>
    <row r="465" spans="2:10" x14ac:dyDescent="0.3">
      <c r="B465" s="50" t="str">
        <f t="shared" si="16"/>
        <v/>
      </c>
      <c r="C465" s="42" t="str">
        <f t="shared" si="15"/>
        <v/>
      </c>
      <c r="D465" s="60"/>
      <c r="E465" s="63"/>
      <c r="F465" s="61"/>
      <c r="G465" s="62"/>
      <c r="H465" s="62"/>
      <c r="I465" s="62"/>
      <c r="J465" s="49">
        <f>IF(AND(ISBLANK(G465),ISBLANK(H465),ISBLANK(I465)),VLOOKUP(TEXT(D465,"TTT"),Stammdaten!$B$20:$F$26,5,FALSE),H465-G465-I465)-IF(ISERROR(VLOOKUP(D465,Stammdaten!$I$9:$J$26,2,FALSE)),0,VLOOKUP(D465,Stammdaten!$I$9:$J$26,2,FALSE)/24)</f>
        <v>0</v>
      </c>
    </row>
    <row r="466" spans="2:10" x14ac:dyDescent="0.3">
      <c r="B466" s="50" t="str">
        <f t="shared" si="16"/>
        <v/>
      </c>
      <c r="C466" s="42" t="str">
        <f t="shared" si="15"/>
        <v/>
      </c>
      <c r="D466" s="60"/>
      <c r="E466" s="63"/>
      <c r="F466" s="61"/>
      <c r="G466" s="62"/>
      <c r="H466" s="62"/>
      <c r="I466" s="62"/>
      <c r="J466" s="49">
        <f>IF(AND(ISBLANK(G466),ISBLANK(H466),ISBLANK(I466)),VLOOKUP(TEXT(D466,"TTT"),Stammdaten!$B$20:$F$26,5,FALSE),H466-G466-I466)-IF(ISERROR(VLOOKUP(D466,Stammdaten!$I$9:$J$26,2,FALSE)),0,VLOOKUP(D466,Stammdaten!$I$9:$J$26,2,FALSE)/24)</f>
        <v>0</v>
      </c>
    </row>
    <row r="467" spans="2:10" x14ac:dyDescent="0.3">
      <c r="B467" s="50" t="str">
        <f t="shared" si="16"/>
        <v/>
      </c>
      <c r="C467" s="42" t="str">
        <f t="shared" si="15"/>
        <v/>
      </c>
      <c r="D467" s="60"/>
      <c r="E467" s="63"/>
      <c r="F467" s="61"/>
      <c r="G467" s="62"/>
      <c r="H467" s="62"/>
      <c r="I467" s="62"/>
      <c r="J467" s="49">
        <f>IF(AND(ISBLANK(G467),ISBLANK(H467),ISBLANK(I467)),VLOOKUP(TEXT(D467,"TTT"),Stammdaten!$B$20:$F$26,5,FALSE),H467-G467-I467)-IF(ISERROR(VLOOKUP(D467,Stammdaten!$I$9:$J$26,2,FALSE)),0,VLOOKUP(D467,Stammdaten!$I$9:$J$26,2,FALSE)/24)</f>
        <v>0</v>
      </c>
    </row>
    <row r="468" spans="2:10" x14ac:dyDescent="0.3">
      <c r="B468" s="50" t="str">
        <f t="shared" si="16"/>
        <v/>
      </c>
      <c r="C468" s="42" t="str">
        <f t="shared" si="15"/>
        <v/>
      </c>
      <c r="D468" s="60"/>
      <c r="E468" s="63"/>
      <c r="F468" s="61"/>
      <c r="G468" s="62"/>
      <c r="H468" s="62"/>
      <c r="I468" s="62"/>
      <c r="J468" s="49">
        <f>IF(AND(ISBLANK(G468),ISBLANK(H468),ISBLANK(I468)),VLOOKUP(TEXT(D468,"TTT"),Stammdaten!$B$20:$F$26,5,FALSE),H468-G468-I468)-IF(ISERROR(VLOOKUP(D468,Stammdaten!$I$9:$J$26,2,FALSE)),0,VLOOKUP(D468,Stammdaten!$I$9:$J$26,2,FALSE)/24)</f>
        <v>0</v>
      </c>
    </row>
    <row r="469" spans="2:10" x14ac:dyDescent="0.3">
      <c r="B469" s="50" t="str">
        <f t="shared" si="16"/>
        <v/>
      </c>
      <c r="C469" s="42" t="str">
        <f t="shared" si="15"/>
        <v/>
      </c>
      <c r="D469" s="60"/>
      <c r="E469" s="63"/>
      <c r="F469" s="61"/>
      <c r="G469" s="62"/>
      <c r="H469" s="62"/>
      <c r="I469" s="62"/>
      <c r="J469" s="49">
        <f>IF(AND(ISBLANK(G469),ISBLANK(H469),ISBLANK(I469)),VLOOKUP(TEXT(D469,"TTT"),Stammdaten!$B$20:$F$26,5,FALSE),H469-G469-I469)-IF(ISERROR(VLOOKUP(D469,Stammdaten!$I$9:$J$26,2,FALSE)),0,VLOOKUP(D469,Stammdaten!$I$9:$J$26,2,FALSE)/24)</f>
        <v>0</v>
      </c>
    </row>
    <row r="470" spans="2:10" x14ac:dyDescent="0.3">
      <c r="B470" s="50" t="str">
        <f t="shared" si="16"/>
        <v/>
      </c>
      <c r="C470" s="42" t="str">
        <f t="shared" si="15"/>
        <v/>
      </c>
      <c r="D470" s="60"/>
      <c r="E470" s="63"/>
      <c r="F470" s="61"/>
      <c r="G470" s="62"/>
      <c r="H470" s="62"/>
      <c r="I470" s="62"/>
      <c r="J470" s="49">
        <f>IF(AND(ISBLANK(G470),ISBLANK(H470),ISBLANK(I470)),VLOOKUP(TEXT(D470,"TTT"),Stammdaten!$B$20:$F$26,5,FALSE),H470-G470-I470)-IF(ISERROR(VLOOKUP(D470,Stammdaten!$I$9:$J$26,2,FALSE)),0,VLOOKUP(D470,Stammdaten!$I$9:$J$26,2,FALSE)/24)</f>
        <v>0</v>
      </c>
    </row>
    <row r="471" spans="2:10" x14ac:dyDescent="0.3">
      <c r="B471" s="50" t="str">
        <f t="shared" si="16"/>
        <v/>
      </c>
      <c r="C471" s="42" t="str">
        <f t="shared" si="15"/>
        <v/>
      </c>
      <c r="D471" s="60"/>
      <c r="E471" s="63"/>
      <c r="F471" s="61"/>
      <c r="G471" s="62"/>
      <c r="H471" s="62"/>
      <c r="I471" s="62"/>
      <c r="J471" s="49">
        <f>IF(AND(ISBLANK(G471),ISBLANK(H471),ISBLANK(I471)),VLOOKUP(TEXT(D471,"TTT"),Stammdaten!$B$20:$F$26,5,FALSE),H471-G471-I471)-IF(ISERROR(VLOOKUP(D471,Stammdaten!$I$9:$J$26,2,FALSE)),0,VLOOKUP(D471,Stammdaten!$I$9:$J$26,2,FALSE)/24)</f>
        <v>0</v>
      </c>
    </row>
    <row r="472" spans="2:10" x14ac:dyDescent="0.3">
      <c r="B472" s="50" t="str">
        <f t="shared" si="16"/>
        <v/>
      </c>
      <c r="C472" s="42" t="str">
        <f t="shared" si="15"/>
        <v/>
      </c>
      <c r="D472" s="60"/>
      <c r="E472" s="63"/>
      <c r="F472" s="61"/>
      <c r="G472" s="62"/>
      <c r="H472" s="62"/>
      <c r="I472" s="62"/>
      <c r="J472" s="49">
        <f>IF(AND(ISBLANK(G472),ISBLANK(H472),ISBLANK(I472)),VLOOKUP(TEXT(D472,"TTT"),Stammdaten!$B$20:$F$26,5,FALSE),H472-G472-I472)-IF(ISERROR(VLOOKUP(D472,Stammdaten!$I$9:$J$26,2,FALSE)),0,VLOOKUP(D472,Stammdaten!$I$9:$J$26,2,FALSE)/24)</f>
        <v>0</v>
      </c>
    </row>
    <row r="473" spans="2:10" x14ac:dyDescent="0.3">
      <c r="B473" s="50" t="str">
        <f t="shared" si="16"/>
        <v/>
      </c>
      <c r="C473" s="42" t="str">
        <f t="shared" si="15"/>
        <v/>
      </c>
      <c r="D473" s="60"/>
      <c r="E473" s="63"/>
      <c r="F473" s="61"/>
      <c r="G473" s="62"/>
      <c r="H473" s="62"/>
      <c r="I473" s="62"/>
      <c r="J473" s="49">
        <f>IF(AND(ISBLANK(G473),ISBLANK(H473),ISBLANK(I473)),VLOOKUP(TEXT(D473,"TTT"),Stammdaten!$B$20:$F$26,5,FALSE),H473-G473-I473)-IF(ISERROR(VLOOKUP(D473,Stammdaten!$I$9:$J$26,2,FALSE)),0,VLOOKUP(D473,Stammdaten!$I$9:$J$26,2,FALSE)/24)</f>
        <v>0</v>
      </c>
    </row>
    <row r="474" spans="2:10" x14ac:dyDescent="0.3">
      <c r="B474" s="50" t="str">
        <f t="shared" si="16"/>
        <v/>
      </c>
      <c r="C474" s="42" t="str">
        <f t="shared" si="15"/>
        <v/>
      </c>
      <c r="D474" s="60"/>
      <c r="E474" s="63"/>
      <c r="F474" s="61"/>
      <c r="G474" s="62"/>
      <c r="H474" s="62"/>
      <c r="I474" s="62"/>
      <c r="J474" s="49">
        <f>IF(AND(ISBLANK(G474),ISBLANK(H474),ISBLANK(I474)),VLOOKUP(TEXT(D474,"TTT"),Stammdaten!$B$20:$F$26,5,FALSE),H474-G474-I474)-IF(ISERROR(VLOOKUP(D474,Stammdaten!$I$9:$J$26,2,FALSE)),0,VLOOKUP(D474,Stammdaten!$I$9:$J$26,2,FALSE)/24)</f>
        <v>0</v>
      </c>
    </row>
    <row r="475" spans="2:10" x14ac:dyDescent="0.3">
      <c r="B475" s="50" t="str">
        <f t="shared" si="16"/>
        <v/>
      </c>
      <c r="C475" s="42" t="str">
        <f t="shared" si="15"/>
        <v/>
      </c>
      <c r="D475" s="60"/>
      <c r="E475" s="63"/>
      <c r="F475" s="61"/>
      <c r="G475" s="62"/>
      <c r="H475" s="62"/>
      <c r="I475" s="62"/>
      <c r="J475" s="49">
        <f>IF(AND(ISBLANK(G475),ISBLANK(H475),ISBLANK(I475)),VLOOKUP(TEXT(D475,"TTT"),Stammdaten!$B$20:$F$26,5,FALSE),H475-G475-I475)-IF(ISERROR(VLOOKUP(D475,Stammdaten!$I$9:$J$26,2,FALSE)),0,VLOOKUP(D475,Stammdaten!$I$9:$J$26,2,FALSE)/24)</f>
        <v>0</v>
      </c>
    </row>
    <row r="476" spans="2:10" x14ac:dyDescent="0.3">
      <c r="B476" s="50" t="str">
        <f t="shared" si="16"/>
        <v/>
      </c>
      <c r="C476" s="42" t="str">
        <f t="shared" si="15"/>
        <v/>
      </c>
      <c r="D476" s="60"/>
      <c r="E476" s="63"/>
      <c r="F476" s="61"/>
      <c r="G476" s="62"/>
      <c r="H476" s="62"/>
      <c r="I476" s="62"/>
      <c r="J476" s="49">
        <f>IF(AND(ISBLANK(G476),ISBLANK(H476),ISBLANK(I476)),VLOOKUP(TEXT(D476,"TTT"),Stammdaten!$B$20:$F$26,5,FALSE),H476-G476-I476)-IF(ISERROR(VLOOKUP(D476,Stammdaten!$I$9:$J$26,2,FALSE)),0,VLOOKUP(D476,Stammdaten!$I$9:$J$26,2,FALSE)/24)</f>
        <v>0</v>
      </c>
    </row>
    <row r="477" spans="2:10" x14ac:dyDescent="0.3">
      <c r="B477" s="50" t="str">
        <f t="shared" si="16"/>
        <v/>
      </c>
      <c r="C477" s="42" t="str">
        <f t="shared" si="15"/>
        <v/>
      </c>
      <c r="D477" s="60"/>
      <c r="E477" s="63"/>
      <c r="F477" s="61"/>
      <c r="G477" s="62"/>
      <c r="H477" s="62"/>
      <c r="I477" s="62"/>
      <c r="J477" s="49">
        <f>IF(AND(ISBLANK(G477),ISBLANK(H477),ISBLANK(I477)),VLOOKUP(TEXT(D477,"TTT"),Stammdaten!$B$20:$F$26,5,FALSE),H477-G477-I477)-IF(ISERROR(VLOOKUP(D477,Stammdaten!$I$9:$J$26,2,FALSE)),0,VLOOKUP(D477,Stammdaten!$I$9:$J$26,2,FALSE)/24)</f>
        <v>0</v>
      </c>
    </row>
    <row r="478" spans="2:10" x14ac:dyDescent="0.3">
      <c r="B478" s="50" t="str">
        <f t="shared" si="16"/>
        <v/>
      </c>
      <c r="C478" s="42" t="str">
        <f t="shared" si="15"/>
        <v/>
      </c>
      <c r="D478" s="60"/>
      <c r="E478" s="63"/>
      <c r="F478" s="61"/>
      <c r="G478" s="62"/>
      <c r="H478" s="62"/>
      <c r="I478" s="62"/>
      <c r="J478" s="49">
        <f>IF(AND(ISBLANK(G478),ISBLANK(H478),ISBLANK(I478)),VLOOKUP(TEXT(D478,"TTT"),Stammdaten!$B$20:$F$26,5,FALSE),H478-G478-I478)-IF(ISERROR(VLOOKUP(D478,Stammdaten!$I$9:$J$26,2,FALSE)),0,VLOOKUP(D478,Stammdaten!$I$9:$J$26,2,FALSE)/24)</f>
        <v>0</v>
      </c>
    </row>
    <row r="479" spans="2:10" x14ac:dyDescent="0.3">
      <c r="B479" s="50" t="str">
        <f t="shared" si="16"/>
        <v/>
      </c>
      <c r="C479" s="42" t="str">
        <f t="shared" si="15"/>
        <v/>
      </c>
      <c r="D479" s="60"/>
      <c r="E479" s="63"/>
      <c r="F479" s="61"/>
      <c r="G479" s="62"/>
      <c r="H479" s="62"/>
      <c r="I479" s="62"/>
      <c r="J479" s="49">
        <f>IF(AND(ISBLANK(G479),ISBLANK(H479),ISBLANK(I479)),VLOOKUP(TEXT(D479,"TTT"),Stammdaten!$B$20:$F$26,5,FALSE),H479-G479-I479)-IF(ISERROR(VLOOKUP(D479,Stammdaten!$I$9:$J$26,2,FALSE)),0,VLOOKUP(D479,Stammdaten!$I$9:$J$26,2,FALSE)/24)</f>
        <v>0</v>
      </c>
    </row>
    <row r="480" spans="2:10" x14ac:dyDescent="0.3">
      <c r="B480" s="50" t="str">
        <f t="shared" si="16"/>
        <v/>
      </c>
      <c r="C480" s="42" t="str">
        <f t="shared" si="15"/>
        <v/>
      </c>
      <c r="D480" s="60"/>
      <c r="E480" s="63"/>
      <c r="F480" s="61"/>
      <c r="G480" s="62"/>
      <c r="H480" s="62"/>
      <c r="I480" s="62"/>
      <c r="J480" s="49">
        <f>IF(AND(ISBLANK(G480),ISBLANK(H480),ISBLANK(I480)),VLOOKUP(TEXT(D480,"TTT"),Stammdaten!$B$20:$F$26,5,FALSE),H480-G480-I480)-IF(ISERROR(VLOOKUP(D480,Stammdaten!$I$9:$J$26,2,FALSE)),0,VLOOKUP(D480,Stammdaten!$I$9:$J$26,2,FALSE)/24)</f>
        <v>0</v>
      </c>
    </row>
    <row r="481" spans="2:10" x14ac:dyDescent="0.3">
      <c r="B481" s="50" t="str">
        <f t="shared" si="16"/>
        <v/>
      </c>
      <c r="C481" s="42" t="str">
        <f t="shared" si="15"/>
        <v/>
      </c>
      <c r="D481" s="60"/>
      <c r="E481" s="63"/>
      <c r="F481" s="61"/>
      <c r="G481" s="62"/>
      <c r="H481" s="62"/>
      <c r="I481" s="62"/>
      <c r="J481" s="49">
        <f>IF(AND(ISBLANK(G481),ISBLANK(H481),ISBLANK(I481)),VLOOKUP(TEXT(D481,"TTT"),Stammdaten!$B$20:$F$26,5,FALSE),H481-G481-I481)-IF(ISERROR(VLOOKUP(D481,Stammdaten!$I$9:$J$26,2,FALSE)),0,VLOOKUP(D481,Stammdaten!$I$9:$J$26,2,FALSE)/24)</f>
        <v>0</v>
      </c>
    </row>
    <row r="482" spans="2:10" x14ac:dyDescent="0.3">
      <c r="B482" s="50" t="str">
        <f t="shared" si="16"/>
        <v/>
      </c>
      <c r="C482" s="42" t="str">
        <f t="shared" si="15"/>
        <v/>
      </c>
      <c r="D482" s="60"/>
      <c r="E482" s="63"/>
      <c r="F482" s="61"/>
      <c r="G482" s="62"/>
      <c r="H482" s="62"/>
      <c r="I482" s="62"/>
      <c r="J482" s="49">
        <f>IF(AND(ISBLANK(G482),ISBLANK(H482),ISBLANK(I482)),VLOOKUP(TEXT(D482,"TTT"),Stammdaten!$B$20:$F$26,5,FALSE),H482-G482-I482)-IF(ISERROR(VLOOKUP(D482,Stammdaten!$I$9:$J$26,2,FALSE)),0,VLOOKUP(D482,Stammdaten!$I$9:$J$26,2,FALSE)/24)</f>
        <v>0</v>
      </c>
    </row>
    <row r="483" spans="2:10" x14ac:dyDescent="0.3">
      <c r="B483" s="50" t="str">
        <f t="shared" si="16"/>
        <v/>
      </c>
      <c r="C483" s="42" t="str">
        <f t="shared" si="15"/>
        <v/>
      </c>
      <c r="D483" s="60"/>
      <c r="E483" s="63"/>
      <c r="F483" s="61"/>
      <c r="G483" s="62"/>
      <c r="H483" s="62"/>
      <c r="I483" s="62"/>
      <c r="J483" s="49">
        <f>IF(AND(ISBLANK(G483),ISBLANK(H483),ISBLANK(I483)),VLOOKUP(TEXT(D483,"TTT"),Stammdaten!$B$20:$F$26,5,FALSE),H483-G483-I483)-IF(ISERROR(VLOOKUP(D483,Stammdaten!$I$9:$J$26,2,FALSE)),0,VLOOKUP(D483,Stammdaten!$I$9:$J$26,2,FALSE)/24)</f>
        <v>0</v>
      </c>
    </row>
    <row r="484" spans="2:10" x14ac:dyDescent="0.3">
      <c r="B484" s="50" t="str">
        <f t="shared" si="16"/>
        <v/>
      </c>
      <c r="C484" s="42" t="str">
        <f t="shared" si="15"/>
        <v/>
      </c>
      <c r="D484" s="60"/>
      <c r="E484" s="63"/>
      <c r="F484" s="61"/>
      <c r="G484" s="62"/>
      <c r="H484" s="62"/>
      <c r="I484" s="62"/>
      <c r="J484" s="49">
        <f>IF(AND(ISBLANK(G484),ISBLANK(H484),ISBLANK(I484)),VLOOKUP(TEXT(D484,"TTT"),Stammdaten!$B$20:$F$26,5,FALSE),H484-G484-I484)-IF(ISERROR(VLOOKUP(D484,Stammdaten!$I$9:$J$26,2,FALSE)),0,VLOOKUP(D484,Stammdaten!$I$9:$J$26,2,FALSE)/24)</f>
        <v>0</v>
      </c>
    </row>
    <row r="485" spans="2:10" x14ac:dyDescent="0.3">
      <c r="B485" s="50" t="str">
        <f t="shared" si="16"/>
        <v/>
      </c>
      <c r="C485" s="42" t="str">
        <f t="shared" si="15"/>
        <v/>
      </c>
      <c r="D485" s="60"/>
      <c r="E485" s="63"/>
      <c r="F485" s="61"/>
      <c r="G485" s="62"/>
      <c r="H485" s="62"/>
      <c r="I485" s="62"/>
      <c r="J485" s="49">
        <f>IF(AND(ISBLANK(G485),ISBLANK(H485),ISBLANK(I485)),VLOOKUP(TEXT(D485,"TTT"),Stammdaten!$B$20:$F$26,5,FALSE),H485-G485-I485)-IF(ISERROR(VLOOKUP(D485,Stammdaten!$I$9:$J$26,2,FALSE)),0,VLOOKUP(D485,Stammdaten!$I$9:$J$26,2,FALSE)/24)</f>
        <v>0</v>
      </c>
    </row>
    <row r="486" spans="2:10" x14ac:dyDescent="0.3">
      <c r="B486" s="50" t="str">
        <f t="shared" si="16"/>
        <v/>
      </c>
      <c r="C486" s="42" t="str">
        <f t="shared" si="15"/>
        <v/>
      </c>
      <c r="D486" s="60"/>
      <c r="E486" s="63"/>
      <c r="F486" s="61"/>
      <c r="G486" s="62"/>
      <c r="H486" s="62"/>
      <c r="I486" s="62"/>
      <c r="J486" s="49">
        <f>IF(AND(ISBLANK(G486),ISBLANK(H486),ISBLANK(I486)),VLOOKUP(TEXT(D486,"TTT"),Stammdaten!$B$20:$F$26,5,FALSE),H486-G486-I486)-IF(ISERROR(VLOOKUP(D486,Stammdaten!$I$9:$J$26,2,FALSE)),0,VLOOKUP(D486,Stammdaten!$I$9:$J$26,2,FALSE)/24)</f>
        <v>0</v>
      </c>
    </row>
    <row r="487" spans="2:10" x14ac:dyDescent="0.3">
      <c r="B487" s="50" t="str">
        <f t="shared" si="16"/>
        <v/>
      </c>
      <c r="C487" s="42" t="str">
        <f t="shared" si="15"/>
        <v/>
      </c>
      <c r="D487" s="60"/>
      <c r="E487" s="63"/>
      <c r="F487" s="61"/>
      <c r="G487" s="62"/>
      <c r="H487" s="62"/>
      <c r="I487" s="62"/>
      <c r="J487" s="49">
        <f>IF(AND(ISBLANK(G487),ISBLANK(H487),ISBLANK(I487)),VLOOKUP(TEXT(D487,"TTT"),Stammdaten!$B$20:$F$26,5,FALSE),H487-G487-I487)-IF(ISERROR(VLOOKUP(D487,Stammdaten!$I$9:$J$26,2,FALSE)),0,VLOOKUP(D487,Stammdaten!$I$9:$J$26,2,FALSE)/24)</f>
        <v>0</v>
      </c>
    </row>
    <row r="488" spans="2:10" x14ac:dyDescent="0.3">
      <c r="B488" s="50" t="str">
        <f t="shared" si="16"/>
        <v/>
      </c>
      <c r="C488" s="42" t="str">
        <f t="shared" si="15"/>
        <v/>
      </c>
      <c r="D488" s="60"/>
      <c r="E488" s="63"/>
      <c r="F488" s="61"/>
      <c r="G488" s="62"/>
      <c r="H488" s="62"/>
      <c r="I488" s="62"/>
      <c r="J488" s="49">
        <f>IF(AND(ISBLANK(G488),ISBLANK(H488),ISBLANK(I488)),VLOOKUP(TEXT(D488,"TTT"),Stammdaten!$B$20:$F$26,5,FALSE),H488-G488-I488)-IF(ISERROR(VLOOKUP(D488,Stammdaten!$I$9:$J$26,2,FALSE)),0,VLOOKUP(D488,Stammdaten!$I$9:$J$26,2,FALSE)/24)</f>
        <v>0</v>
      </c>
    </row>
    <row r="489" spans="2:10" x14ac:dyDescent="0.3">
      <c r="B489" s="50" t="str">
        <f t="shared" si="16"/>
        <v/>
      </c>
      <c r="C489" s="42" t="str">
        <f t="shared" si="15"/>
        <v/>
      </c>
      <c r="D489" s="60"/>
      <c r="E489" s="63"/>
      <c r="F489" s="61"/>
      <c r="G489" s="62"/>
      <c r="H489" s="62"/>
      <c r="I489" s="62"/>
      <c r="J489" s="49">
        <f>IF(AND(ISBLANK(G489),ISBLANK(H489),ISBLANK(I489)),VLOOKUP(TEXT(D489,"TTT"),Stammdaten!$B$20:$F$26,5,FALSE),H489-G489-I489)-IF(ISERROR(VLOOKUP(D489,Stammdaten!$I$9:$J$26,2,FALSE)),0,VLOOKUP(D489,Stammdaten!$I$9:$J$26,2,FALSE)/24)</f>
        <v>0</v>
      </c>
    </row>
    <row r="490" spans="2:10" x14ac:dyDescent="0.3">
      <c r="B490" s="50" t="str">
        <f t="shared" si="16"/>
        <v/>
      </c>
      <c r="C490" s="42" t="str">
        <f t="shared" si="15"/>
        <v/>
      </c>
      <c r="D490" s="60"/>
      <c r="E490" s="63"/>
      <c r="F490" s="61"/>
      <c r="G490" s="62"/>
      <c r="H490" s="62"/>
      <c r="I490" s="62"/>
      <c r="J490" s="49">
        <f>IF(AND(ISBLANK(G490),ISBLANK(H490),ISBLANK(I490)),VLOOKUP(TEXT(D490,"TTT"),Stammdaten!$B$20:$F$26,5,FALSE),H490-G490-I490)-IF(ISERROR(VLOOKUP(D490,Stammdaten!$I$9:$J$26,2,FALSE)),0,VLOOKUP(D490,Stammdaten!$I$9:$J$26,2,FALSE)/24)</f>
        <v>0</v>
      </c>
    </row>
    <row r="491" spans="2:10" x14ac:dyDescent="0.3">
      <c r="B491" s="50" t="str">
        <f t="shared" si="16"/>
        <v/>
      </c>
      <c r="C491" s="42" t="str">
        <f t="shared" si="15"/>
        <v/>
      </c>
      <c r="D491" s="60"/>
      <c r="E491" s="63"/>
      <c r="F491" s="61"/>
      <c r="G491" s="62"/>
      <c r="H491" s="62"/>
      <c r="I491" s="62"/>
      <c r="J491" s="49">
        <f>IF(AND(ISBLANK(G491),ISBLANK(H491),ISBLANK(I491)),VLOOKUP(TEXT(D491,"TTT"),Stammdaten!$B$20:$F$26,5,FALSE),H491-G491-I491)-IF(ISERROR(VLOOKUP(D491,Stammdaten!$I$9:$J$26,2,FALSE)),0,VLOOKUP(D491,Stammdaten!$I$9:$J$26,2,FALSE)/24)</f>
        <v>0</v>
      </c>
    </row>
    <row r="492" spans="2:10" x14ac:dyDescent="0.3">
      <c r="B492" s="50" t="str">
        <f t="shared" si="16"/>
        <v/>
      </c>
      <c r="C492" s="42" t="str">
        <f t="shared" si="15"/>
        <v/>
      </c>
      <c r="D492" s="60"/>
      <c r="E492" s="63"/>
      <c r="F492" s="61"/>
      <c r="G492" s="62"/>
      <c r="H492" s="62"/>
      <c r="I492" s="62"/>
      <c r="J492" s="49">
        <f>IF(AND(ISBLANK(G492),ISBLANK(H492),ISBLANK(I492)),VLOOKUP(TEXT(D492,"TTT"),Stammdaten!$B$20:$F$26,5,FALSE),H492-G492-I492)-IF(ISERROR(VLOOKUP(D492,Stammdaten!$I$9:$J$26,2,FALSE)),0,VLOOKUP(D492,Stammdaten!$I$9:$J$26,2,FALSE)/24)</f>
        <v>0</v>
      </c>
    </row>
    <row r="493" spans="2:10" x14ac:dyDescent="0.3">
      <c r="B493" s="50" t="str">
        <f t="shared" si="16"/>
        <v/>
      </c>
      <c r="C493" s="42" t="str">
        <f t="shared" si="15"/>
        <v/>
      </c>
      <c r="D493" s="60"/>
      <c r="E493" s="63"/>
      <c r="F493" s="61"/>
      <c r="G493" s="62"/>
      <c r="H493" s="62"/>
      <c r="I493" s="62"/>
      <c r="J493" s="49">
        <f>IF(AND(ISBLANK(G493),ISBLANK(H493),ISBLANK(I493)),VLOOKUP(TEXT(D493,"TTT"),Stammdaten!$B$20:$F$26,5,FALSE),H493-G493-I493)-IF(ISERROR(VLOOKUP(D493,Stammdaten!$I$9:$J$26,2,FALSE)),0,VLOOKUP(D493,Stammdaten!$I$9:$J$26,2,FALSE)/24)</f>
        <v>0</v>
      </c>
    </row>
    <row r="494" spans="2:10" x14ac:dyDescent="0.3">
      <c r="B494" s="50" t="str">
        <f t="shared" si="16"/>
        <v/>
      </c>
      <c r="C494" s="42" t="str">
        <f t="shared" si="15"/>
        <v/>
      </c>
      <c r="D494" s="60"/>
      <c r="E494" s="63"/>
      <c r="F494" s="61"/>
      <c r="G494" s="62"/>
      <c r="H494" s="62"/>
      <c r="I494" s="62"/>
      <c r="J494" s="49">
        <f>IF(AND(ISBLANK(G494),ISBLANK(H494),ISBLANK(I494)),VLOOKUP(TEXT(D494,"TTT"),Stammdaten!$B$20:$F$26,5,FALSE),H494-G494-I494)-IF(ISERROR(VLOOKUP(D494,Stammdaten!$I$9:$J$26,2,FALSE)),0,VLOOKUP(D494,Stammdaten!$I$9:$J$26,2,FALSE)/24)</f>
        <v>0</v>
      </c>
    </row>
    <row r="495" spans="2:10" x14ac:dyDescent="0.3">
      <c r="B495" s="50" t="str">
        <f t="shared" si="16"/>
        <v/>
      </c>
      <c r="C495" s="42" t="str">
        <f t="shared" si="15"/>
        <v/>
      </c>
      <c r="D495" s="60"/>
      <c r="E495" s="63"/>
      <c r="F495" s="61"/>
      <c r="G495" s="62"/>
      <c r="H495" s="62"/>
      <c r="I495" s="62"/>
      <c r="J495" s="49">
        <f>IF(AND(ISBLANK(G495),ISBLANK(H495),ISBLANK(I495)),VLOOKUP(TEXT(D495,"TTT"),Stammdaten!$B$20:$F$26,5,FALSE),H495-G495-I495)-IF(ISERROR(VLOOKUP(D495,Stammdaten!$I$9:$J$26,2,FALSE)),0,VLOOKUP(D495,Stammdaten!$I$9:$J$26,2,FALSE)/24)</f>
        <v>0</v>
      </c>
    </row>
    <row r="496" spans="2:10" x14ac:dyDescent="0.3">
      <c r="B496" s="50" t="str">
        <f t="shared" si="16"/>
        <v/>
      </c>
      <c r="C496" s="42" t="str">
        <f t="shared" si="15"/>
        <v/>
      </c>
      <c r="D496" s="60"/>
      <c r="E496" s="63"/>
      <c r="F496" s="61"/>
      <c r="G496" s="62"/>
      <c r="H496" s="62"/>
      <c r="I496" s="62"/>
      <c r="J496" s="49">
        <f>IF(AND(ISBLANK(G496),ISBLANK(H496),ISBLANK(I496)),VLOOKUP(TEXT(D496,"TTT"),Stammdaten!$B$20:$F$26,5,FALSE),H496-G496-I496)-IF(ISERROR(VLOOKUP(D496,Stammdaten!$I$9:$J$26,2,FALSE)),0,VLOOKUP(D496,Stammdaten!$I$9:$J$26,2,FALSE)/24)</f>
        <v>0</v>
      </c>
    </row>
    <row r="497" spans="2:10" x14ac:dyDescent="0.3">
      <c r="B497" s="50" t="str">
        <f t="shared" si="16"/>
        <v/>
      </c>
      <c r="C497" s="42" t="str">
        <f t="shared" si="15"/>
        <v/>
      </c>
      <c r="D497" s="60"/>
      <c r="E497" s="63"/>
      <c r="F497" s="61"/>
      <c r="G497" s="62"/>
      <c r="H497" s="62"/>
      <c r="I497" s="62"/>
      <c r="J497" s="49">
        <f>IF(AND(ISBLANK(G497),ISBLANK(H497),ISBLANK(I497)),VLOOKUP(TEXT(D497,"TTT"),Stammdaten!$B$20:$F$26,5,FALSE),H497-G497-I497)-IF(ISERROR(VLOOKUP(D497,Stammdaten!$I$9:$J$26,2,FALSE)),0,VLOOKUP(D497,Stammdaten!$I$9:$J$26,2,FALSE)/24)</f>
        <v>0</v>
      </c>
    </row>
    <row r="498" spans="2:10" x14ac:dyDescent="0.3">
      <c r="B498" s="50" t="str">
        <f t="shared" si="16"/>
        <v/>
      </c>
      <c r="C498" s="42" t="str">
        <f t="shared" si="15"/>
        <v/>
      </c>
      <c r="D498" s="60"/>
      <c r="E498" s="63"/>
      <c r="F498" s="61"/>
      <c r="G498" s="62"/>
      <c r="H498" s="62"/>
      <c r="I498" s="62"/>
      <c r="J498" s="49">
        <f>IF(AND(ISBLANK(G498),ISBLANK(H498),ISBLANK(I498)),VLOOKUP(TEXT(D498,"TTT"),Stammdaten!$B$20:$F$26,5,FALSE),H498-G498-I498)-IF(ISERROR(VLOOKUP(D498,Stammdaten!$I$9:$J$26,2,FALSE)),0,VLOOKUP(D498,Stammdaten!$I$9:$J$26,2,FALSE)/24)</f>
        <v>0</v>
      </c>
    </row>
    <row r="499" spans="2:10" x14ac:dyDescent="0.3">
      <c r="B499" s="50" t="str">
        <f t="shared" si="16"/>
        <v/>
      </c>
      <c r="C499" s="42" t="str">
        <f t="shared" si="15"/>
        <v/>
      </c>
      <c r="D499" s="60"/>
      <c r="E499" s="63"/>
      <c r="F499" s="61"/>
      <c r="G499" s="62"/>
      <c r="H499" s="62"/>
      <c r="I499" s="62"/>
      <c r="J499" s="49">
        <f>IF(AND(ISBLANK(G499),ISBLANK(H499),ISBLANK(I499)),VLOOKUP(TEXT(D499,"TTT"),Stammdaten!$B$20:$F$26,5,FALSE),H499-G499-I499)-IF(ISERROR(VLOOKUP(D499,Stammdaten!$I$9:$J$26,2,FALSE)),0,VLOOKUP(D499,Stammdaten!$I$9:$J$26,2,FALSE)/24)</f>
        <v>0</v>
      </c>
    </row>
    <row r="500" spans="2:10" x14ac:dyDescent="0.3">
      <c r="B500" s="50" t="str">
        <f t="shared" si="16"/>
        <v/>
      </c>
      <c r="C500" s="42" t="str">
        <f t="shared" si="15"/>
        <v/>
      </c>
      <c r="D500" s="60"/>
      <c r="E500" s="63"/>
      <c r="F500" s="61"/>
      <c r="G500" s="62"/>
      <c r="H500" s="62"/>
      <c r="I500" s="62"/>
      <c r="J500" s="49">
        <f>IF(AND(ISBLANK(G500),ISBLANK(H500),ISBLANK(I500)),VLOOKUP(TEXT(D500,"TTT"),Stammdaten!$B$20:$F$26,5,FALSE),H500-G500-I500)-IF(ISERROR(VLOOKUP(D500,Stammdaten!$I$9:$J$26,2,FALSE)),0,VLOOKUP(D500,Stammdaten!$I$9:$J$26,2,FALSE)/24)</f>
        <v>0</v>
      </c>
    </row>
    <row r="501" spans="2:10" x14ac:dyDescent="0.3">
      <c r="B501" s="50" t="str">
        <f t="shared" si="16"/>
        <v/>
      </c>
      <c r="C501" s="42" t="str">
        <f t="shared" si="15"/>
        <v/>
      </c>
      <c r="D501" s="60"/>
      <c r="E501" s="63"/>
      <c r="F501" s="61"/>
      <c r="G501" s="62"/>
      <c r="H501" s="62"/>
      <c r="I501" s="62"/>
      <c r="J501" s="49">
        <f>IF(AND(ISBLANK(G501),ISBLANK(H501),ISBLANK(I501)),VLOOKUP(TEXT(D501,"TTT"),Stammdaten!$B$20:$F$26,5,FALSE),H501-G501-I501)-IF(ISERROR(VLOOKUP(D501,Stammdaten!$I$9:$J$26,2,FALSE)),0,VLOOKUP(D501,Stammdaten!$I$9:$J$26,2,FALSE)/24)</f>
        <v>0</v>
      </c>
    </row>
    <row r="502" spans="2:10" x14ac:dyDescent="0.3">
      <c r="B502" s="50" t="str">
        <f t="shared" si="16"/>
        <v/>
      </c>
      <c r="C502" s="42" t="str">
        <f t="shared" si="15"/>
        <v/>
      </c>
      <c r="D502" s="60"/>
      <c r="E502" s="63"/>
      <c r="F502" s="61"/>
      <c r="G502" s="62"/>
      <c r="H502" s="62"/>
      <c r="I502" s="62"/>
      <c r="J502" s="49">
        <f>IF(AND(ISBLANK(G502),ISBLANK(H502),ISBLANK(I502)),VLOOKUP(TEXT(D502,"TTT"),Stammdaten!$B$20:$F$26,5,FALSE),H502-G502-I502)-IF(ISERROR(VLOOKUP(D502,Stammdaten!$I$9:$J$26,2,FALSE)),0,VLOOKUP(D502,Stammdaten!$I$9:$J$26,2,FALSE)/24)</f>
        <v>0</v>
      </c>
    </row>
    <row r="503" spans="2:10" x14ac:dyDescent="0.3">
      <c r="B503" s="50" t="str">
        <f t="shared" si="16"/>
        <v/>
      </c>
      <c r="C503" s="42" t="str">
        <f t="shared" si="15"/>
        <v/>
      </c>
      <c r="D503" s="60"/>
      <c r="E503" s="63"/>
      <c r="F503" s="61"/>
      <c r="G503" s="62"/>
      <c r="H503" s="62"/>
      <c r="I503" s="62"/>
      <c r="J503" s="49">
        <f>IF(AND(ISBLANK(G503),ISBLANK(H503),ISBLANK(I503)),VLOOKUP(TEXT(D503,"TTT"),Stammdaten!$B$20:$F$26,5,FALSE),H503-G503-I503)-IF(ISERROR(VLOOKUP(D503,Stammdaten!$I$9:$J$26,2,FALSE)),0,VLOOKUP(D503,Stammdaten!$I$9:$J$26,2,FALSE)/24)</f>
        <v>0</v>
      </c>
    </row>
    <row r="504" spans="2:10" x14ac:dyDescent="0.3">
      <c r="B504" s="50" t="str">
        <f t="shared" si="16"/>
        <v/>
      </c>
      <c r="C504" s="42" t="str">
        <f t="shared" si="15"/>
        <v/>
      </c>
      <c r="D504" s="60"/>
      <c r="E504" s="63"/>
      <c r="F504" s="61"/>
      <c r="G504" s="62"/>
      <c r="H504" s="62"/>
      <c r="I504" s="62"/>
      <c r="J504" s="49">
        <f>IF(AND(ISBLANK(G504),ISBLANK(H504),ISBLANK(I504)),VLOOKUP(TEXT(D504,"TTT"),Stammdaten!$B$20:$F$26,5,FALSE),H504-G504-I504)-IF(ISERROR(VLOOKUP(D504,Stammdaten!$I$9:$J$26,2,FALSE)),0,VLOOKUP(D504,Stammdaten!$I$9:$J$26,2,FALSE)/24)</f>
        <v>0</v>
      </c>
    </row>
    <row r="505" spans="2:10" x14ac:dyDescent="0.3">
      <c r="B505" s="50" t="str">
        <f t="shared" si="16"/>
        <v/>
      </c>
      <c r="C505" s="42" t="str">
        <f t="shared" si="15"/>
        <v/>
      </c>
      <c r="D505" s="60"/>
      <c r="E505" s="63"/>
      <c r="F505" s="61"/>
      <c r="G505" s="62"/>
      <c r="H505" s="62"/>
      <c r="I505" s="62"/>
      <c r="J505" s="49">
        <f>IF(AND(ISBLANK(G505),ISBLANK(H505),ISBLANK(I505)),VLOOKUP(TEXT(D505,"TTT"),Stammdaten!$B$20:$F$26,5,FALSE),H505-G505-I505)-IF(ISERROR(VLOOKUP(D505,Stammdaten!$I$9:$J$26,2,FALSE)),0,VLOOKUP(D505,Stammdaten!$I$9:$J$26,2,FALSE)/24)</f>
        <v>0</v>
      </c>
    </row>
    <row r="506" spans="2:10" x14ac:dyDescent="0.3">
      <c r="B506" s="50" t="str">
        <f t="shared" si="16"/>
        <v/>
      </c>
      <c r="C506" s="42" t="str">
        <f t="shared" si="15"/>
        <v/>
      </c>
      <c r="D506" s="60"/>
      <c r="E506" s="63"/>
      <c r="F506" s="61"/>
      <c r="G506" s="62"/>
      <c r="H506" s="62"/>
      <c r="I506" s="62"/>
      <c r="J506" s="49">
        <f>IF(AND(ISBLANK(G506),ISBLANK(H506),ISBLANK(I506)),VLOOKUP(TEXT(D506,"TTT"),Stammdaten!$B$20:$F$26,5,FALSE),H506-G506-I506)-IF(ISERROR(VLOOKUP(D506,Stammdaten!$I$9:$J$26,2,FALSE)),0,VLOOKUP(D506,Stammdaten!$I$9:$J$26,2,FALSE)/24)</f>
        <v>0</v>
      </c>
    </row>
    <row r="507" spans="2:10" x14ac:dyDescent="0.3">
      <c r="B507" s="50" t="str">
        <f t="shared" si="16"/>
        <v/>
      </c>
      <c r="C507" s="42" t="str">
        <f t="shared" si="15"/>
        <v/>
      </c>
      <c r="D507" s="60"/>
      <c r="E507" s="63"/>
      <c r="F507" s="61"/>
      <c r="G507" s="62"/>
      <c r="H507" s="62"/>
      <c r="I507" s="62"/>
      <c r="J507" s="49">
        <f>IF(AND(ISBLANK(G507),ISBLANK(H507),ISBLANK(I507)),VLOOKUP(TEXT(D507,"TTT"),Stammdaten!$B$20:$F$26,5,FALSE),H507-G507-I507)-IF(ISERROR(VLOOKUP(D507,Stammdaten!$I$9:$J$26,2,FALSE)),0,VLOOKUP(D507,Stammdaten!$I$9:$J$26,2,FALSE)/24)</f>
        <v>0</v>
      </c>
    </row>
    <row r="508" spans="2:10" x14ac:dyDescent="0.3">
      <c r="B508" s="50" t="str">
        <f t="shared" si="16"/>
        <v/>
      </c>
      <c r="C508" s="42" t="str">
        <f t="shared" si="15"/>
        <v/>
      </c>
      <c r="D508" s="60"/>
      <c r="E508" s="63"/>
      <c r="F508" s="61"/>
      <c r="G508" s="62"/>
      <c r="H508" s="62"/>
      <c r="I508" s="62"/>
      <c r="J508" s="49">
        <f>IF(AND(ISBLANK(G508),ISBLANK(H508),ISBLANK(I508)),VLOOKUP(TEXT(D508,"TTT"),Stammdaten!$B$20:$F$26,5,FALSE),H508-G508-I508)-IF(ISERROR(VLOOKUP(D508,Stammdaten!$I$9:$J$26,2,FALSE)),0,VLOOKUP(D508,Stammdaten!$I$9:$J$26,2,FALSE)/24)</f>
        <v>0</v>
      </c>
    </row>
    <row r="509" spans="2:10" x14ac:dyDescent="0.3">
      <c r="B509" s="50" t="str">
        <f t="shared" si="16"/>
        <v/>
      </c>
      <c r="C509" s="42" t="str">
        <f t="shared" si="15"/>
        <v/>
      </c>
      <c r="D509" s="60"/>
      <c r="E509" s="63"/>
      <c r="F509" s="61"/>
      <c r="G509" s="62"/>
      <c r="H509" s="62"/>
      <c r="I509" s="62"/>
      <c r="J509" s="49">
        <f>IF(AND(ISBLANK(G509),ISBLANK(H509),ISBLANK(I509)),VLOOKUP(TEXT(D509,"TTT"),Stammdaten!$B$20:$F$26,5,FALSE),H509-G509-I509)-IF(ISERROR(VLOOKUP(D509,Stammdaten!$I$9:$J$26,2,FALSE)),0,VLOOKUP(D509,Stammdaten!$I$9:$J$26,2,FALSE)/24)</f>
        <v>0</v>
      </c>
    </row>
    <row r="510" spans="2:10" x14ac:dyDescent="0.3">
      <c r="B510" s="50" t="str">
        <f t="shared" si="16"/>
        <v/>
      </c>
      <c r="C510" s="42" t="str">
        <f t="shared" si="15"/>
        <v/>
      </c>
      <c r="D510" s="60"/>
      <c r="E510" s="63"/>
      <c r="F510" s="61"/>
      <c r="G510" s="62"/>
      <c r="H510" s="62"/>
      <c r="I510" s="62"/>
      <c r="J510" s="49">
        <f>IF(AND(ISBLANK(G510),ISBLANK(H510),ISBLANK(I510)),VLOOKUP(TEXT(D510,"TTT"),Stammdaten!$B$20:$F$26,5,FALSE),H510-G510-I510)-IF(ISERROR(VLOOKUP(D510,Stammdaten!$I$9:$J$26,2,FALSE)),0,VLOOKUP(D510,Stammdaten!$I$9:$J$26,2,FALSE)/24)</f>
        <v>0</v>
      </c>
    </row>
    <row r="511" spans="2:10" x14ac:dyDescent="0.3">
      <c r="B511" s="50" t="str">
        <f t="shared" si="16"/>
        <v/>
      </c>
      <c r="C511" s="42" t="str">
        <f t="shared" si="15"/>
        <v/>
      </c>
      <c r="D511" s="60"/>
      <c r="E511" s="63"/>
      <c r="F511" s="61"/>
      <c r="G511" s="62"/>
      <c r="H511" s="62"/>
      <c r="I511" s="62"/>
      <c r="J511" s="49">
        <f>IF(AND(ISBLANK(G511),ISBLANK(H511),ISBLANK(I511)),VLOOKUP(TEXT(D511,"TTT"),Stammdaten!$B$20:$F$26,5,FALSE),H511-G511-I511)-IF(ISERROR(VLOOKUP(D511,Stammdaten!$I$9:$J$26,2,FALSE)),0,VLOOKUP(D511,Stammdaten!$I$9:$J$26,2,FALSE)/24)</f>
        <v>0</v>
      </c>
    </row>
    <row r="512" spans="2:10" x14ac:dyDescent="0.3">
      <c r="B512" s="50" t="str">
        <f t="shared" si="16"/>
        <v/>
      </c>
      <c r="C512" s="42" t="str">
        <f t="shared" si="15"/>
        <v/>
      </c>
      <c r="D512" s="60"/>
      <c r="E512" s="63"/>
      <c r="F512" s="61"/>
      <c r="G512" s="62"/>
      <c r="H512" s="62"/>
      <c r="I512" s="62"/>
      <c r="J512" s="49">
        <f>IF(AND(ISBLANK(G512),ISBLANK(H512),ISBLANK(I512)),VLOOKUP(TEXT(D512,"TTT"),Stammdaten!$B$20:$F$26,5,FALSE),H512-G512-I512)-IF(ISERROR(VLOOKUP(D512,Stammdaten!$I$9:$J$26,2,FALSE)),0,VLOOKUP(D512,Stammdaten!$I$9:$J$26,2,FALSE)/24)</f>
        <v>0</v>
      </c>
    </row>
    <row r="513" spans="2:10" x14ac:dyDescent="0.3">
      <c r="B513" s="50" t="str">
        <f t="shared" si="16"/>
        <v/>
      </c>
      <c r="C513" s="42" t="str">
        <f t="shared" si="15"/>
        <v/>
      </c>
      <c r="D513" s="60"/>
      <c r="E513" s="63"/>
      <c r="F513" s="61"/>
      <c r="G513" s="62"/>
      <c r="H513" s="62"/>
      <c r="I513" s="62"/>
      <c r="J513" s="49">
        <f>IF(AND(ISBLANK(G513),ISBLANK(H513),ISBLANK(I513)),VLOOKUP(TEXT(D513,"TTT"),Stammdaten!$B$20:$F$26,5,FALSE),H513-G513-I513)-IF(ISERROR(VLOOKUP(D513,Stammdaten!$I$9:$J$26,2,FALSE)),0,VLOOKUP(D513,Stammdaten!$I$9:$J$26,2,FALSE)/24)</f>
        <v>0</v>
      </c>
    </row>
    <row r="514" spans="2:10" x14ac:dyDescent="0.3">
      <c r="B514" s="50" t="str">
        <f t="shared" si="16"/>
        <v/>
      </c>
      <c r="C514" s="42" t="str">
        <f t="shared" ref="C514:C577" si="17">IF(D514="","",D514)</f>
        <v/>
      </c>
      <c r="D514" s="60"/>
      <c r="E514" s="63"/>
      <c r="F514" s="61"/>
      <c r="G514" s="62"/>
      <c r="H514" s="62"/>
      <c r="I514" s="62"/>
      <c r="J514" s="49">
        <f>IF(AND(ISBLANK(G514),ISBLANK(H514),ISBLANK(I514)),VLOOKUP(TEXT(D514,"TTT"),Stammdaten!$B$20:$F$26,5,FALSE),H514-G514-I514)-IF(ISERROR(VLOOKUP(D514,Stammdaten!$I$9:$J$26,2,FALSE)),0,VLOOKUP(D514,Stammdaten!$I$9:$J$26,2,FALSE)/24)</f>
        <v>0</v>
      </c>
    </row>
    <row r="515" spans="2:10" x14ac:dyDescent="0.3">
      <c r="B515" s="50" t="str">
        <f t="shared" si="16"/>
        <v/>
      </c>
      <c r="C515" s="42" t="str">
        <f t="shared" si="17"/>
        <v/>
      </c>
      <c r="D515" s="60"/>
      <c r="E515" s="63"/>
      <c r="F515" s="61"/>
      <c r="G515" s="62"/>
      <c r="H515" s="62"/>
      <c r="I515" s="62"/>
      <c r="J515" s="49">
        <f>IF(AND(ISBLANK(G515),ISBLANK(H515),ISBLANK(I515)),VLOOKUP(TEXT(D515,"TTT"),Stammdaten!$B$20:$F$26,5,FALSE),H515-G515-I515)-IF(ISERROR(VLOOKUP(D515,Stammdaten!$I$9:$J$26,2,FALSE)),0,VLOOKUP(D515,Stammdaten!$I$9:$J$26,2,FALSE)/24)</f>
        <v>0</v>
      </c>
    </row>
    <row r="516" spans="2:10" x14ac:dyDescent="0.3">
      <c r="B516" s="50" t="str">
        <f t="shared" ref="B516:B579" si="18">IF(ISBLANK(E516),"",VLOOKUP(E516,$L$2:$M$11,2,FALSE))</f>
        <v/>
      </c>
      <c r="C516" s="42" t="str">
        <f t="shared" si="17"/>
        <v/>
      </c>
      <c r="D516" s="60"/>
      <c r="E516" s="63"/>
      <c r="F516" s="61"/>
      <c r="G516" s="62"/>
      <c r="H516" s="62"/>
      <c r="I516" s="62"/>
      <c r="J516" s="49">
        <f>IF(AND(ISBLANK(G516),ISBLANK(H516),ISBLANK(I516)),VLOOKUP(TEXT(D516,"TTT"),Stammdaten!$B$20:$F$26,5,FALSE),H516-G516-I516)-IF(ISERROR(VLOOKUP(D516,Stammdaten!$I$9:$J$26,2,FALSE)),0,VLOOKUP(D516,Stammdaten!$I$9:$J$26,2,FALSE)/24)</f>
        <v>0</v>
      </c>
    </row>
    <row r="517" spans="2:10" x14ac:dyDescent="0.3">
      <c r="B517" s="50" t="str">
        <f t="shared" si="18"/>
        <v/>
      </c>
      <c r="C517" s="42" t="str">
        <f t="shared" si="17"/>
        <v/>
      </c>
      <c r="D517" s="60"/>
      <c r="E517" s="63"/>
      <c r="F517" s="61"/>
      <c r="G517" s="62"/>
      <c r="H517" s="62"/>
      <c r="I517" s="62"/>
      <c r="J517" s="49">
        <f>IF(AND(ISBLANK(G517),ISBLANK(H517),ISBLANK(I517)),VLOOKUP(TEXT(D517,"TTT"),Stammdaten!$B$20:$F$26,5,FALSE),H517-G517-I517)-IF(ISERROR(VLOOKUP(D517,Stammdaten!$I$9:$J$26,2,FALSE)),0,VLOOKUP(D517,Stammdaten!$I$9:$J$26,2,FALSE)/24)</f>
        <v>0</v>
      </c>
    </row>
    <row r="518" spans="2:10" x14ac:dyDescent="0.3">
      <c r="B518" s="50" t="str">
        <f t="shared" si="18"/>
        <v/>
      </c>
      <c r="C518" s="42" t="str">
        <f t="shared" si="17"/>
        <v/>
      </c>
      <c r="D518" s="60"/>
      <c r="E518" s="63"/>
      <c r="F518" s="61"/>
      <c r="G518" s="62"/>
      <c r="H518" s="62"/>
      <c r="I518" s="62"/>
      <c r="J518" s="49">
        <f>IF(AND(ISBLANK(G518),ISBLANK(H518),ISBLANK(I518)),VLOOKUP(TEXT(D518,"TTT"),Stammdaten!$B$20:$F$26,5,FALSE),H518-G518-I518)-IF(ISERROR(VLOOKUP(D518,Stammdaten!$I$9:$J$26,2,FALSE)),0,VLOOKUP(D518,Stammdaten!$I$9:$J$26,2,FALSE)/24)</f>
        <v>0</v>
      </c>
    </row>
    <row r="519" spans="2:10" x14ac:dyDescent="0.3">
      <c r="B519" s="50" t="str">
        <f t="shared" si="18"/>
        <v/>
      </c>
      <c r="C519" s="42" t="str">
        <f t="shared" si="17"/>
        <v/>
      </c>
      <c r="D519" s="60"/>
      <c r="E519" s="63"/>
      <c r="F519" s="61"/>
      <c r="G519" s="62"/>
      <c r="H519" s="62"/>
      <c r="I519" s="62"/>
      <c r="J519" s="49">
        <f>IF(AND(ISBLANK(G519),ISBLANK(H519),ISBLANK(I519)),VLOOKUP(TEXT(D519,"TTT"),Stammdaten!$B$20:$F$26,5,FALSE),H519-G519-I519)-IF(ISERROR(VLOOKUP(D519,Stammdaten!$I$9:$J$26,2,FALSE)),0,VLOOKUP(D519,Stammdaten!$I$9:$J$26,2,FALSE)/24)</f>
        <v>0</v>
      </c>
    </row>
    <row r="520" spans="2:10" x14ac:dyDescent="0.3">
      <c r="B520" s="50" t="str">
        <f t="shared" si="18"/>
        <v/>
      </c>
      <c r="C520" s="42" t="str">
        <f t="shared" si="17"/>
        <v/>
      </c>
      <c r="D520" s="60"/>
      <c r="E520" s="63"/>
      <c r="F520" s="61"/>
      <c r="G520" s="62"/>
      <c r="H520" s="62"/>
      <c r="I520" s="62"/>
      <c r="J520" s="49">
        <f>IF(AND(ISBLANK(G520),ISBLANK(H520),ISBLANK(I520)),VLOOKUP(TEXT(D520,"TTT"),Stammdaten!$B$20:$F$26,5,FALSE),H520-G520-I520)-IF(ISERROR(VLOOKUP(D520,Stammdaten!$I$9:$J$26,2,FALSE)),0,VLOOKUP(D520,Stammdaten!$I$9:$J$26,2,FALSE)/24)</f>
        <v>0</v>
      </c>
    </row>
    <row r="521" spans="2:10" x14ac:dyDescent="0.3">
      <c r="B521" s="50" t="str">
        <f t="shared" si="18"/>
        <v/>
      </c>
      <c r="C521" s="42" t="str">
        <f t="shared" si="17"/>
        <v/>
      </c>
      <c r="D521" s="60"/>
      <c r="E521" s="63"/>
      <c r="F521" s="61"/>
      <c r="G521" s="62"/>
      <c r="H521" s="62"/>
      <c r="I521" s="62"/>
      <c r="J521" s="49">
        <f>IF(AND(ISBLANK(G521),ISBLANK(H521),ISBLANK(I521)),VLOOKUP(TEXT(D521,"TTT"),Stammdaten!$B$20:$F$26,5,FALSE),H521-G521-I521)-IF(ISERROR(VLOOKUP(D521,Stammdaten!$I$9:$J$26,2,FALSE)),0,VLOOKUP(D521,Stammdaten!$I$9:$J$26,2,FALSE)/24)</f>
        <v>0</v>
      </c>
    </row>
    <row r="522" spans="2:10" x14ac:dyDescent="0.3">
      <c r="B522" s="50" t="str">
        <f t="shared" si="18"/>
        <v/>
      </c>
      <c r="C522" s="42" t="str">
        <f t="shared" si="17"/>
        <v/>
      </c>
      <c r="D522" s="60"/>
      <c r="E522" s="63"/>
      <c r="F522" s="61"/>
      <c r="G522" s="62"/>
      <c r="H522" s="62"/>
      <c r="I522" s="62"/>
      <c r="J522" s="49">
        <f>IF(AND(ISBLANK(G522),ISBLANK(H522),ISBLANK(I522)),VLOOKUP(TEXT(D522,"TTT"),Stammdaten!$B$20:$F$26,5,FALSE),H522-G522-I522)-IF(ISERROR(VLOOKUP(D522,Stammdaten!$I$9:$J$26,2,FALSE)),0,VLOOKUP(D522,Stammdaten!$I$9:$J$26,2,FALSE)/24)</f>
        <v>0</v>
      </c>
    </row>
    <row r="523" spans="2:10" x14ac:dyDescent="0.3">
      <c r="B523" s="50" t="str">
        <f t="shared" si="18"/>
        <v/>
      </c>
      <c r="C523" s="42" t="str">
        <f t="shared" si="17"/>
        <v/>
      </c>
      <c r="D523" s="60"/>
      <c r="E523" s="63"/>
      <c r="F523" s="61"/>
      <c r="G523" s="62"/>
      <c r="H523" s="62"/>
      <c r="I523" s="62"/>
      <c r="J523" s="49">
        <f>IF(AND(ISBLANK(G523),ISBLANK(H523),ISBLANK(I523)),VLOOKUP(TEXT(D523,"TTT"),Stammdaten!$B$20:$F$26,5,FALSE),H523-G523-I523)-IF(ISERROR(VLOOKUP(D523,Stammdaten!$I$9:$J$26,2,FALSE)),0,VLOOKUP(D523,Stammdaten!$I$9:$J$26,2,FALSE)/24)</f>
        <v>0</v>
      </c>
    </row>
    <row r="524" spans="2:10" x14ac:dyDescent="0.3">
      <c r="B524" s="50" t="str">
        <f t="shared" si="18"/>
        <v/>
      </c>
      <c r="C524" s="42" t="str">
        <f t="shared" si="17"/>
        <v/>
      </c>
      <c r="D524" s="60"/>
      <c r="E524" s="63"/>
      <c r="F524" s="61"/>
      <c r="G524" s="62"/>
      <c r="H524" s="62"/>
      <c r="I524" s="62"/>
      <c r="J524" s="49">
        <f>IF(AND(ISBLANK(G524),ISBLANK(H524),ISBLANK(I524)),VLOOKUP(TEXT(D524,"TTT"),Stammdaten!$B$20:$F$26,5,FALSE),H524-G524-I524)-IF(ISERROR(VLOOKUP(D524,Stammdaten!$I$9:$J$26,2,FALSE)),0,VLOOKUP(D524,Stammdaten!$I$9:$J$26,2,FALSE)/24)</f>
        <v>0</v>
      </c>
    </row>
    <row r="525" spans="2:10" x14ac:dyDescent="0.3">
      <c r="B525" s="50" t="str">
        <f t="shared" si="18"/>
        <v/>
      </c>
      <c r="C525" s="42" t="str">
        <f t="shared" si="17"/>
        <v/>
      </c>
      <c r="D525" s="60"/>
      <c r="E525" s="63"/>
      <c r="F525" s="61"/>
      <c r="G525" s="62"/>
      <c r="H525" s="62"/>
      <c r="I525" s="62"/>
      <c r="J525" s="49">
        <f>IF(AND(ISBLANK(G525),ISBLANK(H525),ISBLANK(I525)),VLOOKUP(TEXT(D525,"TTT"),Stammdaten!$B$20:$F$26,5,FALSE),H525-G525-I525)-IF(ISERROR(VLOOKUP(D525,Stammdaten!$I$9:$J$26,2,FALSE)),0,VLOOKUP(D525,Stammdaten!$I$9:$J$26,2,FALSE)/24)</f>
        <v>0</v>
      </c>
    </row>
    <row r="526" spans="2:10" x14ac:dyDescent="0.3">
      <c r="B526" s="50" t="str">
        <f t="shared" si="18"/>
        <v/>
      </c>
      <c r="C526" s="42" t="str">
        <f t="shared" si="17"/>
        <v/>
      </c>
      <c r="D526" s="60"/>
      <c r="E526" s="63"/>
      <c r="F526" s="61"/>
      <c r="G526" s="62"/>
      <c r="H526" s="62"/>
      <c r="I526" s="62"/>
      <c r="J526" s="49">
        <f>IF(AND(ISBLANK(G526),ISBLANK(H526),ISBLANK(I526)),VLOOKUP(TEXT(D526,"TTT"),Stammdaten!$B$20:$F$26,5,FALSE),H526-G526-I526)-IF(ISERROR(VLOOKUP(D526,Stammdaten!$I$9:$J$26,2,FALSE)),0,VLOOKUP(D526,Stammdaten!$I$9:$J$26,2,FALSE)/24)</f>
        <v>0</v>
      </c>
    </row>
    <row r="527" spans="2:10" x14ac:dyDescent="0.3">
      <c r="B527" s="50" t="str">
        <f t="shared" si="18"/>
        <v/>
      </c>
      <c r="C527" s="42" t="str">
        <f t="shared" si="17"/>
        <v/>
      </c>
      <c r="D527" s="60"/>
      <c r="E527" s="63"/>
      <c r="F527" s="61"/>
      <c r="G527" s="62"/>
      <c r="H527" s="62"/>
      <c r="I527" s="62"/>
      <c r="J527" s="49">
        <f>IF(AND(ISBLANK(G527),ISBLANK(H527),ISBLANK(I527)),VLOOKUP(TEXT(D527,"TTT"),Stammdaten!$B$20:$F$26,5,FALSE),H527-G527-I527)-IF(ISERROR(VLOOKUP(D527,Stammdaten!$I$9:$J$26,2,FALSE)),0,VLOOKUP(D527,Stammdaten!$I$9:$J$26,2,FALSE)/24)</f>
        <v>0</v>
      </c>
    </row>
    <row r="528" spans="2:10" x14ac:dyDescent="0.3">
      <c r="B528" s="50" t="str">
        <f t="shared" si="18"/>
        <v/>
      </c>
      <c r="C528" s="42" t="str">
        <f t="shared" si="17"/>
        <v/>
      </c>
      <c r="D528" s="60"/>
      <c r="E528" s="63"/>
      <c r="F528" s="61"/>
      <c r="G528" s="62"/>
      <c r="H528" s="62"/>
      <c r="I528" s="62"/>
      <c r="J528" s="49">
        <f>IF(AND(ISBLANK(G528),ISBLANK(H528),ISBLANK(I528)),VLOOKUP(TEXT(D528,"TTT"),Stammdaten!$B$20:$F$26,5,FALSE),H528-G528-I528)-IF(ISERROR(VLOOKUP(D528,Stammdaten!$I$9:$J$26,2,FALSE)),0,VLOOKUP(D528,Stammdaten!$I$9:$J$26,2,FALSE)/24)</f>
        <v>0</v>
      </c>
    </row>
    <row r="529" spans="2:10" x14ac:dyDescent="0.3">
      <c r="B529" s="50" t="str">
        <f t="shared" si="18"/>
        <v/>
      </c>
      <c r="C529" s="42" t="str">
        <f t="shared" si="17"/>
        <v/>
      </c>
      <c r="D529" s="60"/>
      <c r="E529" s="63"/>
      <c r="F529" s="61"/>
      <c r="G529" s="62"/>
      <c r="H529" s="62"/>
      <c r="I529" s="62"/>
      <c r="J529" s="49">
        <f>IF(AND(ISBLANK(G529),ISBLANK(H529),ISBLANK(I529)),VLOOKUP(TEXT(D529,"TTT"),Stammdaten!$B$20:$F$26,5,FALSE),H529-G529-I529)-IF(ISERROR(VLOOKUP(D529,Stammdaten!$I$9:$J$26,2,FALSE)),0,VLOOKUP(D529,Stammdaten!$I$9:$J$26,2,FALSE)/24)</f>
        <v>0</v>
      </c>
    </row>
    <row r="530" spans="2:10" x14ac:dyDescent="0.3">
      <c r="B530" s="50" t="str">
        <f t="shared" si="18"/>
        <v/>
      </c>
      <c r="C530" s="42" t="str">
        <f t="shared" si="17"/>
        <v/>
      </c>
      <c r="D530" s="60"/>
      <c r="E530" s="63"/>
      <c r="F530" s="61"/>
      <c r="G530" s="62"/>
      <c r="H530" s="62"/>
      <c r="I530" s="62"/>
      <c r="J530" s="49">
        <f>IF(AND(ISBLANK(G530),ISBLANK(H530),ISBLANK(I530)),VLOOKUP(TEXT(D530,"TTT"),Stammdaten!$B$20:$F$26,5,FALSE),H530-G530-I530)-IF(ISERROR(VLOOKUP(D530,Stammdaten!$I$9:$J$26,2,FALSE)),0,VLOOKUP(D530,Stammdaten!$I$9:$J$26,2,FALSE)/24)</f>
        <v>0</v>
      </c>
    </row>
    <row r="531" spans="2:10" x14ac:dyDescent="0.3">
      <c r="B531" s="50" t="str">
        <f t="shared" si="18"/>
        <v/>
      </c>
      <c r="C531" s="42" t="str">
        <f t="shared" si="17"/>
        <v/>
      </c>
      <c r="D531" s="60"/>
      <c r="E531" s="63"/>
      <c r="F531" s="61"/>
      <c r="G531" s="62"/>
      <c r="H531" s="62"/>
      <c r="I531" s="62"/>
      <c r="J531" s="49">
        <f>IF(AND(ISBLANK(G531),ISBLANK(H531),ISBLANK(I531)),VLOOKUP(TEXT(D531,"TTT"),Stammdaten!$B$20:$F$26,5,FALSE),H531-G531-I531)-IF(ISERROR(VLOOKUP(D531,Stammdaten!$I$9:$J$26,2,FALSE)),0,VLOOKUP(D531,Stammdaten!$I$9:$J$26,2,FALSE)/24)</f>
        <v>0</v>
      </c>
    </row>
    <row r="532" spans="2:10" x14ac:dyDescent="0.3">
      <c r="B532" s="50" t="str">
        <f t="shared" si="18"/>
        <v/>
      </c>
      <c r="C532" s="42" t="str">
        <f t="shared" si="17"/>
        <v/>
      </c>
      <c r="D532" s="60"/>
      <c r="E532" s="63"/>
      <c r="F532" s="61"/>
      <c r="G532" s="62"/>
      <c r="H532" s="62"/>
      <c r="I532" s="62"/>
      <c r="J532" s="49">
        <f>IF(AND(ISBLANK(G532),ISBLANK(H532),ISBLANK(I532)),VLOOKUP(TEXT(D532,"TTT"),Stammdaten!$B$20:$F$26,5,FALSE),H532-G532-I532)-IF(ISERROR(VLOOKUP(D532,Stammdaten!$I$9:$J$26,2,FALSE)),0,VLOOKUP(D532,Stammdaten!$I$9:$J$26,2,FALSE)/24)</f>
        <v>0</v>
      </c>
    </row>
    <row r="533" spans="2:10" x14ac:dyDescent="0.3">
      <c r="B533" s="50" t="str">
        <f t="shared" si="18"/>
        <v/>
      </c>
      <c r="C533" s="42" t="str">
        <f t="shared" si="17"/>
        <v/>
      </c>
      <c r="D533" s="60"/>
      <c r="E533" s="63"/>
      <c r="F533" s="61"/>
      <c r="G533" s="62"/>
      <c r="H533" s="62"/>
      <c r="I533" s="62"/>
      <c r="J533" s="49">
        <f>IF(AND(ISBLANK(G533),ISBLANK(H533),ISBLANK(I533)),VLOOKUP(TEXT(D533,"TTT"),Stammdaten!$B$20:$F$26,5,FALSE),H533-G533-I533)-IF(ISERROR(VLOOKUP(D533,Stammdaten!$I$9:$J$26,2,FALSE)),0,VLOOKUP(D533,Stammdaten!$I$9:$J$26,2,FALSE)/24)</f>
        <v>0</v>
      </c>
    </row>
    <row r="534" spans="2:10" x14ac:dyDescent="0.3">
      <c r="B534" s="50" t="str">
        <f t="shared" si="18"/>
        <v/>
      </c>
      <c r="C534" s="42" t="str">
        <f t="shared" si="17"/>
        <v/>
      </c>
      <c r="D534" s="60"/>
      <c r="E534" s="63"/>
      <c r="F534" s="61"/>
      <c r="G534" s="62"/>
      <c r="H534" s="62"/>
      <c r="I534" s="62"/>
      <c r="J534" s="49">
        <f>IF(AND(ISBLANK(G534),ISBLANK(H534),ISBLANK(I534)),VLOOKUP(TEXT(D534,"TTT"),Stammdaten!$B$20:$F$26,5,FALSE),H534-G534-I534)-IF(ISERROR(VLOOKUP(D534,Stammdaten!$I$9:$J$26,2,FALSE)),0,VLOOKUP(D534,Stammdaten!$I$9:$J$26,2,FALSE)/24)</f>
        <v>0</v>
      </c>
    </row>
    <row r="535" spans="2:10" x14ac:dyDescent="0.3">
      <c r="B535" s="50" t="str">
        <f t="shared" si="18"/>
        <v/>
      </c>
      <c r="C535" s="42" t="str">
        <f t="shared" si="17"/>
        <v/>
      </c>
      <c r="D535" s="60"/>
      <c r="E535" s="63"/>
      <c r="F535" s="61"/>
      <c r="G535" s="62"/>
      <c r="H535" s="62"/>
      <c r="I535" s="62"/>
      <c r="J535" s="49">
        <f>IF(AND(ISBLANK(G535),ISBLANK(H535),ISBLANK(I535)),VLOOKUP(TEXT(D535,"TTT"),Stammdaten!$B$20:$F$26,5,FALSE),H535-G535-I535)-IF(ISERROR(VLOOKUP(D535,Stammdaten!$I$9:$J$26,2,FALSE)),0,VLOOKUP(D535,Stammdaten!$I$9:$J$26,2,FALSE)/24)</f>
        <v>0</v>
      </c>
    </row>
    <row r="536" spans="2:10" x14ac:dyDescent="0.3">
      <c r="B536" s="50" t="str">
        <f t="shared" si="18"/>
        <v/>
      </c>
      <c r="C536" s="42" t="str">
        <f t="shared" si="17"/>
        <v/>
      </c>
      <c r="D536" s="60"/>
      <c r="E536" s="63"/>
      <c r="F536" s="61"/>
      <c r="G536" s="62"/>
      <c r="H536" s="62"/>
      <c r="I536" s="62"/>
      <c r="J536" s="49">
        <f>IF(AND(ISBLANK(G536),ISBLANK(H536),ISBLANK(I536)),VLOOKUP(TEXT(D536,"TTT"),Stammdaten!$B$20:$F$26,5,FALSE),H536-G536-I536)-IF(ISERROR(VLOOKUP(D536,Stammdaten!$I$9:$J$26,2,FALSE)),0,VLOOKUP(D536,Stammdaten!$I$9:$J$26,2,FALSE)/24)</f>
        <v>0</v>
      </c>
    </row>
    <row r="537" spans="2:10" x14ac:dyDescent="0.3">
      <c r="B537" s="50" t="str">
        <f t="shared" si="18"/>
        <v/>
      </c>
      <c r="C537" s="42" t="str">
        <f t="shared" si="17"/>
        <v/>
      </c>
      <c r="D537" s="60"/>
      <c r="E537" s="63"/>
      <c r="F537" s="61"/>
      <c r="G537" s="62"/>
      <c r="H537" s="62"/>
      <c r="I537" s="62"/>
      <c r="J537" s="49">
        <f>IF(AND(ISBLANK(G537),ISBLANK(H537),ISBLANK(I537)),VLOOKUP(TEXT(D537,"TTT"),Stammdaten!$B$20:$F$26,5,FALSE),H537-G537-I537)-IF(ISERROR(VLOOKUP(D537,Stammdaten!$I$9:$J$26,2,FALSE)),0,VLOOKUP(D537,Stammdaten!$I$9:$J$26,2,FALSE)/24)</f>
        <v>0</v>
      </c>
    </row>
    <row r="538" spans="2:10" x14ac:dyDescent="0.3">
      <c r="B538" s="50" t="str">
        <f t="shared" si="18"/>
        <v/>
      </c>
      <c r="C538" s="42" t="str">
        <f t="shared" si="17"/>
        <v/>
      </c>
      <c r="D538" s="60"/>
      <c r="E538" s="63"/>
      <c r="F538" s="61"/>
      <c r="G538" s="62"/>
      <c r="H538" s="62"/>
      <c r="I538" s="62"/>
      <c r="J538" s="49">
        <f>IF(AND(ISBLANK(G538),ISBLANK(H538),ISBLANK(I538)),VLOOKUP(TEXT(D538,"TTT"),Stammdaten!$B$20:$F$26,5,FALSE),H538-G538-I538)-IF(ISERROR(VLOOKUP(D538,Stammdaten!$I$9:$J$26,2,FALSE)),0,VLOOKUP(D538,Stammdaten!$I$9:$J$26,2,FALSE)/24)</f>
        <v>0</v>
      </c>
    </row>
    <row r="539" spans="2:10" x14ac:dyDescent="0.3">
      <c r="B539" s="50" t="str">
        <f t="shared" si="18"/>
        <v/>
      </c>
      <c r="C539" s="42" t="str">
        <f t="shared" si="17"/>
        <v/>
      </c>
      <c r="D539" s="60"/>
      <c r="E539" s="63"/>
      <c r="F539" s="61"/>
      <c r="G539" s="62"/>
      <c r="H539" s="62"/>
      <c r="I539" s="62"/>
      <c r="J539" s="49">
        <f>IF(AND(ISBLANK(G539),ISBLANK(H539),ISBLANK(I539)),VLOOKUP(TEXT(D539,"TTT"),Stammdaten!$B$20:$F$26,5,FALSE),H539-G539-I539)-IF(ISERROR(VLOOKUP(D539,Stammdaten!$I$9:$J$26,2,FALSE)),0,VLOOKUP(D539,Stammdaten!$I$9:$J$26,2,FALSE)/24)</f>
        <v>0</v>
      </c>
    </row>
    <row r="540" spans="2:10" x14ac:dyDescent="0.3">
      <c r="B540" s="50" t="str">
        <f t="shared" si="18"/>
        <v/>
      </c>
      <c r="C540" s="42" t="str">
        <f t="shared" si="17"/>
        <v/>
      </c>
      <c r="D540" s="60"/>
      <c r="E540" s="63"/>
      <c r="F540" s="61"/>
      <c r="G540" s="62"/>
      <c r="H540" s="62"/>
      <c r="I540" s="62"/>
      <c r="J540" s="49">
        <f>IF(AND(ISBLANK(G540),ISBLANK(H540),ISBLANK(I540)),VLOOKUP(TEXT(D540,"TTT"),Stammdaten!$B$20:$F$26,5,FALSE),H540-G540-I540)-IF(ISERROR(VLOOKUP(D540,Stammdaten!$I$9:$J$26,2,FALSE)),0,VLOOKUP(D540,Stammdaten!$I$9:$J$26,2,FALSE)/24)</f>
        <v>0</v>
      </c>
    </row>
    <row r="541" spans="2:10" x14ac:dyDescent="0.3">
      <c r="B541" s="50" t="str">
        <f t="shared" si="18"/>
        <v/>
      </c>
      <c r="C541" s="42" t="str">
        <f t="shared" si="17"/>
        <v/>
      </c>
      <c r="D541" s="60"/>
      <c r="E541" s="63"/>
      <c r="F541" s="61"/>
      <c r="G541" s="62"/>
      <c r="H541" s="62"/>
      <c r="I541" s="62"/>
      <c r="J541" s="49">
        <f>IF(AND(ISBLANK(G541),ISBLANK(H541),ISBLANK(I541)),VLOOKUP(TEXT(D541,"TTT"),Stammdaten!$B$20:$F$26,5,FALSE),H541-G541-I541)-IF(ISERROR(VLOOKUP(D541,Stammdaten!$I$9:$J$26,2,FALSE)),0,VLOOKUP(D541,Stammdaten!$I$9:$J$26,2,FALSE)/24)</f>
        <v>0</v>
      </c>
    </row>
    <row r="542" spans="2:10" x14ac:dyDescent="0.3">
      <c r="B542" s="50" t="str">
        <f t="shared" si="18"/>
        <v/>
      </c>
      <c r="C542" s="42" t="str">
        <f t="shared" si="17"/>
        <v/>
      </c>
      <c r="D542" s="60"/>
      <c r="E542" s="63"/>
      <c r="F542" s="61"/>
      <c r="G542" s="62"/>
      <c r="H542" s="62"/>
      <c r="I542" s="62"/>
      <c r="J542" s="49">
        <f>IF(AND(ISBLANK(G542),ISBLANK(H542),ISBLANK(I542)),VLOOKUP(TEXT(D542,"TTT"),Stammdaten!$B$20:$F$26,5,FALSE),H542-G542-I542)-IF(ISERROR(VLOOKUP(D542,Stammdaten!$I$9:$J$26,2,FALSE)),0,VLOOKUP(D542,Stammdaten!$I$9:$J$26,2,FALSE)/24)</f>
        <v>0</v>
      </c>
    </row>
    <row r="543" spans="2:10" x14ac:dyDescent="0.3">
      <c r="B543" s="50" t="str">
        <f t="shared" si="18"/>
        <v/>
      </c>
      <c r="C543" s="42" t="str">
        <f t="shared" si="17"/>
        <v/>
      </c>
      <c r="D543" s="60"/>
      <c r="E543" s="63"/>
      <c r="F543" s="61"/>
      <c r="G543" s="62"/>
      <c r="H543" s="62"/>
      <c r="I543" s="62"/>
      <c r="J543" s="49">
        <f>IF(AND(ISBLANK(G543),ISBLANK(H543),ISBLANK(I543)),VLOOKUP(TEXT(D543,"TTT"),Stammdaten!$B$20:$F$26,5,FALSE),H543-G543-I543)-IF(ISERROR(VLOOKUP(D543,Stammdaten!$I$9:$J$26,2,FALSE)),0,VLOOKUP(D543,Stammdaten!$I$9:$J$26,2,FALSE)/24)</f>
        <v>0</v>
      </c>
    </row>
    <row r="544" spans="2:10" x14ac:dyDescent="0.3">
      <c r="B544" s="50" t="str">
        <f t="shared" si="18"/>
        <v/>
      </c>
      <c r="C544" s="42" t="str">
        <f t="shared" si="17"/>
        <v/>
      </c>
      <c r="D544" s="60"/>
      <c r="E544" s="63"/>
      <c r="F544" s="61"/>
      <c r="G544" s="62"/>
      <c r="H544" s="62"/>
      <c r="I544" s="62"/>
      <c r="J544" s="49">
        <f>IF(AND(ISBLANK(G544),ISBLANK(H544),ISBLANK(I544)),VLOOKUP(TEXT(D544,"TTT"),Stammdaten!$B$20:$F$26,5,FALSE),H544-G544-I544)-IF(ISERROR(VLOOKUP(D544,Stammdaten!$I$9:$J$26,2,FALSE)),0,VLOOKUP(D544,Stammdaten!$I$9:$J$26,2,FALSE)/24)</f>
        <v>0</v>
      </c>
    </row>
    <row r="545" spans="2:10" x14ac:dyDescent="0.3">
      <c r="B545" s="50" t="str">
        <f t="shared" si="18"/>
        <v/>
      </c>
      <c r="C545" s="42" t="str">
        <f t="shared" si="17"/>
        <v/>
      </c>
      <c r="D545" s="60"/>
      <c r="E545" s="63"/>
      <c r="F545" s="61"/>
      <c r="G545" s="62"/>
      <c r="H545" s="62"/>
      <c r="I545" s="62"/>
      <c r="J545" s="49">
        <f>IF(AND(ISBLANK(G545),ISBLANK(H545),ISBLANK(I545)),VLOOKUP(TEXT(D545,"TTT"),Stammdaten!$B$20:$F$26,5,FALSE),H545-G545-I545)-IF(ISERROR(VLOOKUP(D545,Stammdaten!$I$9:$J$26,2,FALSE)),0,VLOOKUP(D545,Stammdaten!$I$9:$J$26,2,FALSE)/24)</f>
        <v>0</v>
      </c>
    </row>
    <row r="546" spans="2:10" x14ac:dyDescent="0.3">
      <c r="B546" s="50" t="str">
        <f t="shared" si="18"/>
        <v/>
      </c>
      <c r="C546" s="42" t="str">
        <f t="shared" si="17"/>
        <v/>
      </c>
      <c r="D546" s="60"/>
      <c r="E546" s="63"/>
      <c r="F546" s="61"/>
      <c r="G546" s="62"/>
      <c r="H546" s="62"/>
      <c r="I546" s="62"/>
      <c r="J546" s="49">
        <f>IF(AND(ISBLANK(G546),ISBLANK(H546),ISBLANK(I546)),VLOOKUP(TEXT(D546,"TTT"),Stammdaten!$B$20:$F$26,5,FALSE),H546-G546-I546)-IF(ISERROR(VLOOKUP(D546,Stammdaten!$I$9:$J$26,2,FALSE)),0,VLOOKUP(D546,Stammdaten!$I$9:$J$26,2,FALSE)/24)</f>
        <v>0</v>
      </c>
    </row>
    <row r="547" spans="2:10" x14ac:dyDescent="0.3">
      <c r="B547" s="50" t="str">
        <f t="shared" si="18"/>
        <v/>
      </c>
      <c r="C547" s="42" t="str">
        <f t="shared" si="17"/>
        <v/>
      </c>
      <c r="D547" s="60"/>
      <c r="E547" s="63"/>
      <c r="F547" s="61"/>
      <c r="G547" s="62"/>
      <c r="H547" s="62"/>
      <c r="I547" s="62"/>
      <c r="J547" s="49">
        <f>IF(AND(ISBLANK(G547),ISBLANK(H547),ISBLANK(I547)),VLOOKUP(TEXT(D547,"TTT"),Stammdaten!$B$20:$F$26,5,FALSE),H547-G547-I547)-IF(ISERROR(VLOOKUP(D547,Stammdaten!$I$9:$J$26,2,FALSE)),0,VLOOKUP(D547,Stammdaten!$I$9:$J$26,2,FALSE)/24)</f>
        <v>0</v>
      </c>
    </row>
    <row r="548" spans="2:10" x14ac:dyDescent="0.3">
      <c r="B548" s="50" t="str">
        <f t="shared" si="18"/>
        <v/>
      </c>
      <c r="C548" s="42" t="str">
        <f t="shared" si="17"/>
        <v/>
      </c>
      <c r="D548" s="60"/>
      <c r="E548" s="63"/>
      <c r="F548" s="61"/>
      <c r="G548" s="62"/>
      <c r="H548" s="62"/>
      <c r="I548" s="62"/>
      <c r="J548" s="49">
        <f>IF(AND(ISBLANK(G548),ISBLANK(H548),ISBLANK(I548)),VLOOKUP(TEXT(D548,"TTT"),Stammdaten!$B$20:$F$26,5,FALSE),H548-G548-I548)-IF(ISERROR(VLOOKUP(D548,Stammdaten!$I$9:$J$26,2,FALSE)),0,VLOOKUP(D548,Stammdaten!$I$9:$J$26,2,FALSE)/24)</f>
        <v>0</v>
      </c>
    </row>
    <row r="549" spans="2:10" x14ac:dyDescent="0.3">
      <c r="B549" s="50" t="str">
        <f t="shared" si="18"/>
        <v/>
      </c>
      <c r="C549" s="42" t="str">
        <f t="shared" si="17"/>
        <v/>
      </c>
      <c r="D549" s="60"/>
      <c r="E549" s="63"/>
      <c r="F549" s="61"/>
      <c r="G549" s="62"/>
      <c r="H549" s="62"/>
      <c r="I549" s="62"/>
      <c r="J549" s="49">
        <f>IF(AND(ISBLANK(G549),ISBLANK(H549),ISBLANK(I549)),VLOOKUP(TEXT(D549,"TTT"),Stammdaten!$B$20:$F$26,5,FALSE),H549-G549-I549)-IF(ISERROR(VLOOKUP(D549,Stammdaten!$I$9:$J$26,2,FALSE)),0,VLOOKUP(D549,Stammdaten!$I$9:$J$26,2,FALSE)/24)</f>
        <v>0</v>
      </c>
    </row>
    <row r="550" spans="2:10" x14ac:dyDescent="0.3">
      <c r="B550" s="50" t="str">
        <f t="shared" si="18"/>
        <v/>
      </c>
      <c r="C550" s="42" t="str">
        <f t="shared" si="17"/>
        <v/>
      </c>
      <c r="D550" s="60"/>
      <c r="E550" s="63"/>
      <c r="F550" s="61"/>
      <c r="G550" s="62"/>
      <c r="H550" s="62"/>
      <c r="I550" s="62"/>
      <c r="J550" s="49">
        <f>IF(AND(ISBLANK(G550),ISBLANK(H550),ISBLANK(I550)),VLOOKUP(TEXT(D550,"TTT"),Stammdaten!$B$20:$F$26,5,FALSE),H550-G550-I550)-IF(ISERROR(VLOOKUP(D550,Stammdaten!$I$9:$J$26,2,FALSE)),0,VLOOKUP(D550,Stammdaten!$I$9:$J$26,2,FALSE)/24)</f>
        <v>0</v>
      </c>
    </row>
    <row r="551" spans="2:10" x14ac:dyDescent="0.3">
      <c r="B551" s="50" t="str">
        <f t="shared" si="18"/>
        <v/>
      </c>
      <c r="C551" s="42" t="str">
        <f t="shared" si="17"/>
        <v/>
      </c>
      <c r="D551" s="60"/>
      <c r="E551" s="63"/>
      <c r="F551" s="61"/>
      <c r="G551" s="62"/>
      <c r="H551" s="62"/>
      <c r="I551" s="62"/>
      <c r="J551" s="49">
        <f>IF(AND(ISBLANK(G551),ISBLANK(H551),ISBLANK(I551)),VLOOKUP(TEXT(D551,"TTT"),Stammdaten!$B$20:$F$26,5,FALSE),H551-G551-I551)-IF(ISERROR(VLOOKUP(D551,Stammdaten!$I$9:$J$26,2,FALSE)),0,VLOOKUP(D551,Stammdaten!$I$9:$J$26,2,FALSE)/24)</f>
        <v>0</v>
      </c>
    </row>
    <row r="552" spans="2:10" x14ac:dyDescent="0.3">
      <c r="B552" s="50" t="str">
        <f t="shared" si="18"/>
        <v/>
      </c>
      <c r="C552" s="42" t="str">
        <f t="shared" si="17"/>
        <v/>
      </c>
      <c r="D552" s="60"/>
      <c r="E552" s="63"/>
      <c r="F552" s="61"/>
      <c r="G552" s="62"/>
      <c r="H552" s="62"/>
      <c r="I552" s="62"/>
      <c r="J552" s="49">
        <f>IF(AND(ISBLANK(G552),ISBLANK(H552),ISBLANK(I552)),VLOOKUP(TEXT(D552,"TTT"),Stammdaten!$B$20:$F$26,5,FALSE),H552-G552-I552)-IF(ISERROR(VLOOKUP(D552,Stammdaten!$I$9:$J$26,2,FALSE)),0,VLOOKUP(D552,Stammdaten!$I$9:$J$26,2,FALSE)/24)</f>
        <v>0</v>
      </c>
    </row>
    <row r="553" spans="2:10" x14ac:dyDescent="0.3">
      <c r="B553" s="50" t="str">
        <f t="shared" si="18"/>
        <v/>
      </c>
      <c r="C553" s="42" t="str">
        <f t="shared" si="17"/>
        <v/>
      </c>
      <c r="D553" s="60"/>
      <c r="E553" s="63"/>
      <c r="F553" s="61"/>
      <c r="G553" s="62"/>
      <c r="H553" s="62"/>
      <c r="I553" s="62"/>
      <c r="J553" s="49">
        <f>IF(AND(ISBLANK(G553),ISBLANK(H553),ISBLANK(I553)),VLOOKUP(TEXT(D553,"TTT"),Stammdaten!$B$20:$F$26,5,FALSE),H553-G553-I553)-IF(ISERROR(VLOOKUP(D553,Stammdaten!$I$9:$J$26,2,FALSE)),0,VLOOKUP(D553,Stammdaten!$I$9:$J$26,2,FALSE)/24)</f>
        <v>0</v>
      </c>
    </row>
    <row r="554" spans="2:10" x14ac:dyDescent="0.3">
      <c r="B554" s="50" t="str">
        <f t="shared" si="18"/>
        <v/>
      </c>
      <c r="C554" s="42" t="str">
        <f t="shared" si="17"/>
        <v/>
      </c>
      <c r="D554" s="60"/>
      <c r="E554" s="63"/>
      <c r="F554" s="61"/>
      <c r="G554" s="62"/>
      <c r="H554" s="62"/>
      <c r="I554" s="62"/>
      <c r="J554" s="49">
        <f>IF(AND(ISBLANK(G554),ISBLANK(H554),ISBLANK(I554)),VLOOKUP(TEXT(D554,"TTT"),Stammdaten!$B$20:$F$26,5,FALSE),H554-G554-I554)-IF(ISERROR(VLOOKUP(D554,Stammdaten!$I$9:$J$26,2,FALSE)),0,VLOOKUP(D554,Stammdaten!$I$9:$J$26,2,FALSE)/24)</f>
        <v>0</v>
      </c>
    </row>
    <row r="555" spans="2:10" x14ac:dyDescent="0.3">
      <c r="B555" s="50" t="str">
        <f t="shared" si="18"/>
        <v/>
      </c>
      <c r="C555" s="42" t="str">
        <f t="shared" si="17"/>
        <v/>
      </c>
      <c r="D555" s="60"/>
      <c r="E555" s="63"/>
      <c r="F555" s="61"/>
      <c r="G555" s="62"/>
      <c r="H555" s="62"/>
      <c r="I555" s="62"/>
      <c r="J555" s="49">
        <f>IF(AND(ISBLANK(G555),ISBLANK(H555),ISBLANK(I555)),VLOOKUP(TEXT(D555,"TTT"),Stammdaten!$B$20:$F$26,5,FALSE),H555-G555-I555)-IF(ISERROR(VLOOKUP(D555,Stammdaten!$I$9:$J$26,2,FALSE)),0,VLOOKUP(D555,Stammdaten!$I$9:$J$26,2,FALSE)/24)</f>
        <v>0</v>
      </c>
    </row>
    <row r="556" spans="2:10" x14ac:dyDescent="0.3">
      <c r="B556" s="50" t="str">
        <f t="shared" si="18"/>
        <v/>
      </c>
      <c r="C556" s="42" t="str">
        <f t="shared" si="17"/>
        <v/>
      </c>
      <c r="D556" s="60"/>
      <c r="E556" s="63"/>
      <c r="F556" s="61"/>
      <c r="G556" s="62"/>
      <c r="H556" s="62"/>
      <c r="I556" s="62"/>
      <c r="J556" s="49">
        <f>IF(AND(ISBLANK(G556),ISBLANK(H556),ISBLANK(I556)),VLOOKUP(TEXT(D556,"TTT"),Stammdaten!$B$20:$F$26,5,FALSE),H556-G556-I556)-IF(ISERROR(VLOOKUP(D556,Stammdaten!$I$9:$J$26,2,FALSE)),0,VLOOKUP(D556,Stammdaten!$I$9:$J$26,2,FALSE)/24)</f>
        <v>0</v>
      </c>
    </row>
    <row r="557" spans="2:10" x14ac:dyDescent="0.3">
      <c r="B557" s="50" t="str">
        <f t="shared" si="18"/>
        <v/>
      </c>
      <c r="C557" s="42" t="str">
        <f t="shared" si="17"/>
        <v/>
      </c>
      <c r="D557" s="60"/>
      <c r="E557" s="63"/>
      <c r="F557" s="61"/>
      <c r="G557" s="62"/>
      <c r="H557" s="62"/>
      <c r="I557" s="62"/>
      <c r="J557" s="49">
        <f>IF(AND(ISBLANK(G557),ISBLANK(H557),ISBLANK(I557)),VLOOKUP(TEXT(D557,"TTT"),Stammdaten!$B$20:$F$26,5,FALSE),H557-G557-I557)-IF(ISERROR(VLOOKUP(D557,Stammdaten!$I$9:$J$26,2,FALSE)),0,VLOOKUP(D557,Stammdaten!$I$9:$J$26,2,FALSE)/24)</f>
        <v>0</v>
      </c>
    </row>
    <row r="558" spans="2:10" x14ac:dyDescent="0.3">
      <c r="B558" s="50" t="str">
        <f t="shared" si="18"/>
        <v/>
      </c>
      <c r="C558" s="42" t="str">
        <f t="shared" si="17"/>
        <v/>
      </c>
      <c r="D558" s="60"/>
      <c r="E558" s="63"/>
      <c r="F558" s="61"/>
      <c r="G558" s="62"/>
      <c r="H558" s="62"/>
      <c r="I558" s="62"/>
      <c r="J558" s="49">
        <f>IF(AND(ISBLANK(G558),ISBLANK(H558),ISBLANK(I558)),VLOOKUP(TEXT(D558,"TTT"),Stammdaten!$B$20:$F$26,5,FALSE),H558-G558-I558)-IF(ISERROR(VLOOKUP(D558,Stammdaten!$I$9:$J$26,2,FALSE)),0,VLOOKUP(D558,Stammdaten!$I$9:$J$26,2,FALSE)/24)</f>
        <v>0</v>
      </c>
    </row>
    <row r="559" spans="2:10" x14ac:dyDescent="0.3">
      <c r="B559" s="50" t="str">
        <f t="shared" si="18"/>
        <v/>
      </c>
      <c r="C559" s="42" t="str">
        <f t="shared" si="17"/>
        <v/>
      </c>
      <c r="D559" s="60"/>
      <c r="E559" s="63"/>
      <c r="F559" s="61"/>
      <c r="G559" s="62"/>
      <c r="H559" s="62"/>
      <c r="I559" s="62"/>
      <c r="J559" s="49">
        <f>IF(AND(ISBLANK(G559),ISBLANK(H559),ISBLANK(I559)),VLOOKUP(TEXT(D559,"TTT"),Stammdaten!$B$20:$F$26,5,FALSE),H559-G559-I559)-IF(ISERROR(VLOOKUP(D559,Stammdaten!$I$9:$J$26,2,FALSE)),0,VLOOKUP(D559,Stammdaten!$I$9:$J$26,2,FALSE)/24)</f>
        <v>0</v>
      </c>
    </row>
    <row r="560" spans="2:10" x14ac:dyDescent="0.3">
      <c r="B560" s="50" t="str">
        <f t="shared" si="18"/>
        <v/>
      </c>
      <c r="C560" s="42" t="str">
        <f t="shared" si="17"/>
        <v/>
      </c>
      <c r="D560" s="60"/>
      <c r="E560" s="63"/>
      <c r="F560" s="61"/>
      <c r="G560" s="62"/>
      <c r="H560" s="62"/>
      <c r="I560" s="62"/>
      <c r="J560" s="49">
        <f>IF(AND(ISBLANK(G560),ISBLANK(H560),ISBLANK(I560)),VLOOKUP(TEXT(D560,"TTT"),Stammdaten!$B$20:$F$26,5,FALSE),H560-G560-I560)-IF(ISERROR(VLOOKUP(D560,Stammdaten!$I$9:$J$26,2,FALSE)),0,VLOOKUP(D560,Stammdaten!$I$9:$J$26,2,FALSE)/24)</f>
        <v>0</v>
      </c>
    </row>
    <row r="561" spans="2:10" x14ac:dyDescent="0.3">
      <c r="B561" s="50" t="str">
        <f t="shared" si="18"/>
        <v/>
      </c>
      <c r="C561" s="42" t="str">
        <f t="shared" si="17"/>
        <v/>
      </c>
      <c r="D561" s="60"/>
      <c r="E561" s="63"/>
      <c r="F561" s="61"/>
      <c r="G561" s="62"/>
      <c r="H561" s="62"/>
      <c r="I561" s="62"/>
      <c r="J561" s="49">
        <f>IF(AND(ISBLANK(G561),ISBLANK(H561),ISBLANK(I561)),VLOOKUP(TEXT(D561,"TTT"),Stammdaten!$B$20:$F$26,5,FALSE),H561-G561-I561)-IF(ISERROR(VLOOKUP(D561,Stammdaten!$I$9:$J$26,2,FALSE)),0,VLOOKUP(D561,Stammdaten!$I$9:$J$26,2,FALSE)/24)</f>
        <v>0</v>
      </c>
    </row>
    <row r="562" spans="2:10" x14ac:dyDescent="0.3">
      <c r="B562" s="50" t="str">
        <f t="shared" si="18"/>
        <v/>
      </c>
      <c r="C562" s="42" t="str">
        <f t="shared" si="17"/>
        <v/>
      </c>
      <c r="D562" s="60"/>
      <c r="E562" s="63"/>
      <c r="F562" s="61"/>
      <c r="G562" s="62"/>
      <c r="H562" s="62"/>
      <c r="I562" s="62"/>
      <c r="J562" s="49">
        <f>IF(AND(ISBLANK(G562),ISBLANK(H562),ISBLANK(I562)),VLOOKUP(TEXT(D562,"TTT"),Stammdaten!$B$20:$F$26,5,FALSE),H562-G562-I562)-IF(ISERROR(VLOOKUP(D562,Stammdaten!$I$9:$J$26,2,FALSE)),0,VLOOKUP(D562,Stammdaten!$I$9:$J$26,2,FALSE)/24)</f>
        <v>0</v>
      </c>
    </row>
    <row r="563" spans="2:10" x14ac:dyDescent="0.3">
      <c r="B563" s="50" t="str">
        <f t="shared" si="18"/>
        <v/>
      </c>
      <c r="C563" s="42" t="str">
        <f t="shared" si="17"/>
        <v/>
      </c>
      <c r="D563" s="60"/>
      <c r="E563" s="63"/>
      <c r="F563" s="61"/>
      <c r="G563" s="62"/>
      <c r="H563" s="62"/>
      <c r="I563" s="62"/>
      <c r="J563" s="49">
        <f>IF(AND(ISBLANK(G563),ISBLANK(H563),ISBLANK(I563)),VLOOKUP(TEXT(D563,"TTT"),Stammdaten!$B$20:$F$26,5,FALSE),H563-G563-I563)-IF(ISERROR(VLOOKUP(D563,Stammdaten!$I$9:$J$26,2,FALSE)),0,VLOOKUP(D563,Stammdaten!$I$9:$J$26,2,FALSE)/24)</f>
        <v>0</v>
      </c>
    </row>
    <row r="564" spans="2:10" x14ac:dyDescent="0.3">
      <c r="B564" s="50" t="str">
        <f t="shared" si="18"/>
        <v/>
      </c>
      <c r="C564" s="42" t="str">
        <f t="shared" si="17"/>
        <v/>
      </c>
      <c r="D564" s="60"/>
      <c r="E564" s="63"/>
      <c r="F564" s="61"/>
      <c r="G564" s="62"/>
      <c r="H564" s="62"/>
      <c r="I564" s="62"/>
      <c r="J564" s="49">
        <f>IF(AND(ISBLANK(G564),ISBLANK(H564),ISBLANK(I564)),VLOOKUP(TEXT(D564,"TTT"),Stammdaten!$B$20:$F$26,5,FALSE),H564-G564-I564)-IF(ISERROR(VLOOKUP(D564,Stammdaten!$I$9:$J$26,2,FALSE)),0,VLOOKUP(D564,Stammdaten!$I$9:$J$26,2,FALSE)/24)</f>
        <v>0</v>
      </c>
    </row>
    <row r="565" spans="2:10" x14ac:dyDescent="0.3">
      <c r="B565" s="50" t="str">
        <f t="shared" si="18"/>
        <v/>
      </c>
      <c r="C565" s="42" t="str">
        <f t="shared" si="17"/>
        <v/>
      </c>
      <c r="D565" s="60"/>
      <c r="E565" s="63"/>
      <c r="F565" s="61"/>
      <c r="G565" s="62"/>
      <c r="H565" s="62"/>
      <c r="I565" s="62"/>
      <c r="J565" s="49">
        <f>IF(AND(ISBLANK(G565),ISBLANK(H565),ISBLANK(I565)),VLOOKUP(TEXT(D565,"TTT"),Stammdaten!$B$20:$F$26,5,FALSE),H565-G565-I565)-IF(ISERROR(VLOOKUP(D565,Stammdaten!$I$9:$J$26,2,FALSE)),0,VLOOKUP(D565,Stammdaten!$I$9:$J$26,2,FALSE)/24)</f>
        <v>0</v>
      </c>
    </row>
    <row r="566" spans="2:10" x14ac:dyDescent="0.3">
      <c r="B566" s="50" t="str">
        <f t="shared" si="18"/>
        <v/>
      </c>
      <c r="C566" s="42" t="str">
        <f t="shared" si="17"/>
        <v/>
      </c>
      <c r="D566" s="60"/>
      <c r="E566" s="63"/>
      <c r="F566" s="61"/>
      <c r="G566" s="62"/>
      <c r="H566" s="62"/>
      <c r="I566" s="62"/>
      <c r="J566" s="49">
        <f>IF(AND(ISBLANK(G566),ISBLANK(H566),ISBLANK(I566)),VLOOKUP(TEXT(D566,"TTT"),Stammdaten!$B$20:$F$26,5,FALSE),H566-G566-I566)-IF(ISERROR(VLOOKUP(D566,Stammdaten!$I$9:$J$26,2,FALSE)),0,VLOOKUP(D566,Stammdaten!$I$9:$J$26,2,FALSE)/24)</f>
        <v>0</v>
      </c>
    </row>
    <row r="567" spans="2:10" x14ac:dyDescent="0.3">
      <c r="B567" s="50" t="str">
        <f t="shared" si="18"/>
        <v/>
      </c>
      <c r="C567" s="42" t="str">
        <f t="shared" si="17"/>
        <v/>
      </c>
      <c r="D567" s="60"/>
      <c r="E567" s="63"/>
      <c r="F567" s="61"/>
      <c r="G567" s="62"/>
      <c r="H567" s="62"/>
      <c r="I567" s="62"/>
      <c r="J567" s="49">
        <f>IF(AND(ISBLANK(G567),ISBLANK(H567),ISBLANK(I567)),VLOOKUP(TEXT(D567,"TTT"),Stammdaten!$B$20:$F$26,5,FALSE),H567-G567-I567)-IF(ISERROR(VLOOKUP(D567,Stammdaten!$I$9:$J$26,2,FALSE)),0,VLOOKUP(D567,Stammdaten!$I$9:$J$26,2,FALSE)/24)</f>
        <v>0</v>
      </c>
    </row>
    <row r="568" spans="2:10" x14ac:dyDescent="0.3">
      <c r="B568" s="50" t="str">
        <f t="shared" si="18"/>
        <v/>
      </c>
      <c r="C568" s="42" t="str">
        <f t="shared" si="17"/>
        <v/>
      </c>
      <c r="D568" s="60"/>
      <c r="E568" s="63"/>
      <c r="F568" s="61"/>
      <c r="G568" s="62"/>
      <c r="H568" s="62"/>
      <c r="I568" s="62"/>
      <c r="J568" s="49">
        <f>IF(AND(ISBLANK(G568),ISBLANK(H568),ISBLANK(I568)),VLOOKUP(TEXT(D568,"TTT"),Stammdaten!$B$20:$F$26,5,FALSE),H568-G568-I568)-IF(ISERROR(VLOOKUP(D568,Stammdaten!$I$9:$J$26,2,FALSE)),0,VLOOKUP(D568,Stammdaten!$I$9:$J$26,2,FALSE)/24)</f>
        <v>0</v>
      </c>
    </row>
    <row r="569" spans="2:10" x14ac:dyDescent="0.3">
      <c r="B569" s="50" t="str">
        <f t="shared" si="18"/>
        <v/>
      </c>
      <c r="C569" s="42" t="str">
        <f t="shared" si="17"/>
        <v/>
      </c>
      <c r="D569" s="60"/>
      <c r="E569" s="63"/>
      <c r="F569" s="61"/>
      <c r="G569" s="62"/>
      <c r="H569" s="62"/>
      <c r="I569" s="62"/>
      <c r="J569" s="49">
        <f>IF(AND(ISBLANK(G569),ISBLANK(H569),ISBLANK(I569)),VLOOKUP(TEXT(D569,"TTT"),Stammdaten!$B$20:$F$26,5,FALSE),H569-G569-I569)-IF(ISERROR(VLOOKUP(D569,Stammdaten!$I$9:$J$26,2,FALSE)),0,VLOOKUP(D569,Stammdaten!$I$9:$J$26,2,FALSE)/24)</f>
        <v>0</v>
      </c>
    </row>
    <row r="570" spans="2:10" x14ac:dyDescent="0.3">
      <c r="B570" s="50" t="str">
        <f t="shared" si="18"/>
        <v/>
      </c>
      <c r="C570" s="42" t="str">
        <f t="shared" si="17"/>
        <v/>
      </c>
      <c r="D570" s="60"/>
      <c r="E570" s="63"/>
      <c r="F570" s="61"/>
      <c r="G570" s="62"/>
      <c r="H570" s="62"/>
      <c r="I570" s="62"/>
      <c r="J570" s="49">
        <f>IF(AND(ISBLANK(G570),ISBLANK(H570),ISBLANK(I570)),VLOOKUP(TEXT(D570,"TTT"),Stammdaten!$B$20:$F$26,5,FALSE),H570-G570-I570)-IF(ISERROR(VLOOKUP(D570,Stammdaten!$I$9:$J$26,2,FALSE)),0,VLOOKUP(D570,Stammdaten!$I$9:$J$26,2,FALSE)/24)</f>
        <v>0</v>
      </c>
    </row>
    <row r="571" spans="2:10" x14ac:dyDescent="0.3">
      <c r="B571" s="50" t="str">
        <f t="shared" si="18"/>
        <v/>
      </c>
      <c r="C571" s="42" t="str">
        <f t="shared" si="17"/>
        <v/>
      </c>
      <c r="D571" s="60"/>
      <c r="E571" s="63"/>
      <c r="F571" s="61"/>
      <c r="G571" s="62"/>
      <c r="H571" s="62"/>
      <c r="I571" s="62"/>
      <c r="J571" s="49">
        <f>IF(AND(ISBLANK(G571),ISBLANK(H571),ISBLANK(I571)),VLOOKUP(TEXT(D571,"TTT"),Stammdaten!$B$20:$F$26,5,FALSE),H571-G571-I571)-IF(ISERROR(VLOOKUP(D571,Stammdaten!$I$9:$J$26,2,FALSE)),0,VLOOKUP(D571,Stammdaten!$I$9:$J$26,2,FALSE)/24)</f>
        <v>0</v>
      </c>
    </row>
    <row r="572" spans="2:10" x14ac:dyDescent="0.3">
      <c r="B572" s="50" t="str">
        <f t="shared" si="18"/>
        <v/>
      </c>
      <c r="C572" s="42" t="str">
        <f t="shared" si="17"/>
        <v/>
      </c>
      <c r="D572" s="60"/>
      <c r="E572" s="63"/>
      <c r="F572" s="61"/>
      <c r="G572" s="62"/>
      <c r="H572" s="62"/>
      <c r="I572" s="62"/>
      <c r="J572" s="49">
        <f>IF(AND(ISBLANK(G572),ISBLANK(H572),ISBLANK(I572)),VLOOKUP(TEXT(D572,"TTT"),Stammdaten!$B$20:$F$26,5,FALSE),H572-G572-I572)-IF(ISERROR(VLOOKUP(D572,Stammdaten!$I$9:$J$26,2,FALSE)),0,VLOOKUP(D572,Stammdaten!$I$9:$J$26,2,FALSE)/24)</f>
        <v>0</v>
      </c>
    </row>
    <row r="573" spans="2:10" x14ac:dyDescent="0.3">
      <c r="B573" s="50" t="str">
        <f t="shared" si="18"/>
        <v/>
      </c>
      <c r="C573" s="42" t="str">
        <f t="shared" si="17"/>
        <v/>
      </c>
      <c r="D573" s="60"/>
      <c r="E573" s="63"/>
      <c r="F573" s="61"/>
      <c r="G573" s="62"/>
      <c r="H573" s="62"/>
      <c r="I573" s="62"/>
      <c r="J573" s="49">
        <f>IF(AND(ISBLANK(G573),ISBLANK(H573),ISBLANK(I573)),VLOOKUP(TEXT(D573,"TTT"),Stammdaten!$B$20:$F$26,5,FALSE),H573-G573-I573)-IF(ISERROR(VLOOKUP(D573,Stammdaten!$I$9:$J$26,2,FALSE)),0,VLOOKUP(D573,Stammdaten!$I$9:$J$26,2,FALSE)/24)</f>
        <v>0</v>
      </c>
    </row>
    <row r="574" spans="2:10" x14ac:dyDescent="0.3">
      <c r="B574" s="50" t="str">
        <f t="shared" si="18"/>
        <v/>
      </c>
      <c r="C574" s="42" t="str">
        <f t="shared" si="17"/>
        <v/>
      </c>
      <c r="D574" s="60"/>
      <c r="E574" s="63"/>
      <c r="F574" s="61"/>
      <c r="G574" s="62"/>
      <c r="H574" s="62"/>
      <c r="I574" s="62"/>
      <c r="J574" s="49">
        <f>IF(AND(ISBLANK(G574),ISBLANK(H574),ISBLANK(I574)),VLOOKUP(TEXT(D574,"TTT"),Stammdaten!$B$20:$F$26,5,FALSE),H574-G574-I574)-IF(ISERROR(VLOOKUP(D574,Stammdaten!$I$9:$J$26,2,FALSE)),0,VLOOKUP(D574,Stammdaten!$I$9:$J$26,2,FALSE)/24)</f>
        <v>0</v>
      </c>
    </row>
    <row r="575" spans="2:10" x14ac:dyDescent="0.3">
      <c r="B575" s="50" t="str">
        <f t="shared" si="18"/>
        <v/>
      </c>
      <c r="C575" s="42" t="str">
        <f t="shared" si="17"/>
        <v/>
      </c>
      <c r="D575" s="60"/>
      <c r="E575" s="63"/>
      <c r="F575" s="61"/>
      <c r="G575" s="62"/>
      <c r="H575" s="62"/>
      <c r="I575" s="62"/>
      <c r="J575" s="49">
        <f>IF(AND(ISBLANK(G575),ISBLANK(H575),ISBLANK(I575)),VLOOKUP(TEXT(D575,"TTT"),Stammdaten!$B$20:$F$26,5,FALSE),H575-G575-I575)-IF(ISERROR(VLOOKUP(D575,Stammdaten!$I$9:$J$26,2,FALSE)),0,VLOOKUP(D575,Stammdaten!$I$9:$J$26,2,FALSE)/24)</f>
        <v>0</v>
      </c>
    </row>
    <row r="576" spans="2:10" x14ac:dyDescent="0.3">
      <c r="B576" s="50" t="str">
        <f t="shared" si="18"/>
        <v/>
      </c>
      <c r="C576" s="42" t="str">
        <f t="shared" si="17"/>
        <v/>
      </c>
      <c r="D576" s="60"/>
      <c r="E576" s="63"/>
      <c r="F576" s="61"/>
      <c r="G576" s="62"/>
      <c r="H576" s="62"/>
      <c r="I576" s="62"/>
      <c r="J576" s="49">
        <f>IF(AND(ISBLANK(G576),ISBLANK(H576),ISBLANK(I576)),VLOOKUP(TEXT(D576,"TTT"),Stammdaten!$B$20:$F$26,5,FALSE),H576-G576-I576)-IF(ISERROR(VLOOKUP(D576,Stammdaten!$I$9:$J$26,2,FALSE)),0,VLOOKUP(D576,Stammdaten!$I$9:$J$26,2,FALSE)/24)</f>
        <v>0</v>
      </c>
    </row>
    <row r="577" spans="2:10" x14ac:dyDescent="0.3">
      <c r="B577" s="50" t="str">
        <f t="shared" si="18"/>
        <v/>
      </c>
      <c r="C577" s="42" t="str">
        <f t="shared" si="17"/>
        <v/>
      </c>
      <c r="D577" s="60"/>
      <c r="E577" s="63"/>
      <c r="F577" s="61"/>
      <c r="G577" s="62"/>
      <c r="H577" s="62"/>
      <c r="I577" s="62"/>
      <c r="J577" s="49">
        <f>IF(AND(ISBLANK(G577),ISBLANK(H577),ISBLANK(I577)),VLOOKUP(TEXT(D577,"TTT"),Stammdaten!$B$20:$F$26,5,FALSE),H577-G577-I577)-IF(ISERROR(VLOOKUP(D577,Stammdaten!$I$9:$J$26,2,FALSE)),0,VLOOKUP(D577,Stammdaten!$I$9:$J$26,2,FALSE)/24)</f>
        <v>0</v>
      </c>
    </row>
    <row r="578" spans="2:10" x14ac:dyDescent="0.3">
      <c r="B578" s="50" t="str">
        <f t="shared" si="18"/>
        <v/>
      </c>
      <c r="C578" s="42" t="str">
        <f t="shared" ref="C578:C641" si="19">IF(D578="","",D578)</f>
        <v/>
      </c>
      <c r="D578" s="60"/>
      <c r="E578" s="63"/>
      <c r="F578" s="61"/>
      <c r="G578" s="62"/>
      <c r="H578" s="62"/>
      <c r="I578" s="62"/>
      <c r="J578" s="49">
        <f>IF(AND(ISBLANK(G578),ISBLANK(H578),ISBLANK(I578)),VLOOKUP(TEXT(D578,"TTT"),Stammdaten!$B$20:$F$26,5,FALSE),H578-G578-I578)-IF(ISERROR(VLOOKUP(D578,Stammdaten!$I$9:$J$26,2,FALSE)),0,VLOOKUP(D578,Stammdaten!$I$9:$J$26,2,FALSE)/24)</f>
        <v>0</v>
      </c>
    </row>
    <row r="579" spans="2:10" x14ac:dyDescent="0.3">
      <c r="B579" s="50" t="str">
        <f t="shared" si="18"/>
        <v/>
      </c>
      <c r="C579" s="42" t="str">
        <f t="shared" si="19"/>
        <v/>
      </c>
      <c r="D579" s="60"/>
      <c r="E579" s="63"/>
      <c r="F579" s="61"/>
      <c r="G579" s="62"/>
      <c r="H579" s="62"/>
      <c r="I579" s="62"/>
      <c r="J579" s="49">
        <f>IF(AND(ISBLANK(G579),ISBLANK(H579),ISBLANK(I579)),VLOOKUP(TEXT(D579,"TTT"),Stammdaten!$B$20:$F$26,5,FALSE),H579-G579-I579)-IF(ISERROR(VLOOKUP(D579,Stammdaten!$I$9:$J$26,2,FALSE)),0,VLOOKUP(D579,Stammdaten!$I$9:$J$26,2,FALSE)/24)</f>
        <v>0</v>
      </c>
    </row>
    <row r="580" spans="2:10" x14ac:dyDescent="0.3">
      <c r="B580" s="50" t="str">
        <f t="shared" ref="B580:B643" si="20">IF(ISBLANK(E580),"",VLOOKUP(E580,$L$2:$M$11,2,FALSE))</f>
        <v/>
      </c>
      <c r="C580" s="42" t="str">
        <f t="shared" si="19"/>
        <v/>
      </c>
      <c r="D580" s="60"/>
      <c r="E580" s="63"/>
      <c r="F580" s="61"/>
      <c r="G580" s="62"/>
      <c r="H580" s="62"/>
      <c r="I580" s="62"/>
      <c r="J580" s="49">
        <f>IF(AND(ISBLANK(G580),ISBLANK(H580),ISBLANK(I580)),VLOOKUP(TEXT(D580,"TTT"),Stammdaten!$B$20:$F$26,5,FALSE),H580-G580-I580)-IF(ISERROR(VLOOKUP(D580,Stammdaten!$I$9:$J$26,2,FALSE)),0,VLOOKUP(D580,Stammdaten!$I$9:$J$26,2,FALSE)/24)</f>
        <v>0</v>
      </c>
    </row>
    <row r="581" spans="2:10" x14ac:dyDescent="0.3">
      <c r="B581" s="50" t="str">
        <f t="shared" si="20"/>
        <v/>
      </c>
      <c r="C581" s="42" t="str">
        <f t="shared" si="19"/>
        <v/>
      </c>
      <c r="D581" s="60"/>
      <c r="E581" s="63"/>
      <c r="F581" s="61"/>
      <c r="G581" s="62"/>
      <c r="H581" s="62"/>
      <c r="I581" s="62"/>
      <c r="J581" s="49">
        <f>IF(AND(ISBLANK(G581),ISBLANK(H581),ISBLANK(I581)),VLOOKUP(TEXT(D581,"TTT"),Stammdaten!$B$20:$F$26,5,FALSE),H581-G581-I581)-IF(ISERROR(VLOOKUP(D581,Stammdaten!$I$9:$J$26,2,FALSE)),0,VLOOKUP(D581,Stammdaten!$I$9:$J$26,2,FALSE)/24)</f>
        <v>0</v>
      </c>
    </row>
    <row r="582" spans="2:10" x14ac:dyDescent="0.3">
      <c r="B582" s="50" t="str">
        <f t="shared" si="20"/>
        <v/>
      </c>
      <c r="C582" s="42" t="str">
        <f t="shared" si="19"/>
        <v/>
      </c>
      <c r="D582" s="60"/>
      <c r="E582" s="63"/>
      <c r="F582" s="61"/>
      <c r="G582" s="62"/>
      <c r="H582" s="62"/>
      <c r="I582" s="62"/>
      <c r="J582" s="49">
        <f>IF(AND(ISBLANK(G582),ISBLANK(H582),ISBLANK(I582)),VLOOKUP(TEXT(D582,"TTT"),Stammdaten!$B$20:$F$26,5,FALSE),H582-G582-I582)-IF(ISERROR(VLOOKUP(D582,Stammdaten!$I$9:$J$26,2,FALSE)),0,VLOOKUP(D582,Stammdaten!$I$9:$J$26,2,FALSE)/24)</f>
        <v>0</v>
      </c>
    </row>
    <row r="583" spans="2:10" x14ac:dyDescent="0.3">
      <c r="B583" s="50" t="str">
        <f t="shared" si="20"/>
        <v/>
      </c>
      <c r="C583" s="42" t="str">
        <f t="shared" si="19"/>
        <v/>
      </c>
      <c r="D583" s="60"/>
      <c r="E583" s="63"/>
      <c r="F583" s="61"/>
      <c r="G583" s="62"/>
      <c r="H583" s="62"/>
      <c r="I583" s="62"/>
      <c r="J583" s="49">
        <f>IF(AND(ISBLANK(G583),ISBLANK(H583),ISBLANK(I583)),VLOOKUP(TEXT(D583,"TTT"),Stammdaten!$B$20:$F$26,5,FALSE),H583-G583-I583)-IF(ISERROR(VLOOKUP(D583,Stammdaten!$I$9:$J$26,2,FALSE)),0,VLOOKUP(D583,Stammdaten!$I$9:$J$26,2,FALSE)/24)</f>
        <v>0</v>
      </c>
    </row>
    <row r="584" spans="2:10" x14ac:dyDescent="0.3">
      <c r="B584" s="50" t="str">
        <f t="shared" si="20"/>
        <v/>
      </c>
      <c r="C584" s="42" t="str">
        <f t="shared" si="19"/>
        <v/>
      </c>
      <c r="D584" s="60"/>
      <c r="E584" s="63"/>
      <c r="F584" s="61"/>
      <c r="G584" s="62"/>
      <c r="H584" s="62"/>
      <c r="I584" s="62"/>
      <c r="J584" s="49">
        <f>IF(AND(ISBLANK(G584),ISBLANK(H584),ISBLANK(I584)),VLOOKUP(TEXT(D584,"TTT"),Stammdaten!$B$20:$F$26,5,FALSE),H584-G584-I584)-IF(ISERROR(VLOOKUP(D584,Stammdaten!$I$9:$J$26,2,FALSE)),0,VLOOKUP(D584,Stammdaten!$I$9:$J$26,2,FALSE)/24)</f>
        <v>0</v>
      </c>
    </row>
    <row r="585" spans="2:10" x14ac:dyDescent="0.3">
      <c r="B585" s="50" t="str">
        <f t="shared" si="20"/>
        <v/>
      </c>
      <c r="C585" s="42" t="str">
        <f t="shared" si="19"/>
        <v/>
      </c>
      <c r="D585" s="60"/>
      <c r="E585" s="63"/>
      <c r="F585" s="61"/>
      <c r="G585" s="62"/>
      <c r="H585" s="62"/>
      <c r="I585" s="62"/>
      <c r="J585" s="49">
        <f>IF(AND(ISBLANK(G585),ISBLANK(H585),ISBLANK(I585)),VLOOKUP(TEXT(D585,"TTT"),Stammdaten!$B$20:$F$26,5,FALSE),H585-G585-I585)-IF(ISERROR(VLOOKUP(D585,Stammdaten!$I$9:$J$26,2,FALSE)),0,VLOOKUP(D585,Stammdaten!$I$9:$J$26,2,FALSE)/24)</f>
        <v>0</v>
      </c>
    </row>
    <row r="586" spans="2:10" x14ac:dyDescent="0.3">
      <c r="B586" s="50" t="str">
        <f t="shared" si="20"/>
        <v/>
      </c>
      <c r="C586" s="42" t="str">
        <f t="shared" si="19"/>
        <v/>
      </c>
      <c r="D586" s="60"/>
      <c r="E586" s="63"/>
      <c r="F586" s="61"/>
      <c r="G586" s="62"/>
      <c r="H586" s="62"/>
      <c r="I586" s="62"/>
      <c r="J586" s="49">
        <f>IF(AND(ISBLANK(G586),ISBLANK(H586),ISBLANK(I586)),VLOOKUP(TEXT(D586,"TTT"),Stammdaten!$B$20:$F$26,5,FALSE),H586-G586-I586)-IF(ISERROR(VLOOKUP(D586,Stammdaten!$I$9:$J$26,2,FALSE)),0,VLOOKUP(D586,Stammdaten!$I$9:$J$26,2,FALSE)/24)</f>
        <v>0</v>
      </c>
    </row>
    <row r="587" spans="2:10" x14ac:dyDescent="0.3">
      <c r="B587" s="50" t="str">
        <f t="shared" si="20"/>
        <v/>
      </c>
      <c r="C587" s="42" t="str">
        <f t="shared" si="19"/>
        <v/>
      </c>
      <c r="D587" s="60"/>
      <c r="E587" s="63"/>
      <c r="F587" s="61"/>
      <c r="G587" s="62"/>
      <c r="H587" s="62"/>
      <c r="I587" s="62"/>
      <c r="J587" s="49">
        <f>IF(AND(ISBLANK(G587),ISBLANK(H587),ISBLANK(I587)),VLOOKUP(TEXT(D587,"TTT"),Stammdaten!$B$20:$F$26,5,FALSE),H587-G587-I587)-IF(ISERROR(VLOOKUP(D587,Stammdaten!$I$9:$J$26,2,FALSE)),0,VLOOKUP(D587,Stammdaten!$I$9:$J$26,2,FALSE)/24)</f>
        <v>0</v>
      </c>
    </row>
    <row r="588" spans="2:10" x14ac:dyDescent="0.3">
      <c r="B588" s="50" t="str">
        <f t="shared" si="20"/>
        <v/>
      </c>
      <c r="C588" s="42" t="str">
        <f t="shared" si="19"/>
        <v/>
      </c>
      <c r="D588" s="60"/>
      <c r="E588" s="63"/>
      <c r="F588" s="61"/>
      <c r="G588" s="62"/>
      <c r="H588" s="62"/>
      <c r="I588" s="62"/>
      <c r="J588" s="49">
        <f>IF(AND(ISBLANK(G588),ISBLANK(H588),ISBLANK(I588)),VLOOKUP(TEXT(D588,"TTT"),Stammdaten!$B$20:$F$26,5,FALSE),H588-G588-I588)-IF(ISERROR(VLOOKUP(D588,Stammdaten!$I$9:$J$26,2,FALSE)),0,VLOOKUP(D588,Stammdaten!$I$9:$J$26,2,FALSE)/24)</f>
        <v>0</v>
      </c>
    </row>
    <row r="589" spans="2:10" x14ac:dyDescent="0.3">
      <c r="B589" s="50" t="str">
        <f t="shared" si="20"/>
        <v/>
      </c>
      <c r="C589" s="42" t="str">
        <f t="shared" si="19"/>
        <v/>
      </c>
      <c r="D589" s="60"/>
      <c r="E589" s="63"/>
      <c r="F589" s="61"/>
      <c r="G589" s="62"/>
      <c r="H589" s="62"/>
      <c r="I589" s="62"/>
      <c r="J589" s="49">
        <f>IF(AND(ISBLANK(G589),ISBLANK(H589),ISBLANK(I589)),VLOOKUP(TEXT(D589,"TTT"),Stammdaten!$B$20:$F$26,5,FALSE),H589-G589-I589)-IF(ISERROR(VLOOKUP(D589,Stammdaten!$I$9:$J$26,2,FALSE)),0,VLOOKUP(D589,Stammdaten!$I$9:$J$26,2,FALSE)/24)</f>
        <v>0</v>
      </c>
    </row>
    <row r="590" spans="2:10" x14ac:dyDescent="0.3">
      <c r="B590" s="50" t="str">
        <f t="shared" si="20"/>
        <v/>
      </c>
      <c r="C590" s="42" t="str">
        <f t="shared" si="19"/>
        <v/>
      </c>
      <c r="D590" s="60"/>
      <c r="E590" s="63"/>
      <c r="F590" s="61"/>
      <c r="G590" s="62"/>
      <c r="H590" s="62"/>
      <c r="I590" s="62"/>
      <c r="J590" s="49">
        <f>IF(AND(ISBLANK(G590),ISBLANK(H590),ISBLANK(I590)),VLOOKUP(TEXT(D590,"TTT"),Stammdaten!$B$20:$F$26,5,FALSE),H590-G590-I590)-IF(ISERROR(VLOOKUP(D590,Stammdaten!$I$9:$J$26,2,FALSE)),0,VLOOKUP(D590,Stammdaten!$I$9:$J$26,2,FALSE)/24)</f>
        <v>0</v>
      </c>
    </row>
    <row r="591" spans="2:10" x14ac:dyDescent="0.3">
      <c r="B591" s="50" t="str">
        <f t="shared" si="20"/>
        <v/>
      </c>
      <c r="C591" s="42" t="str">
        <f t="shared" si="19"/>
        <v/>
      </c>
      <c r="D591" s="60"/>
      <c r="E591" s="63"/>
      <c r="F591" s="61"/>
      <c r="G591" s="62"/>
      <c r="H591" s="62"/>
      <c r="I591" s="62"/>
      <c r="J591" s="49">
        <f>IF(AND(ISBLANK(G591),ISBLANK(H591),ISBLANK(I591)),VLOOKUP(TEXT(D591,"TTT"),Stammdaten!$B$20:$F$26,5,FALSE),H591-G591-I591)-IF(ISERROR(VLOOKUP(D591,Stammdaten!$I$9:$J$26,2,FALSE)),0,VLOOKUP(D591,Stammdaten!$I$9:$J$26,2,FALSE)/24)</f>
        <v>0</v>
      </c>
    </row>
    <row r="592" spans="2:10" x14ac:dyDescent="0.3">
      <c r="B592" s="50" t="str">
        <f t="shared" si="20"/>
        <v/>
      </c>
      <c r="C592" s="42" t="str">
        <f t="shared" si="19"/>
        <v/>
      </c>
      <c r="D592" s="60"/>
      <c r="E592" s="63"/>
      <c r="F592" s="61"/>
      <c r="G592" s="62"/>
      <c r="H592" s="62"/>
      <c r="I592" s="62"/>
      <c r="J592" s="49">
        <f>IF(AND(ISBLANK(G592),ISBLANK(H592),ISBLANK(I592)),VLOOKUP(TEXT(D592,"TTT"),Stammdaten!$B$20:$F$26,5,FALSE),H592-G592-I592)-IF(ISERROR(VLOOKUP(D592,Stammdaten!$I$9:$J$26,2,FALSE)),0,VLOOKUP(D592,Stammdaten!$I$9:$J$26,2,FALSE)/24)</f>
        <v>0</v>
      </c>
    </row>
    <row r="593" spans="2:10" x14ac:dyDescent="0.3">
      <c r="B593" s="50" t="str">
        <f t="shared" si="20"/>
        <v/>
      </c>
      <c r="C593" s="42" t="str">
        <f t="shared" si="19"/>
        <v/>
      </c>
      <c r="D593" s="60"/>
      <c r="E593" s="63"/>
      <c r="F593" s="61"/>
      <c r="G593" s="62"/>
      <c r="H593" s="62"/>
      <c r="I593" s="62"/>
      <c r="J593" s="49">
        <f>IF(AND(ISBLANK(G593),ISBLANK(H593),ISBLANK(I593)),VLOOKUP(TEXT(D593,"TTT"),Stammdaten!$B$20:$F$26,5,FALSE),H593-G593-I593)-IF(ISERROR(VLOOKUP(D593,Stammdaten!$I$9:$J$26,2,FALSE)),0,VLOOKUP(D593,Stammdaten!$I$9:$J$26,2,FALSE)/24)</f>
        <v>0</v>
      </c>
    </row>
    <row r="594" spans="2:10" x14ac:dyDescent="0.3">
      <c r="B594" s="50" t="str">
        <f t="shared" si="20"/>
        <v/>
      </c>
      <c r="C594" s="42" t="str">
        <f t="shared" si="19"/>
        <v/>
      </c>
      <c r="D594" s="60"/>
      <c r="E594" s="63"/>
      <c r="F594" s="61"/>
      <c r="G594" s="62"/>
      <c r="H594" s="62"/>
      <c r="I594" s="62"/>
      <c r="J594" s="49">
        <f>IF(AND(ISBLANK(G594),ISBLANK(H594),ISBLANK(I594)),VLOOKUP(TEXT(D594,"TTT"),Stammdaten!$B$20:$F$26,5,FALSE),H594-G594-I594)-IF(ISERROR(VLOOKUP(D594,Stammdaten!$I$9:$J$26,2,FALSE)),0,VLOOKUP(D594,Stammdaten!$I$9:$J$26,2,FALSE)/24)</f>
        <v>0</v>
      </c>
    </row>
    <row r="595" spans="2:10" x14ac:dyDescent="0.3">
      <c r="B595" s="50" t="str">
        <f t="shared" si="20"/>
        <v/>
      </c>
      <c r="C595" s="42" t="str">
        <f t="shared" si="19"/>
        <v/>
      </c>
      <c r="D595" s="60"/>
      <c r="E595" s="63"/>
      <c r="F595" s="61"/>
      <c r="G595" s="62"/>
      <c r="H595" s="62"/>
      <c r="I595" s="62"/>
      <c r="J595" s="49">
        <f>IF(AND(ISBLANK(G595),ISBLANK(H595),ISBLANK(I595)),VLOOKUP(TEXT(D595,"TTT"),Stammdaten!$B$20:$F$26,5,FALSE),H595-G595-I595)-IF(ISERROR(VLOOKUP(D595,Stammdaten!$I$9:$J$26,2,FALSE)),0,VLOOKUP(D595,Stammdaten!$I$9:$J$26,2,FALSE)/24)</f>
        <v>0</v>
      </c>
    </row>
    <row r="596" spans="2:10" x14ac:dyDescent="0.3">
      <c r="B596" s="50" t="str">
        <f t="shared" si="20"/>
        <v/>
      </c>
      <c r="C596" s="42" t="str">
        <f t="shared" si="19"/>
        <v/>
      </c>
      <c r="D596" s="60"/>
      <c r="E596" s="63"/>
      <c r="F596" s="61"/>
      <c r="G596" s="62"/>
      <c r="H596" s="62"/>
      <c r="I596" s="62"/>
      <c r="J596" s="49">
        <f>IF(AND(ISBLANK(G596),ISBLANK(H596),ISBLANK(I596)),VLOOKUP(TEXT(D596,"TTT"),Stammdaten!$B$20:$F$26,5,FALSE),H596-G596-I596)-IF(ISERROR(VLOOKUP(D596,Stammdaten!$I$9:$J$26,2,FALSE)),0,VLOOKUP(D596,Stammdaten!$I$9:$J$26,2,FALSE)/24)</f>
        <v>0</v>
      </c>
    </row>
    <row r="597" spans="2:10" x14ac:dyDescent="0.3">
      <c r="B597" s="50" t="str">
        <f t="shared" si="20"/>
        <v/>
      </c>
      <c r="C597" s="42" t="str">
        <f t="shared" si="19"/>
        <v/>
      </c>
      <c r="D597" s="60"/>
      <c r="E597" s="63"/>
      <c r="F597" s="61"/>
      <c r="G597" s="62"/>
      <c r="H597" s="62"/>
      <c r="I597" s="62"/>
      <c r="J597" s="49">
        <f>IF(AND(ISBLANK(G597),ISBLANK(H597),ISBLANK(I597)),VLOOKUP(TEXT(D597,"TTT"),Stammdaten!$B$20:$F$26,5,FALSE),H597-G597-I597)-IF(ISERROR(VLOOKUP(D597,Stammdaten!$I$9:$J$26,2,FALSE)),0,VLOOKUP(D597,Stammdaten!$I$9:$J$26,2,FALSE)/24)</f>
        <v>0</v>
      </c>
    </row>
    <row r="598" spans="2:10" x14ac:dyDescent="0.3">
      <c r="B598" s="50" t="str">
        <f t="shared" si="20"/>
        <v/>
      </c>
      <c r="C598" s="42" t="str">
        <f t="shared" si="19"/>
        <v/>
      </c>
      <c r="D598" s="60"/>
      <c r="E598" s="63"/>
      <c r="F598" s="61"/>
      <c r="G598" s="62"/>
      <c r="H598" s="62"/>
      <c r="I598" s="62"/>
      <c r="J598" s="49">
        <f>IF(AND(ISBLANK(G598),ISBLANK(H598),ISBLANK(I598)),VLOOKUP(TEXT(D598,"TTT"),Stammdaten!$B$20:$F$26,5,FALSE),H598-G598-I598)-IF(ISERROR(VLOOKUP(D598,Stammdaten!$I$9:$J$26,2,FALSE)),0,VLOOKUP(D598,Stammdaten!$I$9:$J$26,2,FALSE)/24)</f>
        <v>0</v>
      </c>
    </row>
    <row r="599" spans="2:10" x14ac:dyDescent="0.3">
      <c r="B599" s="50" t="str">
        <f t="shared" si="20"/>
        <v/>
      </c>
      <c r="C599" s="42" t="str">
        <f t="shared" si="19"/>
        <v/>
      </c>
      <c r="D599" s="60"/>
      <c r="E599" s="63"/>
      <c r="F599" s="61"/>
      <c r="G599" s="62"/>
      <c r="H599" s="62"/>
      <c r="I599" s="62"/>
      <c r="J599" s="49">
        <f>IF(AND(ISBLANK(G599),ISBLANK(H599),ISBLANK(I599)),VLOOKUP(TEXT(D599,"TTT"),Stammdaten!$B$20:$F$26,5,FALSE),H599-G599-I599)-IF(ISERROR(VLOOKUP(D599,Stammdaten!$I$9:$J$26,2,FALSE)),0,VLOOKUP(D599,Stammdaten!$I$9:$J$26,2,FALSE)/24)</f>
        <v>0</v>
      </c>
    </row>
    <row r="600" spans="2:10" x14ac:dyDescent="0.3">
      <c r="B600" s="50" t="str">
        <f t="shared" si="20"/>
        <v/>
      </c>
      <c r="C600" s="42" t="str">
        <f t="shared" si="19"/>
        <v/>
      </c>
      <c r="D600" s="60"/>
      <c r="E600" s="63"/>
      <c r="F600" s="61"/>
      <c r="G600" s="62"/>
      <c r="H600" s="62"/>
      <c r="I600" s="62"/>
      <c r="J600" s="49">
        <f>IF(AND(ISBLANK(G600),ISBLANK(H600),ISBLANK(I600)),VLOOKUP(TEXT(D600,"TTT"),Stammdaten!$B$20:$F$26,5,FALSE),H600-G600-I600)-IF(ISERROR(VLOOKUP(D600,Stammdaten!$I$9:$J$26,2,FALSE)),0,VLOOKUP(D600,Stammdaten!$I$9:$J$26,2,FALSE)/24)</f>
        <v>0</v>
      </c>
    </row>
    <row r="601" spans="2:10" x14ac:dyDescent="0.3">
      <c r="B601" s="50" t="str">
        <f t="shared" si="20"/>
        <v/>
      </c>
      <c r="C601" s="42" t="str">
        <f t="shared" si="19"/>
        <v/>
      </c>
      <c r="D601" s="60"/>
      <c r="E601" s="63"/>
      <c r="F601" s="61"/>
      <c r="G601" s="62"/>
      <c r="H601" s="62"/>
      <c r="I601" s="62"/>
      <c r="J601" s="49">
        <f>IF(AND(ISBLANK(G601),ISBLANK(H601),ISBLANK(I601)),VLOOKUP(TEXT(D601,"TTT"),Stammdaten!$B$20:$F$26,5,FALSE),H601-G601-I601)-IF(ISERROR(VLOOKUP(D601,Stammdaten!$I$9:$J$26,2,FALSE)),0,VLOOKUP(D601,Stammdaten!$I$9:$J$26,2,FALSE)/24)</f>
        <v>0</v>
      </c>
    </row>
    <row r="602" spans="2:10" x14ac:dyDescent="0.3">
      <c r="B602" s="50" t="str">
        <f t="shared" si="20"/>
        <v/>
      </c>
      <c r="C602" s="42" t="str">
        <f t="shared" si="19"/>
        <v/>
      </c>
      <c r="D602" s="60"/>
      <c r="E602" s="63"/>
      <c r="F602" s="61"/>
      <c r="G602" s="62"/>
      <c r="H602" s="62"/>
      <c r="I602" s="62"/>
      <c r="J602" s="49">
        <f>IF(AND(ISBLANK(G602),ISBLANK(H602),ISBLANK(I602)),VLOOKUP(TEXT(D602,"TTT"),Stammdaten!$B$20:$F$26,5,FALSE),H602-G602-I602)-IF(ISERROR(VLOOKUP(D602,Stammdaten!$I$9:$J$26,2,FALSE)),0,VLOOKUP(D602,Stammdaten!$I$9:$J$26,2,FALSE)/24)</f>
        <v>0</v>
      </c>
    </row>
    <row r="603" spans="2:10" x14ac:dyDescent="0.3">
      <c r="B603" s="50" t="str">
        <f t="shared" si="20"/>
        <v/>
      </c>
      <c r="C603" s="42" t="str">
        <f t="shared" si="19"/>
        <v/>
      </c>
      <c r="D603" s="60"/>
      <c r="E603" s="63"/>
      <c r="F603" s="61"/>
      <c r="G603" s="62"/>
      <c r="H603" s="62"/>
      <c r="I603" s="62"/>
      <c r="J603" s="49">
        <f>IF(AND(ISBLANK(G603),ISBLANK(H603),ISBLANK(I603)),VLOOKUP(TEXT(D603,"TTT"),Stammdaten!$B$20:$F$26,5,FALSE),H603-G603-I603)-IF(ISERROR(VLOOKUP(D603,Stammdaten!$I$9:$J$26,2,FALSE)),0,VLOOKUP(D603,Stammdaten!$I$9:$J$26,2,FALSE)/24)</f>
        <v>0</v>
      </c>
    </row>
    <row r="604" spans="2:10" x14ac:dyDescent="0.3">
      <c r="B604" s="50" t="str">
        <f t="shared" si="20"/>
        <v/>
      </c>
      <c r="C604" s="42" t="str">
        <f t="shared" si="19"/>
        <v/>
      </c>
      <c r="D604" s="60"/>
      <c r="E604" s="63"/>
      <c r="F604" s="61"/>
      <c r="G604" s="62"/>
      <c r="H604" s="62"/>
      <c r="I604" s="62"/>
      <c r="J604" s="49">
        <f>IF(AND(ISBLANK(G604),ISBLANK(H604),ISBLANK(I604)),VLOOKUP(TEXT(D604,"TTT"),Stammdaten!$B$20:$F$26,5,FALSE),H604-G604-I604)-IF(ISERROR(VLOOKUP(D604,Stammdaten!$I$9:$J$26,2,FALSE)),0,VLOOKUP(D604,Stammdaten!$I$9:$J$26,2,FALSE)/24)</f>
        <v>0</v>
      </c>
    </row>
    <row r="605" spans="2:10" x14ac:dyDescent="0.3">
      <c r="B605" s="50" t="str">
        <f t="shared" si="20"/>
        <v/>
      </c>
      <c r="C605" s="42" t="str">
        <f t="shared" si="19"/>
        <v/>
      </c>
      <c r="D605" s="60"/>
      <c r="E605" s="63"/>
      <c r="F605" s="61"/>
      <c r="G605" s="62"/>
      <c r="H605" s="62"/>
      <c r="I605" s="62"/>
      <c r="J605" s="49">
        <f>IF(AND(ISBLANK(G605),ISBLANK(H605),ISBLANK(I605)),VLOOKUP(TEXT(D605,"TTT"),Stammdaten!$B$20:$F$26,5,FALSE),H605-G605-I605)-IF(ISERROR(VLOOKUP(D605,Stammdaten!$I$9:$J$26,2,FALSE)),0,VLOOKUP(D605,Stammdaten!$I$9:$J$26,2,FALSE)/24)</f>
        <v>0</v>
      </c>
    </row>
    <row r="606" spans="2:10" x14ac:dyDescent="0.3">
      <c r="B606" s="50" t="str">
        <f t="shared" si="20"/>
        <v/>
      </c>
      <c r="C606" s="42" t="str">
        <f t="shared" si="19"/>
        <v/>
      </c>
      <c r="D606" s="60"/>
      <c r="E606" s="63"/>
      <c r="F606" s="61"/>
      <c r="G606" s="62"/>
      <c r="H606" s="62"/>
      <c r="I606" s="62"/>
      <c r="J606" s="49">
        <f>IF(AND(ISBLANK(G606),ISBLANK(H606),ISBLANK(I606)),VLOOKUP(TEXT(D606,"TTT"),Stammdaten!$B$20:$F$26,5,FALSE),H606-G606-I606)-IF(ISERROR(VLOOKUP(D606,Stammdaten!$I$9:$J$26,2,FALSE)),0,VLOOKUP(D606,Stammdaten!$I$9:$J$26,2,FALSE)/24)</f>
        <v>0</v>
      </c>
    </row>
    <row r="607" spans="2:10" x14ac:dyDescent="0.3">
      <c r="B607" s="50" t="str">
        <f t="shared" si="20"/>
        <v/>
      </c>
      <c r="C607" s="42" t="str">
        <f t="shared" si="19"/>
        <v/>
      </c>
      <c r="D607" s="60"/>
      <c r="E607" s="63"/>
      <c r="F607" s="61"/>
      <c r="G607" s="62"/>
      <c r="H607" s="62"/>
      <c r="I607" s="62"/>
      <c r="J607" s="49">
        <f>IF(AND(ISBLANK(G607),ISBLANK(H607),ISBLANK(I607)),VLOOKUP(TEXT(D607,"TTT"),Stammdaten!$B$20:$F$26,5,FALSE),H607-G607-I607)-IF(ISERROR(VLOOKUP(D607,Stammdaten!$I$9:$J$26,2,FALSE)),0,VLOOKUP(D607,Stammdaten!$I$9:$J$26,2,FALSE)/24)</f>
        <v>0</v>
      </c>
    </row>
    <row r="608" spans="2:10" x14ac:dyDescent="0.3">
      <c r="B608" s="50" t="str">
        <f t="shared" si="20"/>
        <v/>
      </c>
      <c r="C608" s="42" t="str">
        <f t="shared" si="19"/>
        <v/>
      </c>
      <c r="D608" s="60"/>
      <c r="E608" s="63"/>
      <c r="F608" s="61"/>
      <c r="G608" s="62"/>
      <c r="H608" s="62"/>
      <c r="I608" s="62"/>
      <c r="J608" s="49">
        <f>IF(AND(ISBLANK(G608),ISBLANK(H608),ISBLANK(I608)),VLOOKUP(TEXT(D608,"TTT"),Stammdaten!$B$20:$F$26,5,FALSE),H608-G608-I608)-IF(ISERROR(VLOOKUP(D608,Stammdaten!$I$9:$J$26,2,FALSE)),0,VLOOKUP(D608,Stammdaten!$I$9:$J$26,2,FALSE)/24)</f>
        <v>0</v>
      </c>
    </row>
    <row r="609" spans="2:10" x14ac:dyDescent="0.3">
      <c r="B609" s="50" t="str">
        <f t="shared" si="20"/>
        <v/>
      </c>
      <c r="C609" s="42" t="str">
        <f t="shared" si="19"/>
        <v/>
      </c>
      <c r="D609" s="60"/>
      <c r="E609" s="63"/>
      <c r="F609" s="61"/>
      <c r="G609" s="62"/>
      <c r="H609" s="62"/>
      <c r="I609" s="62"/>
      <c r="J609" s="49">
        <f>IF(AND(ISBLANK(G609),ISBLANK(H609),ISBLANK(I609)),VLOOKUP(TEXT(D609,"TTT"),Stammdaten!$B$20:$F$26,5,FALSE),H609-G609-I609)-IF(ISERROR(VLOOKUP(D609,Stammdaten!$I$9:$J$26,2,FALSE)),0,VLOOKUP(D609,Stammdaten!$I$9:$J$26,2,FALSE)/24)</f>
        <v>0</v>
      </c>
    </row>
    <row r="610" spans="2:10" x14ac:dyDescent="0.3">
      <c r="B610" s="50" t="str">
        <f t="shared" si="20"/>
        <v/>
      </c>
      <c r="C610" s="42" t="str">
        <f t="shared" si="19"/>
        <v/>
      </c>
      <c r="D610" s="60"/>
      <c r="E610" s="63"/>
      <c r="F610" s="61"/>
      <c r="G610" s="62"/>
      <c r="H610" s="62"/>
      <c r="I610" s="62"/>
      <c r="J610" s="49">
        <f>IF(AND(ISBLANK(G610),ISBLANK(H610),ISBLANK(I610)),VLOOKUP(TEXT(D610,"TTT"),Stammdaten!$B$20:$F$26,5,FALSE),H610-G610-I610)-IF(ISERROR(VLOOKUP(D610,Stammdaten!$I$9:$J$26,2,FALSE)),0,VLOOKUP(D610,Stammdaten!$I$9:$J$26,2,FALSE)/24)</f>
        <v>0</v>
      </c>
    </row>
    <row r="611" spans="2:10" x14ac:dyDescent="0.3">
      <c r="B611" s="50" t="str">
        <f t="shared" si="20"/>
        <v/>
      </c>
      <c r="C611" s="42" t="str">
        <f t="shared" si="19"/>
        <v/>
      </c>
      <c r="D611" s="60"/>
      <c r="E611" s="63"/>
      <c r="F611" s="61"/>
      <c r="G611" s="62"/>
      <c r="H611" s="62"/>
      <c r="I611" s="62"/>
      <c r="J611" s="49">
        <f>IF(AND(ISBLANK(G611),ISBLANK(H611),ISBLANK(I611)),VLOOKUP(TEXT(D611,"TTT"),Stammdaten!$B$20:$F$26,5,FALSE),H611-G611-I611)-IF(ISERROR(VLOOKUP(D611,Stammdaten!$I$9:$J$26,2,FALSE)),0,VLOOKUP(D611,Stammdaten!$I$9:$J$26,2,FALSE)/24)</f>
        <v>0</v>
      </c>
    </row>
    <row r="612" spans="2:10" x14ac:dyDescent="0.3">
      <c r="B612" s="50" t="str">
        <f t="shared" si="20"/>
        <v/>
      </c>
      <c r="C612" s="42" t="str">
        <f t="shared" si="19"/>
        <v/>
      </c>
      <c r="D612" s="60"/>
      <c r="E612" s="63"/>
      <c r="F612" s="61"/>
      <c r="G612" s="62"/>
      <c r="H612" s="62"/>
      <c r="I612" s="62"/>
      <c r="J612" s="49">
        <f>IF(AND(ISBLANK(G612),ISBLANK(H612),ISBLANK(I612)),VLOOKUP(TEXT(D612,"TTT"),Stammdaten!$B$20:$F$26,5,FALSE),H612-G612-I612)-IF(ISERROR(VLOOKUP(D612,Stammdaten!$I$9:$J$26,2,FALSE)),0,VLOOKUP(D612,Stammdaten!$I$9:$J$26,2,FALSE)/24)</f>
        <v>0</v>
      </c>
    </row>
    <row r="613" spans="2:10" x14ac:dyDescent="0.3">
      <c r="B613" s="50" t="str">
        <f t="shared" si="20"/>
        <v/>
      </c>
      <c r="C613" s="42" t="str">
        <f t="shared" si="19"/>
        <v/>
      </c>
      <c r="D613" s="60"/>
      <c r="E613" s="63"/>
      <c r="F613" s="61"/>
      <c r="G613" s="62"/>
      <c r="H613" s="62"/>
      <c r="I613" s="62"/>
      <c r="J613" s="49">
        <f>IF(AND(ISBLANK(G613),ISBLANK(H613),ISBLANK(I613)),VLOOKUP(TEXT(D613,"TTT"),Stammdaten!$B$20:$F$26,5,FALSE),H613-G613-I613)-IF(ISERROR(VLOOKUP(D613,Stammdaten!$I$9:$J$26,2,FALSE)),0,VLOOKUP(D613,Stammdaten!$I$9:$J$26,2,FALSE)/24)</f>
        <v>0</v>
      </c>
    </row>
    <row r="614" spans="2:10" x14ac:dyDescent="0.3">
      <c r="B614" s="50" t="str">
        <f t="shared" si="20"/>
        <v/>
      </c>
      <c r="C614" s="42" t="str">
        <f t="shared" si="19"/>
        <v/>
      </c>
      <c r="D614" s="60"/>
      <c r="E614" s="63"/>
      <c r="F614" s="61"/>
      <c r="G614" s="62"/>
      <c r="H614" s="62"/>
      <c r="I614" s="62"/>
      <c r="J614" s="49">
        <f>IF(AND(ISBLANK(G614),ISBLANK(H614),ISBLANK(I614)),VLOOKUP(TEXT(D614,"TTT"),Stammdaten!$B$20:$F$26,5,FALSE),H614-G614-I614)-IF(ISERROR(VLOOKUP(D614,Stammdaten!$I$9:$J$26,2,FALSE)),0,VLOOKUP(D614,Stammdaten!$I$9:$J$26,2,FALSE)/24)</f>
        <v>0</v>
      </c>
    </row>
    <row r="615" spans="2:10" x14ac:dyDescent="0.3">
      <c r="B615" s="50" t="str">
        <f t="shared" si="20"/>
        <v/>
      </c>
      <c r="C615" s="42" t="str">
        <f t="shared" si="19"/>
        <v/>
      </c>
      <c r="D615" s="60"/>
      <c r="E615" s="63"/>
      <c r="F615" s="61"/>
      <c r="G615" s="62"/>
      <c r="H615" s="62"/>
      <c r="I615" s="62"/>
      <c r="J615" s="49">
        <f>IF(AND(ISBLANK(G615),ISBLANK(H615),ISBLANK(I615)),VLOOKUP(TEXT(D615,"TTT"),Stammdaten!$B$20:$F$26,5,FALSE),H615-G615-I615)-IF(ISERROR(VLOOKUP(D615,Stammdaten!$I$9:$J$26,2,FALSE)),0,VLOOKUP(D615,Stammdaten!$I$9:$J$26,2,FALSE)/24)</f>
        <v>0</v>
      </c>
    </row>
    <row r="616" spans="2:10" x14ac:dyDescent="0.3">
      <c r="B616" s="50" t="str">
        <f t="shared" si="20"/>
        <v/>
      </c>
      <c r="C616" s="42" t="str">
        <f t="shared" si="19"/>
        <v/>
      </c>
      <c r="D616" s="60"/>
      <c r="E616" s="63"/>
      <c r="F616" s="61"/>
      <c r="G616" s="62"/>
      <c r="H616" s="62"/>
      <c r="I616" s="62"/>
      <c r="J616" s="49">
        <f>IF(AND(ISBLANK(G616),ISBLANK(H616),ISBLANK(I616)),VLOOKUP(TEXT(D616,"TTT"),Stammdaten!$B$20:$F$26,5,FALSE),H616-G616-I616)-IF(ISERROR(VLOOKUP(D616,Stammdaten!$I$9:$J$26,2,FALSE)),0,VLOOKUP(D616,Stammdaten!$I$9:$J$26,2,FALSE)/24)</f>
        <v>0</v>
      </c>
    </row>
    <row r="617" spans="2:10" x14ac:dyDescent="0.3">
      <c r="B617" s="50" t="str">
        <f t="shared" si="20"/>
        <v/>
      </c>
      <c r="C617" s="42" t="str">
        <f t="shared" si="19"/>
        <v/>
      </c>
      <c r="D617" s="60"/>
      <c r="E617" s="63"/>
      <c r="F617" s="61"/>
      <c r="G617" s="62"/>
      <c r="H617" s="62"/>
      <c r="I617" s="62"/>
      <c r="J617" s="49">
        <f>IF(AND(ISBLANK(G617),ISBLANK(H617),ISBLANK(I617)),VLOOKUP(TEXT(D617,"TTT"),Stammdaten!$B$20:$F$26,5,FALSE),H617-G617-I617)-IF(ISERROR(VLOOKUP(D617,Stammdaten!$I$9:$J$26,2,FALSE)),0,VLOOKUP(D617,Stammdaten!$I$9:$J$26,2,FALSE)/24)</f>
        <v>0</v>
      </c>
    </row>
    <row r="618" spans="2:10" x14ac:dyDescent="0.3">
      <c r="B618" s="50" t="str">
        <f t="shared" si="20"/>
        <v/>
      </c>
      <c r="C618" s="42" t="str">
        <f t="shared" si="19"/>
        <v/>
      </c>
      <c r="D618" s="60"/>
      <c r="E618" s="63"/>
      <c r="F618" s="61"/>
      <c r="G618" s="62"/>
      <c r="H618" s="62"/>
      <c r="I618" s="62"/>
      <c r="J618" s="49">
        <f>IF(AND(ISBLANK(G618),ISBLANK(H618),ISBLANK(I618)),VLOOKUP(TEXT(D618,"TTT"),Stammdaten!$B$20:$F$26,5,FALSE),H618-G618-I618)-IF(ISERROR(VLOOKUP(D618,Stammdaten!$I$9:$J$26,2,FALSE)),0,VLOOKUP(D618,Stammdaten!$I$9:$J$26,2,FALSE)/24)</f>
        <v>0</v>
      </c>
    </row>
    <row r="619" spans="2:10" x14ac:dyDescent="0.3">
      <c r="B619" s="50" t="str">
        <f t="shared" si="20"/>
        <v/>
      </c>
      <c r="C619" s="42" t="str">
        <f t="shared" si="19"/>
        <v/>
      </c>
      <c r="D619" s="60"/>
      <c r="E619" s="63"/>
      <c r="F619" s="61"/>
      <c r="G619" s="62"/>
      <c r="H619" s="62"/>
      <c r="I619" s="62"/>
      <c r="J619" s="49">
        <f>IF(AND(ISBLANK(G619),ISBLANK(H619),ISBLANK(I619)),VLOOKUP(TEXT(D619,"TTT"),Stammdaten!$B$20:$F$26,5,FALSE),H619-G619-I619)-IF(ISERROR(VLOOKUP(D619,Stammdaten!$I$9:$J$26,2,FALSE)),0,VLOOKUP(D619,Stammdaten!$I$9:$J$26,2,FALSE)/24)</f>
        <v>0</v>
      </c>
    </row>
    <row r="620" spans="2:10" x14ac:dyDescent="0.3">
      <c r="B620" s="50" t="str">
        <f t="shared" si="20"/>
        <v/>
      </c>
      <c r="C620" s="42" t="str">
        <f t="shared" si="19"/>
        <v/>
      </c>
      <c r="D620" s="60"/>
      <c r="E620" s="63"/>
      <c r="F620" s="61"/>
      <c r="G620" s="62"/>
      <c r="H620" s="62"/>
      <c r="I620" s="62"/>
      <c r="J620" s="49">
        <f>IF(AND(ISBLANK(G620),ISBLANK(H620),ISBLANK(I620)),VLOOKUP(TEXT(D620,"TTT"),Stammdaten!$B$20:$F$26,5,FALSE),H620-G620-I620)-IF(ISERROR(VLOOKUP(D620,Stammdaten!$I$9:$J$26,2,FALSE)),0,VLOOKUP(D620,Stammdaten!$I$9:$J$26,2,FALSE)/24)</f>
        <v>0</v>
      </c>
    </row>
    <row r="621" spans="2:10" x14ac:dyDescent="0.3">
      <c r="B621" s="50" t="str">
        <f t="shared" si="20"/>
        <v/>
      </c>
      <c r="C621" s="42" t="str">
        <f t="shared" si="19"/>
        <v/>
      </c>
      <c r="D621" s="60"/>
      <c r="E621" s="63"/>
      <c r="F621" s="61"/>
      <c r="G621" s="62"/>
      <c r="H621" s="62"/>
      <c r="I621" s="62"/>
      <c r="J621" s="49">
        <f>IF(AND(ISBLANK(G621),ISBLANK(H621),ISBLANK(I621)),VLOOKUP(TEXT(D621,"TTT"),Stammdaten!$B$20:$F$26,5,FALSE),H621-G621-I621)-IF(ISERROR(VLOOKUP(D621,Stammdaten!$I$9:$J$26,2,FALSE)),0,VLOOKUP(D621,Stammdaten!$I$9:$J$26,2,FALSE)/24)</f>
        <v>0</v>
      </c>
    </row>
    <row r="622" spans="2:10" x14ac:dyDescent="0.3">
      <c r="B622" s="50" t="str">
        <f t="shared" si="20"/>
        <v/>
      </c>
      <c r="C622" s="42" t="str">
        <f t="shared" si="19"/>
        <v/>
      </c>
      <c r="D622" s="60"/>
      <c r="E622" s="63"/>
      <c r="F622" s="61"/>
      <c r="G622" s="62"/>
      <c r="H622" s="62"/>
      <c r="I622" s="62"/>
      <c r="J622" s="49">
        <f>IF(AND(ISBLANK(G622),ISBLANK(H622),ISBLANK(I622)),VLOOKUP(TEXT(D622,"TTT"),Stammdaten!$B$20:$F$26,5,FALSE),H622-G622-I622)-IF(ISERROR(VLOOKUP(D622,Stammdaten!$I$9:$J$26,2,FALSE)),0,VLOOKUP(D622,Stammdaten!$I$9:$J$26,2,FALSE)/24)</f>
        <v>0</v>
      </c>
    </row>
    <row r="623" spans="2:10" x14ac:dyDescent="0.3">
      <c r="B623" s="50" t="str">
        <f t="shared" si="20"/>
        <v/>
      </c>
      <c r="C623" s="42" t="str">
        <f t="shared" si="19"/>
        <v/>
      </c>
      <c r="D623" s="60"/>
      <c r="E623" s="63"/>
      <c r="F623" s="61"/>
      <c r="G623" s="62"/>
      <c r="H623" s="62"/>
      <c r="I623" s="62"/>
      <c r="J623" s="49">
        <f>IF(AND(ISBLANK(G623),ISBLANK(H623),ISBLANK(I623)),VLOOKUP(TEXT(D623,"TTT"),Stammdaten!$B$20:$F$26,5,FALSE),H623-G623-I623)-IF(ISERROR(VLOOKUP(D623,Stammdaten!$I$9:$J$26,2,FALSE)),0,VLOOKUP(D623,Stammdaten!$I$9:$J$26,2,FALSE)/24)</f>
        <v>0</v>
      </c>
    </row>
    <row r="624" spans="2:10" x14ac:dyDescent="0.3">
      <c r="B624" s="50" t="str">
        <f t="shared" si="20"/>
        <v/>
      </c>
      <c r="C624" s="42" t="str">
        <f t="shared" si="19"/>
        <v/>
      </c>
      <c r="D624" s="60"/>
      <c r="E624" s="63"/>
      <c r="F624" s="61"/>
      <c r="G624" s="62"/>
      <c r="H624" s="62"/>
      <c r="I624" s="62"/>
      <c r="J624" s="49">
        <f>IF(AND(ISBLANK(G624),ISBLANK(H624),ISBLANK(I624)),VLOOKUP(TEXT(D624,"TTT"),Stammdaten!$B$20:$F$26,5,FALSE),H624-G624-I624)-IF(ISERROR(VLOOKUP(D624,Stammdaten!$I$9:$J$26,2,FALSE)),0,VLOOKUP(D624,Stammdaten!$I$9:$J$26,2,FALSE)/24)</f>
        <v>0</v>
      </c>
    </row>
    <row r="625" spans="2:10" x14ac:dyDescent="0.3">
      <c r="B625" s="50" t="str">
        <f t="shared" si="20"/>
        <v/>
      </c>
      <c r="C625" s="42" t="str">
        <f t="shared" si="19"/>
        <v/>
      </c>
      <c r="D625" s="60"/>
      <c r="E625" s="63"/>
      <c r="F625" s="61"/>
      <c r="G625" s="62"/>
      <c r="H625" s="62"/>
      <c r="I625" s="62"/>
      <c r="J625" s="49">
        <f>IF(AND(ISBLANK(G625),ISBLANK(H625),ISBLANK(I625)),VLOOKUP(TEXT(D625,"TTT"),Stammdaten!$B$20:$F$26,5,FALSE),H625-G625-I625)-IF(ISERROR(VLOOKUP(D625,Stammdaten!$I$9:$J$26,2,FALSE)),0,VLOOKUP(D625,Stammdaten!$I$9:$J$26,2,FALSE)/24)</f>
        <v>0</v>
      </c>
    </row>
    <row r="626" spans="2:10" x14ac:dyDescent="0.3">
      <c r="B626" s="50" t="str">
        <f t="shared" si="20"/>
        <v/>
      </c>
      <c r="C626" s="42" t="str">
        <f t="shared" si="19"/>
        <v/>
      </c>
      <c r="D626" s="60"/>
      <c r="E626" s="63"/>
      <c r="F626" s="61"/>
      <c r="G626" s="62"/>
      <c r="H626" s="62"/>
      <c r="I626" s="62"/>
      <c r="J626" s="49">
        <f>IF(AND(ISBLANK(G626),ISBLANK(H626),ISBLANK(I626)),VLOOKUP(TEXT(D626,"TTT"),Stammdaten!$B$20:$F$26,5,FALSE),H626-G626-I626)-IF(ISERROR(VLOOKUP(D626,Stammdaten!$I$9:$J$26,2,FALSE)),0,VLOOKUP(D626,Stammdaten!$I$9:$J$26,2,FALSE)/24)</f>
        <v>0</v>
      </c>
    </row>
    <row r="627" spans="2:10" x14ac:dyDescent="0.3">
      <c r="B627" s="50" t="str">
        <f t="shared" si="20"/>
        <v/>
      </c>
      <c r="C627" s="42" t="str">
        <f t="shared" si="19"/>
        <v/>
      </c>
      <c r="D627" s="60"/>
      <c r="E627" s="63"/>
      <c r="F627" s="61"/>
      <c r="G627" s="62"/>
      <c r="H627" s="62"/>
      <c r="I627" s="62"/>
      <c r="J627" s="49">
        <f>IF(AND(ISBLANK(G627),ISBLANK(H627),ISBLANK(I627)),VLOOKUP(TEXT(D627,"TTT"),Stammdaten!$B$20:$F$26,5,FALSE),H627-G627-I627)-IF(ISERROR(VLOOKUP(D627,Stammdaten!$I$9:$J$26,2,FALSE)),0,VLOOKUP(D627,Stammdaten!$I$9:$J$26,2,FALSE)/24)</f>
        <v>0</v>
      </c>
    </row>
    <row r="628" spans="2:10" x14ac:dyDescent="0.3">
      <c r="B628" s="50" t="str">
        <f t="shared" si="20"/>
        <v/>
      </c>
      <c r="C628" s="42" t="str">
        <f t="shared" si="19"/>
        <v/>
      </c>
      <c r="D628" s="60"/>
      <c r="E628" s="63"/>
      <c r="F628" s="61"/>
      <c r="G628" s="62"/>
      <c r="H628" s="62"/>
      <c r="I628" s="62"/>
      <c r="J628" s="49">
        <f>IF(AND(ISBLANK(G628),ISBLANK(H628),ISBLANK(I628)),VLOOKUP(TEXT(D628,"TTT"),Stammdaten!$B$20:$F$26,5,FALSE),H628-G628-I628)-IF(ISERROR(VLOOKUP(D628,Stammdaten!$I$9:$J$26,2,FALSE)),0,VLOOKUP(D628,Stammdaten!$I$9:$J$26,2,FALSE)/24)</f>
        <v>0</v>
      </c>
    </row>
    <row r="629" spans="2:10" x14ac:dyDescent="0.3">
      <c r="B629" s="50" t="str">
        <f t="shared" si="20"/>
        <v/>
      </c>
      <c r="C629" s="42" t="str">
        <f t="shared" si="19"/>
        <v/>
      </c>
      <c r="D629" s="60"/>
      <c r="E629" s="63"/>
      <c r="F629" s="61"/>
      <c r="G629" s="62"/>
      <c r="H629" s="62"/>
      <c r="I629" s="62"/>
      <c r="J629" s="49">
        <f>IF(AND(ISBLANK(G629),ISBLANK(H629),ISBLANK(I629)),VLOOKUP(TEXT(D629,"TTT"),Stammdaten!$B$20:$F$26,5,FALSE),H629-G629-I629)-IF(ISERROR(VLOOKUP(D629,Stammdaten!$I$9:$J$26,2,FALSE)),0,VLOOKUP(D629,Stammdaten!$I$9:$J$26,2,FALSE)/24)</f>
        <v>0</v>
      </c>
    </row>
    <row r="630" spans="2:10" x14ac:dyDescent="0.3">
      <c r="B630" s="50" t="str">
        <f t="shared" si="20"/>
        <v/>
      </c>
      <c r="C630" s="42" t="str">
        <f t="shared" si="19"/>
        <v/>
      </c>
      <c r="D630" s="60"/>
      <c r="E630" s="63"/>
      <c r="F630" s="61"/>
      <c r="G630" s="62"/>
      <c r="H630" s="62"/>
      <c r="I630" s="62"/>
      <c r="J630" s="49">
        <f>IF(AND(ISBLANK(G630),ISBLANK(H630),ISBLANK(I630)),VLOOKUP(TEXT(D630,"TTT"),Stammdaten!$B$20:$F$26,5,FALSE),H630-G630-I630)-IF(ISERROR(VLOOKUP(D630,Stammdaten!$I$9:$J$26,2,FALSE)),0,VLOOKUP(D630,Stammdaten!$I$9:$J$26,2,FALSE)/24)</f>
        <v>0</v>
      </c>
    </row>
    <row r="631" spans="2:10" x14ac:dyDescent="0.3">
      <c r="B631" s="50" t="str">
        <f t="shared" si="20"/>
        <v/>
      </c>
      <c r="C631" s="42" t="str">
        <f t="shared" si="19"/>
        <v/>
      </c>
      <c r="D631" s="60"/>
      <c r="E631" s="63"/>
      <c r="F631" s="61"/>
      <c r="G631" s="62"/>
      <c r="H631" s="62"/>
      <c r="I631" s="62"/>
      <c r="J631" s="49">
        <f>IF(AND(ISBLANK(G631),ISBLANK(H631),ISBLANK(I631)),VLOOKUP(TEXT(D631,"TTT"),Stammdaten!$B$20:$F$26,5,FALSE),H631-G631-I631)-IF(ISERROR(VLOOKUP(D631,Stammdaten!$I$9:$J$26,2,FALSE)),0,VLOOKUP(D631,Stammdaten!$I$9:$J$26,2,FALSE)/24)</f>
        <v>0</v>
      </c>
    </row>
    <row r="632" spans="2:10" x14ac:dyDescent="0.3">
      <c r="B632" s="50" t="str">
        <f t="shared" si="20"/>
        <v/>
      </c>
      <c r="C632" s="42" t="str">
        <f t="shared" si="19"/>
        <v/>
      </c>
      <c r="D632" s="60"/>
      <c r="E632" s="63"/>
      <c r="F632" s="61"/>
      <c r="G632" s="62"/>
      <c r="H632" s="62"/>
      <c r="I632" s="62"/>
      <c r="J632" s="49">
        <f>IF(AND(ISBLANK(G632),ISBLANK(H632),ISBLANK(I632)),VLOOKUP(TEXT(D632,"TTT"),Stammdaten!$B$20:$F$26,5,FALSE),H632-G632-I632)-IF(ISERROR(VLOOKUP(D632,Stammdaten!$I$9:$J$26,2,FALSE)),0,VLOOKUP(D632,Stammdaten!$I$9:$J$26,2,FALSE)/24)</f>
        <v>0</v>
      </c>
    </row>
    <row r="633" spans="2:10" x14ac:dyDescent="0.3">
      <c r="B633" s="50" t="str">
        <f t="shared" si="20"/>
        <v/>
      </c>
      <c r="C633" s="42" t="str">
        <f t="shared" si="19"/>
        <v/>
      </c>
      <c r="D633" s="60"/>
      <c r="E633" s="63"/>
      <c r="F633" s="61"/>
      <c r="G633" s="62"/>
      <c r="H633" s="62"/>
      <c r="I633" s="62"/>
      <c r="J633" s="49">
        <f>IF(AND(ISBLANK(G633),ISBLANK(H633),ISBLANK(I633)),VLOOKUP(TEXT(D633,"TTT"),Stammdaten!$B$20:$F$26,5,FALSE),H633-G633-I633)-IF(ISERROR(VLOOKUP(D633,Stammdaten!$I$9:$J$26,2,FALSE)),0,VLOOKUP(D633,Stammdaten!$I$9:$J$26,2,FALSE)/24)</f>
        <v>0</v>
      </c>
    </row>
    <row r="634" spans="2:10" x14ac:dyDescent="0.3">
      <c r="B634" s="50" t="str">
        <f t="shared" si="20"/>
        <v/>
      </c>
      <c r="C634" s="42" t="str">
        <f t="shared" si="19"/>
        <v/>
      </c>
      <c r="D634" s="60"/>
      <c r="E634" s="63"/>
      <c r="F634" s="61"/>
      <c r="G634" s="62"/>
      <c r="H634" s="62"/>
      <c r="I634" s="62"/>
      <c r="J634" s="49">
        <f>IF(AND(ISBLANK(G634),ISBLANK(H634),ISBLANK(I634)),VLOOKUP(TEXT(D634,"TTT"),Stammdaten!$B$20:$F$26,5,FALSE),H634-G634-I634)-IF(ISERROR(VLOOKUP(D634,Stammdaten!$I$9:$J$26,2,FALSE)),0,VLOOKUP(D634,Stammdaten!$I$9:$J$26,2,FALSE)/24)</f>
        <v>0</v>
      </c>
    </row>
    <row r="635" spans="2:10" x14ac:dyDescent="0.3">
      <c r="B635" s="50" t="str">
        <f t="shared" si="20"/>
        <v/>
      </c>
      <c r="C635" s="42" t="str">
        <f t="shared" si="19"/>
        <v/>
      </c>
      <c r="D635" s="60"/>
      <c r="E635" s="63"/>
      <c r="F635" s="61"/>
      <c r="G635" s="62"/>
      <c r="H635" s="62"/>
      <c r="I635" s="62"/>
      <c r="J635" s="49">
        <f>IF(AND(ISBLANK(G635),ISBLANK(H635),ISBLANK(I635)),VLOOKUP(TEXT(D635,"TTT"),Stammdaten!$B$20:$F$26,5,FALSE),H635-G635-I635)-IF(ISERROR(VLOOKUP(D635,Stammdaten!$I$9:$J$26,2,FALSE)),0,VLOOKUP(D635,Stammdaten!$I$9:$J$26,2,FALSE)/24)</f>
        <v>0</v>
      </c>
    </row>
    <row r="636" spans="2:10" x14ac:dyDescent="0.3">
      <c r="B636" s="50" t="str">
        <f t="shared" si="20"/>
        <v/>
      </c>
      <c r="C636" s="42" t="str">
        <f t="shared" si="19"/>
        <v/>
      </c>
      <c r="D636" s="60"/>
      <c r="E636" s="63"/>
      <c r="F636" s="61"/>
      <c r="G636" s="62"/>
      <c r="H636" s="62"/>
      <c r="I636" s="62"/>
      <c r="J636" s="49">
        <f>IF(AND(ISBLANK(G636),ISBLANK(H636),ISBLANK(I636)),VLOOKUP(TEXT(D636,"TTT"),Stammdaten!$B$20:$F$26,5,FALSE),H636-G636-I636)-IF(ISERROR(VLOOKUP(D636,Stammdaten!$I$9:$J$26,2,FALSE)),0,VLOOKUP(D636,Stammdaten!$I$9:$J$26,2,FALSE)/24)</f>
        <v>0</v>
      </c>
    </row>
    <row r="637" spans="2:10" x14ac:dyDescent="0.3">
      <c r="B637" s="50" t="str">
        <f t="shared" si="20"/>
        <v/>
      </c>
      <c r="C637" s="42" t="str">
        <f t="shared" si="19"/>
        <v/>
      </c>
      <c r="D637" s="60"/>
      <c r="E637" s="63"/>
      <c r="F637" s="61"/>
      <c r="G637" s="62"/>
      <c r="H637" s="62"/>
      <c r="I637" s="62"/>
      <c r="J637" s="49">
        <f>IF(AND(ISBLANK(G637),ISBLANK(H637),ISBLANK(I637)),VLOOKUP(TEXT(D637,"TTT"),Stammdaten!$B$20:$F$26,5,FALSE),H637-G637-I637)-IF(ISERROR(VLOOKUP(D637,Stammdaten!$I$9:$J$26,2,FALSE)),0,VLOOKUP(D637,Stammdaten!$I$9:$J$26,2,FALSE)/24)</f>
        <v>0</v>
      </c>
    </row>
    <row r="638" spans="2:10" x14ac:dyDescent="0.3">
      <c r="B638" s="50" t="str">
        <f t="shared" si="20"/>
        <v/>
      </c>
      <c r="C638" s="42" t="str">
        <f t="shared" si="19"/>
        <v/>
      </c>
      <c r="D638" s="60"/>
      <c r="E638" s="63"/>
      <c r="F638" s="61"/>
      <c r="G638" s="62"/>
      <c r="H638" s="62"/>
      <c r="I638" s="62"/>
      <c r="J638" s="49">
        <f>IF(AND(ISBLANK(G638),ISBLANK(H638),ISBLANK(I638)),VLOOKUP(TEXT(D638,"TTT"),Stammdaten!$B$20:$F$26,5,FALSE),H638-G638-I638)-IF(ISERROR(VLOOKUP(D638,Stammdaten!$I$9:$J$26,2,FALSE)),0,VLOOKUP(D638,Stammdaten!$I$9:$J$26,2,FALSE)/24)</f>
        <v>0</v>
      </c>
    </row>
    <row r="639" spans="2:10" x14ac:dyDescent="0.3">
      <c r="B639" s="50" t="str">
        <f t="shared" si="20"/>
        <v/>
      </c>
      <c r="C639" s="42" t="str">
        <f t="shared" si="19"/>
        <v/>
      </c>
      <c r="D639" s="60"/>
      <c r="E639" s="63"/>
      <c r="F639" s="61"/>
      <c r="G639" s="62"/>
      <c r="H639" s="62"/>
      <c r="I639" s="62"/>
      <c r="J639" s="49">
        <f>IF(AND(ISBLANK(G639),ISBLANK(H639),ISBLANK(I639)),VLOOKUP(TEXT(D639,"TTT"),Stammdaten!$B$20:$F$26,5,FALSE),H639-G639-I639)-IF(ISERROR(VLOOKUP(D639,Stammdaten!$I$9:$J$26,2,FALSE)),0,VLOOKUP(D639,Stammdaten!$I$9:$J$26,2,FALSE)/24)</f>
        <v>0</v>
      </c>
    </row>
    <row r="640" spans="2:10" x14ac:dyDescent="0.3">
      <c r="B640" s="50" t="str">
        <f t="shared" si="20"/>
        <v/>
      </c>
      <c r="C640" s="42" t="str">
        <f t="shared" si="19"/>
        <v/>
      </c>
      <c r="D640" s="60"/>
      <c r="E640" s="63"/>
      <c r="F640" s="61"/>
      <c r="G640" s="62"/>
      <c r="H640" s="62"/>
      <c r="I640" s="62"/>
      <c r="J640" s="49">
        <f>IF(AND(ISBLANK(G640),ISBLANK(H640),ISBLANK(I640)),VLOOKUP(TEXT(D640,"TTT"),Stammdaten!$B$20:$F$26,5,FALSE),H640-G640-I640)-IF(ISERROR(VLOOKUP(D640,Stammdaten!$I$9:$J$26,2,FALSE)),0,VLOOKUP(D640,Stammdaten!$I$9:$J$26,2,FALSE)/24)</f>
        <v>0</v>
      </c>
    </row>
    <row r="641" spans="2:10" x14ac:dyDescent="0.3">
      <c r="B641" s="50" t="str">
        <f t="shared" si="20"/>
        <v/>
      </c>
      <c r="C641" s="42" t="str">
        <f t="shared" si="19"/>
        <v/>
      </c>
      <c r="D641" s="60"/>
      <c r="E641" s="63"/>
      <c r="F641" s="61"/>
      <c r="G641" s="62"/>
      <c r="H641" s="62"/>
      <c r="I641" s="62"/>
      <c r="J641" s="49">
        <f>IF(AND(ISBLANK(G641),ISBLANK(H641),ISBLANK(I641)),VLOOKUP(TEXT(D641,"TTT"),Stammdaten!$B$20:$F$26,5,FALSE),H641-G641-I641)-IF(ISERROR(VLOOKUP(D641,Stammdaten!$I$9:$J$26,2,FALSE)),0,VLOOKUP(D641,Stammdaten!$I$9:$J$26,2,FALSE)/24)</f>
        <v>0</v>
      </c>
    </row>
    <row r="642" spans="2:10" x14ac:dyDescent="0.3">
      <c r="B642" s="50" t="str">
        <f t="shared" si="20"/>
        <v/>
      </c>
      <c r="C642" s="42" t="str">
        <f t="shared" ref="C642:C705" si="21">IF(D642="","",D642)</f>
        <v/>
      </c>
      <c r="D642" s="60"/>
      <c r="E642" s="63"/>
      <c r="F642" s="61"/>
      <c r="G642" s="62"/>
      <c r="H642" s="62"/>
      <c r="I642" s="62"/>
      <c r="J642" s="49">
        <f>IF(AND(ISBLANK(G642),ISBLANK(H642),ISBLANK(I642)),VLOOKUP(TEXT(D642,"TTT"),Stammdaten!$B$20:$F$26,5,FALSE),H642-G642-I642)-IF(ISERROR(VLOOKUP(D642,Stammdaten!$I$9:$J$26,2,FALSE)),0,VLOOKUP(D642,Stammdaten!$I$9:$J$26,2,FALSE)/24)</f>
        <v>0</v>
      </c>
    </row>
    <row r="643" spans="2:10" x14ac:dyDescent="0.3">
      <c r="B643" s="50" t="str">
        <f t="shared" si="20"/>
        <v/>
      </c>
      <c r="C643" s="42" t="str">
        <f t="shared" si="21"/>
        <v/>
      </c>
      <c r="D643" s="60"/>
      <c r="E643" s="63"/>
      <c r="F643" s="61"/>
      <c r="G643" s="62"/>
      <c r="H643" s="62"/>
      <c r="I643" s="62"/>
      <c r="J643" s="49">
        <f>IF(AND(ISBLANK(G643),ISBLANK(H643),ISBLANK(I643)),VLOOKUP(TEXT(D643,"TTT"),Stammdaten!$B$20:$F$26,5,FALSE),H643-G643-I643)-IF(ISERROR(VLOOKUP(D643,Stammdaten!$I$9:$J$26,2,FALSE)),0,VLOOKUP(D643,Stammdaten!$I$9:$J$26,2,FALSE)/24)</f>
        <v>0</v>
      </c>
    </row>
    <row r="644" spans="2:10" x14ac:dyDescent="0.3">
      <c r="B644" s="50" t="str">
        <f t="shared" ref="B644:B707" si="22">IF(ISBLANK(E644),"",VLOOKUP(E644,$L$2:$M$11,2,FALSE))</f>
        <v/>
      </c>
      <c r="C644" s="42" t="str">
        <f t="shared" si="21"/>
        <v/>
      </c>
      <c r="D644" s="60"/>
      <c r="E644" s="63"/>
      <c r="F644" s="61"/>
      <c r="G644" s="62"/>
      <c r="H644" s="62"/>
      <c r="I644" s="62"/>
      <c r="J644" s="49">
        <f>IF(AND(ISBLANK(G644),ISBLANK(H644),ISBLANK(I644)),VLOOKUP(TEXT(D644,"TTT"),Stammdaten!$B$20:$F$26,5,FALSE),H644-G644-I644)-IF(ISERROR(VLOOKUP(D644,Stammdaten!$I$9:$J$26,2,FALSE)),0,VLOOKUP(D644,Stammdaten!$I$9:$J$26,2,FALSE)/24)</f>
        <v>0</v>
      </c>
    </row>
    <row r="645" spans="2:10" x14ac:dyDescent="0.3">
      <c r="B645" s="50" t="str">
        <f t="shared" si="22"/>
        <v/>
      </c>
      <c r="C645" s="42" t="str">
        <f t="shared" si="21"/>
        <v/>
      </c>
      <c r="D645" s="60"/>
      <c r="E645" s="63"/>
      <c r="F645" s="61"/>
      <c r="G645" s="62"/>
      <c r="H645" s="62"/>
      <c r="I645" s="62"/>
      <c r="J645" s="49">
        <f>IF(AND(ISBLANK(G645),ISBLANK(H645),ISBLANK(I645)),VLOOKUP(TEXT(D645,"TTT"),Stammdaten!$B$20:$F$26,5,FALSE),H645-G645-I645)-IF(ISERROR(VLOOKUP(D645,Stammdaten!$I$9:$J$26,2,FALSE)),0,VLOOKUP(D645,Stammdaten!$I$9:$J$26,2,FALSE)/24)</f>
        <v>0</v>
      </c>
    </row>
    <row r="646" spans="2:10" x14ac:dyDescent="0.3">
      <c r="B646" s="50" t="str">
        <f t="shared" si="22"/>
        <v/>
      </c>
      <c r="C646" s="42" t="str">
        <f t="shared" si="21"/>
        <v/>
      </c>
      <c r="D646" s="60"/>
      <c r="E646" s="63"/>
      <c r="F646" s="61"/>
      <c r="G646" s="62"/>
      <c r="H646" s="62"/>
      <c r="I646" s="62"/>
      <c r="J646" s="49">
        <f>IF(AND(ISBLANK(G646),ISBLANK(H646),ISBLANK(I646)),VLOOKUP(TEXT(D646,"TTT"),Stammdaten!$B$20:$F$26,5,FALSE),H646-G646-I646)-IF(ISERROR(VLOOKUP(D646,Stammdaten!$I$9:$J$26,2,FALSE)),0,VLOOKUP(D646,Stammdaten!$I$9:$J$26,2,FALSE)/24)</f>
        <v>0</v>
      </c>
    </row>
    <row r="647" spans="2:10" x14ac:dyDescent="0.3">
      <c r="B647" s="50" t="str">
        <f t="shared" si="22"/>
        <v/>
      </c>
      <c r="C647" s="42" t="str">
        <f t="shared" si="21"/>
        <v/>
      </c>
      <c r="D647" s="60"/>
      <c r="E647" s="63"/>
      <c r="F647" s="61"/>
      <c r="G647" s="62"/>
      <c r="H647" s="62"/>
      <c r="I647" s="62"/>
      <c r="J647" s="49">
        <f>IF(AND(ISBLANK(G647),ISBLANK(H647),ISBLANK(I647)),VLOOKUP(TEXT(D647,"TTT"),Stammdaten!$B$20:$F$26,5,FALSE),H647-G647-I647)-IF(ISERROR(VLOOKUP(D647,Stammdaten!$I$9:$J$26,2,FALSE)),0,VLOOKUP(D647,Stammdaten!$I$9:$J$26,2,FALSE)/24)</f>
        <v>0</v>
      </c>
    </row>
    <row r="648" spans="2:10" x14ac:dyDescent="0.3">
      <c r="B648" s="50" t="str">
        <f t="shared" si="22"/>
        <v/>
      </c>
      <c r="C648" s="42" t="str">
        <f t="shared" si="21"/>
        <v/>
      </c>
      <c r="D648" s="60"/>
      <c r="E648" s="63"/>
      <c r="F648" s="61"/>
      <c r="G648" s="62"/>
      <c r="H648" s="62"/>
      <c r="I648" s="62"/>
      <c r="J648" s="49">
        <f>IF(AND(ISBLANK(G648),ISBLANK(H648),ISBLANK(I648)),VLOOKUP(TEXT(D648,"TTT"),Stammdaten!$B$20:$F$26,5,FALSE),H648-G648-I648)-IF(ISERROR(VLOOKUP(D648,Stammdaten!$I$9:$J$26,2,FALSE)),0,VLOOKUP(D648,Stammdaten!$I$9:$J$26,2,FALSE)/24)</f>
        <v>0</v>
      </c>
    </row>
    <row r="649" spans="2:10" x14ac:dyDescent="0.3">
      <c r="B649" s="50" t="str">
        <f t="shared" si="22"/>
        <v/>
      </c>
      <c r="C649" s="42" t="str">
        <f t="shared" si="21"/>
        <v/>
      </c>
      <c r="D649" s="60"/>
      <c r="E649" s="63"/>
      <c r="F649" s="61"/>
      <c r="G649" s="62"/>
      <c r="H649" s="62"/>
      <c r="I649" s="62"/>
      <c r="J649" s="49">
        <f>IF(AND(ISBLANK(G649),ISBLANK(H649),ISBLANK(I649)),VLOOKUP(TEXT(D649,"TTT"),Stammdaten!$B$20:$F$26,5,FALSE),H649-G649-I649)-IF(ISERROR(VLOOKUP(D649,Stammdaten!$I$9:$J$26,2,FALSE)),0,VLOOKUP(D649,Stammdaten!$I$9:$J$26,2,FALSE)/24)</f>
        <v>0</v>
      </c>
    </row>
    <row r="650" spans="2:10" x14ac:dyDescent="0.3">
      <c r="B650" s="50" t="str">
        <f t="shared" si="22"/>
        <v/>
      </c>
      <c r="C650" s="42" t="str">
        <f t="shared" si="21"/>
        <v/>
      </c>
      <c r="D650" s="60"/>
      <c r="E650" s="63"/>
      <c r="F650" s="61"/>
      <c r="G650" s="62"/>
      <c r="H650" s="62"/>
      <c r="I650" s="62"/>
      <c r="J650" s="49">
        <f>IF(AND(ISBLANK(G650),ISBLANK(H650),ISBLANK(I650)),VLOOKUP(TEXT(D650,"TTT"),Stammdaten!$B$20:$F$26,5,FALSE),H650-G650-I650)-IF(ISERROR(VLOOKUP(D650,Stammdaten!$I$9:$J$26,2,FALSE)),0,VLOOKUP(D650,Stammdaten!$I$9:$J$26,2,FALSE)/24)</f>
        <v>0</v>
      </c>
    </row>
    <row r="651" spans="2:10" x14ac:dyDescent="0.3">
      <c r="B651" s="50" t="str">
        <f t="shared" si="22"/>
        <v/>
      </c>
      <c r="C651" s="42" t="str">
        <f t="shared" si="21"/>
        <v/>
      </c>
      <c r="D651" s="60"/>
      <c r="E651" s="63"/>
      <c r="F651" s="61"/>
      <c r="G651" s="62"/>
      <c r="H651" s="62"/>
      <c r="I651" s="62"/>
      <c r="J651" s="49">
        <f>IF(AND(ISBLANK(G651),ISBLANK(H651),ISBLANK(I651)),VLOOKUP(TEXT(D651,"TTT"),Stammdaten!$B$20:$F$26,5,FALSE),H651-G651-I651)-IF(ISERROR(VLOOKUP(D651,Stammdaten!$I$9:$J$26,2,FALSE)),0,VLOOKUP(D651,Stammdaten!$I$9:$J$26,2,FALSE)/24)</f>
        <v>0</v>
      </c>
    </row>
    <row r="652" spans="2:10" x14ac:dyDescent="0.3">
      <c r="B652" s="50" t="str">
        <f t="shared" si="22"/>
        <v/>
      </c>
      <c r="C652" s="42" t="str">
        <f t="shared" si="21"/>
        <v/>
      </c>
      <c r="D652" s="60"/>
      <c r="E652" s="63"/>
      <c r="F652" s="61"/>
      <c r="G652" s="62"/>
      <c r="H652" s="62"/>
      <c r="I652" s="62"/>
      <c r="J652" s="49">
        <f>IF(AND(ISBLANK(G652),ISBLANK(H652),ISBLANK(I652)),VLOOKUP(TEXT(D652,"TTT"),Stammdaten!$B$20:$F$26,5,FALSE),H652-G652-I652)-IF(ISERROR(VLOOKUP(D652,Stammdaten!$I$9:$J$26,2,FALSE)),0,VLOOKUP(D652,Stammdaten!$I$9:$J$26,2,FALSE)/24)</f>
        <v>0</v>
      </c>
    </row>
    <row r="653" spans="2:10" x14ac:dyDescent="0.3">
      <c r="B653" s="50" t="str">
        <f t="shared" si="22"/>
        <v/>
      </c>
      <c r="C653" s="42" t="str">
        <f t="shared" si="21"/>
        <v/>
      </c>
      <c r="D653" s="60"/>
      <c r="E653" s="63"/>
      <c r="F653" s="61"/>
      <c r="G653" s="62"/>
      <c r="H653" s="62"/>
      <c r="I653" s="62"/>
      <c r="J653" s="49">
        <f>IF(AND(ISBLANK(G653),ISBLANK(H653),ISBLANK(I653)),VLOOKUP(TEXT(D653,"TTT"),Stammdaten!$B$20:$F$26,5,FALSE),H653-G653-I653)-IF(ISERROR(VLOOKUP(D653,Stammdaten!$I$9:$J$26,2,FALSE)),0,VLOOKUP(D653,Stammdaten!$I$9:$J$26,2,FALSE)/24)</f>
        <v>0</v>
      </c>
    </row>
    <row r="654" spans="2:10" x14ac:dyDescent="0.3">
      <c r="B654" s="50" t="str">
        <f t="shared" si="22"/>
        <v/>
      </c>
      <c r="C654" s="42" t="str">
        <f t="shared" si="21"/>
        <v/>
      </c>
      <c r="D654" s="60"/>
      <c r="E654" s="63"/>
      <c r="F654" s="61"/>
      <c r="G654" s="62"/>
      <c r="H654" s="62"/>
      <c r="I654" s="62"/>
      <c r="J654" s="49">
        <f>IF(AND(ISBLANK(G654),ISBLANK(H654),ISBLANK(I654)),VLOOKUP(TEXT(D654,"TTT"),Stammdaten!$B$20:$F$26,5,FALSE),H654-G654-I654)-IF(ISERROR(VLOOKUP(D654,Stammdaten!$I$9:$J$26,2,FALSE)),0,VLOOKUP(D654,Stammdaten!$I$9:$J$26,2,FALSE)/24)</f>
        <v>0</v>
      </c>
    </row>
    <row r="655" spans="2:10" x14ac:dyDescent="0.3">
      <c r="B655" s="50" t="str">
        <f t="shared" si="22"/>
        <v/>
      </c>
      <c r="C655" s="42" t="str">
        <f t="shared" si="21"/>
        <v/>
      </c>
      <c r="D655" s="60"/>
      <c r="E655" s="63"/>
      <c r="F655" s="61"/>
      <c r="G655" s="62"/>
      <c r="H655" s="62"/>
      <c r="I655" s="62"/>
      <c r="J655" s="49">
        <f>IF(AND(ISBLANK(G655),ISBLANK(H655),ISBLANK(I655)),VLOOKUP(TEXT(D655,"TTT"),Stammdaten!$B$20:$F$26,5,FALSE),H655-G655-I655)-IF(ISERROR(VLOOKUP(D655,Stammdaten!$I$9:$J$26,2,FALSE)),0,VLOOKUP(D655,Stammdaten!$I$9:$J$26,2,FALSE)/24)</f>
        <v>0</v>
      </c>
    </row>
    <row r="656" spans="2:10" x14ac:dyDescent="0.3">
      <c r="B656" s="50" t="str">
        <f t="shared" si="22"/>
        <v/>
      </c>
      <c r="C656" s="42" t="str">
        <f t="shared" si="21"/>
        <v/>
      </c>
      <c r="D656" s="60"/>
      <c r="E656" s="63"/>
      <c r="F656" s="61"/>
      <c r="G656" s="62"/>
      <c r="H656" s="62"/>
      <c r="I656" s="62"/>
      <c r="J656" s="49">
        <f>IF(AND(ISBLANK(G656),ISBLANK(H656),ISBLANK(I656)),VLOOKUP(TEXT(D656,"TTT"),Stammdaten!$B$20:$F$26,5,FALSE),H656-G656-I656)-IF(ISERROR(VLOOKUP(D656,Stammdaten!$I$9:$J$26,2,FALSE)),0,VLOOKUP(D656,Stammdaten!$I$9:$J$26,2,FALSE)/24)</f>
        <v>0</v>
      </c>
    </row>
    <row r="657" spans="2:10" x14ac:dyDescent="0.3">
      <c r="B657" s="50" t="str">
        <f t="shared" si="22"/>
        <v/>
      </c>
      <c r="C657" s="42" t="str">
        <f t="shared" si="21"/>
        <v/>
      </c>
      <c r="D657" s="60"/>
      <c r="E657" s="63"/>
      <c r="F657" s="61"/>
      <c r="G657" s="62"/>
      <c r="H657" s="62"/>
      <c r="I657" s="62"/>
      <c r="J657" s="49">
        <f>IF(AND(ISBLANK(G657),ISBLANK(H657),ISBLANK(I657)),VLOOKUP(TEXT(D657,"TTT"),Stammdaten!$B$20:$F$26,5,FALSE),H657-G657-I657)-IF(ISERROR(VLOOKUP(D657,Stammdaten!$I$9:$J$26,2,FALSE)),0,VLOOKUP(D657,Stammdaten!$I$9:$J$26,2,FALSE)/24)</f>
        <v>0</v>
      </c>
    </row>
    <row r="658" spans="2:10" x14ac:dyDescent="0.3">
      <c r="B658" s="50" t="str">
        <f t="shared" si="22"/>
        <v/>
      </c>
      <c r="C658" s="42" t="str">
        <f t="shared" si="21"/>
        <v/>
      </c>
      <c r="D658" s="60"/>
      <c r="E658" s="63"/>
      <c r="F658" s="61"/>
      <c r="G658" s="62"/>
      <c r="H658" s="62"/>
      <c r="I658" s="62"/>
      <c r="J658" s="49">
        <f>IF(AND(ISBLANK(G658),ISBLANK(H658),ISBLANK(I658)),VLOOKUP(TEXT(D658,"TTT"),Stammdaten!$B$20:$F$26,5,FALSE),H658-G658-I658)-IF(ISERROR(VLOOKUP(D658,Stammdaten!$I$9:$J$26,2,FALSE)),0,VLOOKUP(D658,Stammdaten!$I$9:$J$26,2,FALSE)/24)</f>
        <v>0</v>
      </c>
    </row>
    <row r="659" spans="2:10" x14ac:dyDescent="0.3">
      <c r="B659" s="50" t="str">
        <f t="shared" si="22"/>
        <v/>
      </c>
      <c r="C659" s="42" t="str">
        <f t="shared" si="21"/>
        <v/>
      </c>
      <c r="D659" s="60"/>
      <c r="E659" s="63"/>
      <c r="F659" s="61"/>
      <c r="G659" s="62"/>
      <c r="H659" s="62"/>
      <c r="I659" s="62"/>
      <c r="J659" s="49">
        <f>IF(AND(ISBLANK(G659),ISBLANK(H659),ISBLANK(I659)),VLOOKUP(TEXT(D659,"TTT"),Stammdaten!$B$20:$F$26,5,FALSE),H659-G659-I659)-IF(ISERROR(VLOOKUP(D659,Stammdaten!$I$9:$J$26,2,FALSE)),0,VLOOKUP(D659,Stammdaten!$I$9:$J$26,2,FALSE)/24)</f>
        <v>0</v>
      </c>
    </row>
    <row r="660" spans="2:10" x14ac:dyDescent="0.3">
      <c r="B660" s="50" t="str">
        <f t="shared" si="22"/>
        <v/>
      </c>
      <c r="C660" s="42" t="str">
        <f t="shared" si="21"/>
        <v/>
      </c>
      <c r="D660" s="60"/>
      <c r="E660" s="63"/>
      <c r="F660" s="61"/>
      <c r="G660" s="62"/>
      <c r="H660" s="62"/>
      <c r="I660" s="62"/>
      <c r="J660" s="49">
        <f>IF(AND(ISBLANK(G660),ISBLANK(H660),ISBLANK(I660)),VLOOKUP(TEXT(D660,"TTT"),Stammdaten!$B$20:$F$26,5,FALSE),H660-G660-I660)-IF(ISERROR(VLOOKUP(D660,Stammdaten!$I$9:$J$26,2,FALSE)),0,VLOOKUP(D660,Stammdaten!$I$9:$J$26,2,FALSE)/24)</f>
        <v>0</v>
      </c>
    </row>
    <row r="661" spans="2:10" x14ac:dyDescent="0.3">
      <c r="B661" s="50" t="str">
        <f t="shared" si="22"/>
        <v/>
      </c>
      <c r="C661" s="42" t="str">
        <f t="shared" si="21"/>
        <v/>
      </c>
      <c r="D661" s="60"/>
      <c r="E661" s="63"/>
      <c r="F661" s="61"/>
      <c r="G661" s="62"/>
      <c r="H661" s="62"/>
      <c r="I661" s="62"/>
      <c r="J661" s="49">
        <f>IF(AND(ISBLANK(G661),ISBLANK(H661),ISBLANK(I661)),VLOOKUP(TEXT(D661,"TTT"),Stammdaten!$B$20:$F$26,5,FALSE),H661-G661-I661)-IF(ISERROR(VLOOKUP(D661,Stammdaten!$I$9:$J$26,2,FALSE)),0,VLOOKUP(D661,Stammdaten!$I$9:$J$26,2,FALSE)/24)</f>
        <v>0</v>
      </c>
    </row>
    <row r="662" spans="2:10" x14ac:dyDescent="0.3">
      <c r="B662" s="50" t="str">
        <f t="shared" si="22"/>
        <v/>
      </c>
      <c r="C662" s="42" t="str">
        <f t="shared" si="21"/>
        <v/>
      </c>
      <c r="D662" s="60"/>
      <c r="E662" s="63"/>
      <c r="F662" s="61"/>
      <c r="G662" s="62"/>
      <c r="H662" s="62"/>
      <c r="I662" s="62"/>
      <c r="J662" s="49">
        <f>IF(AND(ISBLANK(G662),ISBLANK(H662),ISBLANK(I662)),VLOOKUP(TEXT(D662,"TTT"),Stammdaten!$B$20:$F$26,5,FALSE),H662-G662-I662)-IF(ISERROR(VLOOKUP(D662,Stammdaten!$I$9:$J$26,2,FALSE)),0,VLOOKUP(D662,Stammdaten!$I$9:$J$26,2,FALSE)/24)</f>
        <v>0</v>
      </c>
    </row>
    <row r="663" spans="2:10" x14ac:dyDescent="0.3">
      <c r="B663" s="50" t="str">
        <f t="shared" si="22"/>
        <v/>
      </c>
      <c r="C663" s="42" t="str">
        <f t="shared" si="21"/>
        <v/>
      </c>
      <c r="D663" s="60"/>
      <c r="E663" s="63"/>
      <c r="F663" s="61"/>
      <c r="G663" s="62"/>
      <c r="H663" s="62"/>
      <c r="I663" s="62"/>
      <c r="J663" s="49">
        <f>IF(AND(ISBLANK(G663),ISBLANK(H663),ISBLANK(I663)),VLOOKUP(TEXT(D663,"TTT"),Stammdaten!$B$20:$F$26,5,FALSE),H663-G663-I663)-IF(ISERROR(VLOOKUP(D663,Stammdaten!$I$9:$J$26,2,FALSE)),0,VLOOKUP(D663,Stammdaten!$I$9:$J$26,2,FALSE)/24)</f>
        <v>0</v>
      </c>
    </row>
    <row r="664" spans="2:10" x14ac:dyDescent="0.3">
      <c r="B664" s="50" t="str">
        <f t="shared" si="22"/>
        <v/>
      </c>
      <c r="C664" s="42" t="str">
        <f t="shared" si="21"/>
        <v/>
      </c>
      <c r="D664" s="60"/>
      <c r="E664" s="63"/>
      <c r="F664" s="61"/>
      <c r="G664" s="62"/>
      <c r="H664" s="62"/>
      <c r="I664" s="62"/>
      <c r="J664" s="49">
        <f>IF(AND(ISBLANK(G664),ISBLANK(H664),ISBLANK(I664)),VLOOKUP(TEXT(D664,"TTT"),Stammdaten!$B$20:$F$26,5,FALSE),H664-G664-I664)-IF(ISERROR(VLOOKUP(D664,Stammdaten!$I$9:$J$26,2,FALSE)),0,VLOOKUP(D664,Stammdaten!$I$9:$J$26,2,FALSE)/24)</f>
        <v>0</v>
      </c>
    </row>
    <row r="665" spans="2:10" x14ac:dyDescent="0.3">
      <c r="B665" s="50" t="str">
        <f t="shared" si="22"/>
        <v/>
      </c>
      <c r="C665" s="42" t="str">
        <f t="shared" si="21"/>
        <v/>
      </c>
      <c r="D665" s="60"/>
      <c r="E665" s="63"/>
      <c r="F665" s="61"/>
      <c r="G665" s="62"/>
      <c r="H665" s="62"/>
      <c r="I665" s="62"/>
      <c r="J665" s="49">
        <f>IF(AND(ISBLANK(G665),ISBLANK(H665),ISBLANK(I665)),VLOOKUP(TEXT(D665,"TTT"),Stammdaten!$B$20:$F$26,5,FALSE),H665-G665-I665)-IF(ISERROR(VLOOKUP(D665,Stammdaten!$I$9:$J$26,2,FALSE)),0,VLOOKUP(D665,Stammdaten!$I$9:$J$26,2,FALSE)/24)</f>
        <v>0</v>
      </c>
    </row>
    <row r="666" spans="2:10" x14ac:dyDescent="0.3">
      <c r="B666" s="50" t="str">
        <f t="shared" si="22"/>
        <v/>
      </c>
      <c r="C666" s="42" t="str">
        <f t="shared" si="21"/>
        <v/>
      </c>
      <c r="D666" s="60"/>
      <c r="E666" s="63"/>
      <c r="F666" s="61"/>
      <c r="G666" s="62"/>
      <c r="H666" s="62"/>
      <c r="I666" s="62"/>
      <c r="J666" s="49">
        <f>IF(AND(ISBLANK(G666),ISBLANK(H666),ISBLANK(I666)),VLOOKUP(TEXT(D666,"TTT"),Stammdaten!$B$20:$F$26,5,FALSE),H666-G666-I666)-IF(ISERROR(VLOOKUP(D666,Stammdaten!$I$9:$J$26,2,FALSE)),0,VLOOKUP(D666,Stammdaten!$I$9:$J$26,2,FALSE)/24)</f>
        <v>0</v>
      </c>
    </row>
    <row r="667" spans="2:10" x14ac:dyDescent="0.3">
      <c r="B667" s="50" t="str">
        <f t="shared" si="22"/>
        <v/>
      </c>
      <c r="C667" s="42" t="str">
        <f t="shared" si="21"/>
        <v/>
      </c>
      <c r="D667" s="60"/>
      <c r="E667" s="63"/>
      <c r="F667" s="61"/>
      <c r="G667" s="62"/>
      <c r="H667" s="62"/>
      <c r="I667" s="62"/>
      <c r="J667" s="49">
        <f>IF(AND(ISBLANK(G667),ISBLANK(H667),ISBLANK(I667)),VLOOKUP(TEXT(D667,"TTT"),Stammdaten!$B$20:$F$26,5,FALSE),H667-G667-I667)-IF(ISERROR(VLOOKUP(D667,Stammdaten!$I$9:$J$26,2,FALSE)),0,VLOOKUP(D667,Stammdaten!$I$9:$J$26,2,FALSE)/24)</f>
        <v>0</v>
      </c>
    </row>
    <row r="668" spans="2:10" x14ac:dyDescent="0.3">
      <c r="B668" s="50" t="str">
        <f t="shared" si="22"/>
        <v/>
      </c>
      <c r="C668" s="42" t="str">
        <f t="shared" si="21"/>
        <v/>
      </c>
      <c r="D668" s="60"/>
      <c r="E668" s="63"/>
      <c r="F668" s="61"/>
      <c r="G668" s="62"/>
      <c r="H668" s="62"/>
      <c r="I668" s="62"/>
      <c r="J668" s="49">
        <f>IF(AND(ISBLANK(G668),ISBLANK(H668),ISBLANK(I668)),VLOOKUP(TEXT(D668,"TTT"),Stammdaten!$B$20:$F$26,5,FALSE),H668-G668-I668)-IF(ISERROR(VLOOKUP(D668,Stammdaten!$I$9:$J$26,2,FALSE)),0,VLOOKUP(D668,Stammdaten!$I$9:$J$26,2,FALSE)/24)</f>
        <v>0</v>
      </c>
    </row>
    <row r="669" spans="2:10" x14ac:dyDescent="0.3">
      <c r="B669" s="50" t="str">
        <f t="shared" si="22"/>
        <v/>
      </c>
      <c r="C669" s="42" t="str">
        <f t="shared" si="21"/>
        <v/>
      </c>
      <c r="D669" s="60"/>
      <c r="E669" s="63"/>
      <c r="F669" s="61"/>
      <c r="G669" s="62"/>
      <c r="H669" s="62"/>
      <c r="I669" s="62"/>
      <c r="J669" s="49">
        <f>IF(AND(ISBLANK(G669),ISBLANK(H669),ISBLANK(I669)),VLOOKUP(TEXT(D669,"TTT"),Stammdaten!$B$20:$F$26,5,FALSE),H669-G669-I669)-IF(ISERROR(VLOOKUP(D669,Stammdaten!$I$9:$J$26,2,FALSE)),0,VLOOKUP(D669,Stammdaten!$I$9:$J$26,2,FALSE)/24)</f>
        <v>0</v>
      </c>
    </row>
    <row r="670" spans="2:10" x14ac:dyDescent="0.3">
      <c r="B670" s="50" t="str">
        <f t="shared" si="22"/>
        <v/>
      </c>
      <c r="C670" s="42" t="str">
        <f t="shared" si="21"/>
        <v/>
      </c>
      <c r="D670" s="60"/>
      <c r="E670" s="63"/>
      <c r="F670" s="61"/>
      <c r="G670" s="62"/>
      <c r="H670" s="62"/>
      <c r="I670" s="62"/>
      <c r="J670" s="49">
        <f>IF(AND(ISBLANK(G670),ISBLANK(H670),ISBLANK(I670)),VLOOKUP(TEXT(D670,"TTT"),Stammdaten!$B$20:$F$26,5,FALSE),H670-G670-I670)-IF(ISERROR(VLOOKUP(D670,Stammdaten!$I$9:$J$26,2,FALSE)),0,VLOOKUP(D670,Stammdaten!$I$9:$J$26,2,FALSE)/24)</f>
        <v>0</v>
      </c>
    </row>
    <row r="671" spans="2:10" x14ac:dyDescent="0.3">
      <c r="B671" s="50" t="str">
        <f t="shared" si="22"/>
        <v/>
      </c>
      <c r="C671" s="42" t="str">
        <f t="shared" si="21"/>
        <v/>
      </c>
      <c r="D671" s="60"/>
      <c r="E671" s="63"/>
      <c r="F671" s="61"/>
      <c r="G671" s="62"/>
      <c r="H671" s="62"/>
      <c r="I671" s="62"/>
      <c r="J671" s="49">
        <f>IF(AND(ISBLANK(G671),ISBLANK(H671),ISBLANK(I671)),VLOOKUP(TEXT(D671,"TTT"),Stammdaten!$B$20:$F$26,5,FALSE),H671-G671-I671)-IF(ISERROR(VLOOKUP(D671,Stammdaten!$I$9:$J$26,2,FALSE)),0,VLOOKUP(D671,Stammdaten!$I$9:$J$26,2,FALSE)/24)</f>
        <v>0</v>
      </c>
    </row>
    <row r="672" spans="2:10" x14ac:dyDescent="0.3">
      <c r="B672" s="50" t="str">
        <f t="shared" si="22"/>
        <v/>
      </c>
      <c r="C672" s="42" t="str">
        <f t="shared" si="21"/>
        <v/>
      </c>
      <c r="D672" s="60"/>
      <c r="E672" s="63"/>
      <c r="F672" s="61"/>
      <c r="G672" s="62"/>
      <c r="H672" s="62"/>
      <c r="I672" s="62"/>
      <c r="J672" s="49">
        <f>IF(AND(ISBLANK(G672),ISBLANK(H672),ISBLANK(I672)),VLOOKUP(TEXT(D672,"TTT"),Stammdaten!$B$20:$F$26,5,FALSE),H672-G672-I672)-IF(ISERROR(VLOOKUP(D672,Stammdaten!$I$9:$J$26,2,FALSE)),0,VLOOKUP(D672,Stammdaten!$I$9:$J$26,2,FALSE)/24)</f>
        <v>0</v>
      </c>
    </row>
    <row r="673" spans="2:10" x14ac:dyDescent="0.3">
      <c r="B673" s="50" t="str">
        <f t="shared" si="22"/>
        <v/>
      </c>
      <c r="C673" s="42" t="str">
        <f t="shared" si="21"/>
        <v/>
      </c>
      <c r="D673" s="60"/>
      <c r="E673" s="63"/>
      <c r="F673" s="61"/>
      <c r="G673" s="62"/>
      <c r="H673" s="62"/>
      <c r="I673" s="62"/>
      <c r="J673" s="49">
        <f>IF(AND(ISBLANK(G673),ISBLANK(H673),ISBLANK(I673)),VLOOKUP(TEXT(D673,"TTT"),Stammdaten!$B$20:$F$26,5,FALSE),H673-G673-I673)-IF(ISERROR(VLOOKUP(D673,Stammdaten!$I$9:$J$26,2,FALSE)),0,VLOOKUP(D673,Stammdaten!$I$9:$J$26,2,FALSE)/24)</f>
        <v>0</v>
      </c>
    </row>
    <row r="674" spans="2:10" x14ac:dyDescent="0.3">
      <c r="B674" s="50" t="str">
        <f t="shared" si="22"/>
        <v/>
      </c>
      <c r="C674" s="42" t="str">
        <f t="shared" si="21"/>
        <v/>
      </c>
      <c r="D674" s="60"/>
      <c r="E674" s="63"/>
      <c r="F674" s="61"/>
      <c r="G674" s="62"/>
      <c r="H674" s="62"/>
      <c r="I674" s="62"/>
      <c r="J674" s="49">
        <f>IF(AND(ISBLANK(G674),ISBLANK(H674),ISBLANK(I674)),VLOOKUP(TEXT(D674,"TTT"),Stammdaten!$B$20:$F$26,5,FALSE),H674-G674-I674)-IF(ISERROR(VLOOKUP(D674,Stammdaten!$I$9:$J$26,2,FALSE)),0,VLOOKUP(D674,Stammdaten!$I$9:$J$26,2,FALSE)/24)</f>
        <v>0</v>
      </c>
    </row>
    <row r="675" spans="2:10" x14ac:dyDescent="0.3">
      <c r="B675" s="50" t="str">
        <f t="shared" si="22"/>
        <v/>
      </c>
      <c r="C675" s="42" t="str">
        <f t="shared" si="21"/>
        <v/>
      </c>
      <c r="D675" s="60"/>
      <c r="E675" s="63"/>
      <c r="F675" s="61"/>
      <c r="G675" s="62"/>
      <c r="H675" s="62"/>
      <c r="I675" s="62"/>
      <c r="J675" s="49">
        <f>IF(AND(ISBLANK(G675),ISBLANK(H675),ISBLANK(I675)),VLOOKUP(TEXT(D675,"TTT"),Stammdaten!$B$20:$F$26,5,FALSE),H675-G675-I675)-IF(ISERROR(VLOOKUP(D675,Stammdaten!$I$9:$J$26,2,FALSE)),0,VLOOKUP(D675,Stammdaten!$I$9:$J$26,2,FALSE)/24)</f>
        <v>0</v>
      </c>
    </row>
    <row r="676" spans="2:10" x14ac:dyDescent="0.3">
      <c r="B676" s="50" t="str">
        <f t="shared" si="22"/>
        <v/>
      </c>
      <c r="C676" s="42" t="str">
        <f t="shared" si="21"/>
        <v/>
      </c>
      <c r="D676" s="60"/>
      <c r="E676" s="63"/>
      <c r="F676" s="61"/>
      <c r="G676" s="62"/>
      <c r="H676" s="62"/>
      <c r="I676" s="62"/>
      <c r="J676" s="49">
        <f>IF(AND(ISBLANK(G676),ISBLANK(H676),ISBLANK(I676)),VLOOKUP(TEXT(D676,"TTT"),Stammdaten!$B$20:$F$26,5,FALSE),H676-G676-I676)-IF(ISERROR(VLOOKUP(D676,Stammdaten!$I$9:$J$26,2,FALSE)),0,VLOOKUP(D676,Stammdaten!$I$9:$J$26,2,FALSE)/24)</f>
        <v>0</v>
      </c>
    </row>
    <row r="677" spans="2:10" x14ac:dyDescent="0.3">
      <c r="B677" s="50" t="str">
        <f t="shared" si="22"/>
        <v/>
      </c>
      <c r="C677" s="42" t="str">
        <f t="shared" si="21"/>
        <v/>
      </c>
      <c r="D677" s="60"/>
      <c r="E677" s="63"/>
      <c r="F677" s="61"/>
      <c r="G677" s="62"/>
      <c r="H677" s="62"/>
      <c r="I677" s="62"/>
      <c r="J677" s="49">
        <f>IF(AND(ISBLANK(G677),ISBLANK(H677),ISBLANK(I677)),VLOOKUP(TEXT(D677,"TTT"),Stammdaten!$B$20:$F$26,5,FALSE),H677-G677-I677)-IF(ISERROR(VLOOKUP(D677,Stammdaten!$I$9:$J$26,2,FALSE)),0,VLOOKUP(D677,Stammdaten!$I$9:$J$26,2,FALSE)/24)</f>
        <v>0</v>
      </c>
    </row>
    <row r="678" spans="2:10" x14ac:dyDescent="0.3">
      <c r="B678" s="50" t="str">
        <f t="shared" si="22"/>
        <v/>
      </c>
      <c r="C678" s="42" t="str">
        <f t="shared" si="21"/>
        <v/>
      </c>
      <c r="D678" s="60"/>
      <c r="E678" s="63"/>
      <c r="F678" s="61"/>
      <c r="G678" s="62"/>
      <c r="H678" s="62"/>
      <c r="I678" s="62"/>
      <c r="J678" s="49">
        <f>IF(AND(ISBLANK(G678),ISBLANK(H678),ISBLANK(I678)),VLOOKUP(TEXT(D678,"TTT"),Stammdaten!$B$20:$F$26,5,FALSE),H678-G678-I678)-IF(ISERROR(VLOOKUP(D678,Stammdaten!$I$9:$J$26,2,FALSE)),0,VLOOKUP(D678,Stammdaten!$I$9:$J$26,2,FALSE)/24)</f>
        <v>0</v>
      </c>
    </row>
    <row r="679" spans="2:10" x14ac:dyDescent="0.3">
      <c r="B679" s="50" t="str">
        <f t="shared" si="22"/>
        <v/>
      </c>
      <c r="C679" s="42" t="str">
        <f t="shared" si="21"/>
        <v/>
      </c>
      <c r="D679" s="60"/>
      <c r="E679" s="63"/>
      <c r="F679" s="61"/>
      <c r="G679" s="62"/>
      <c r="H679" s="62"/>
      <c r="I679" s="62"/>
      <c r="J679" s="49">
        <f>IF(AND(ISBLANK(G679),ISBLANK(H679),ISBLANK(I679)),VLOOKUP(TEXT(D679,"TTT"),Stammdaten!$B$20:$F$26,5,FALSE),H679-G679-I679)-IF(ISERROR(VLOOKUP(D679,Stammdaten!$I$9:$J$26,2,FALSE)),0,VLOOKUP(D679,Stammdaten!$I$9:$J$26,2,FALSE)/24)</f>
        <v>0</v>
      </c>
    </row>
    <row r="680" spans="2:10" x14ac:dyDescent="0.3">
      <c r="B680" s="50" t="str">
        <f t="shared" si="22"/>
        <v/>
      </c>
      <c r="C680" s="42" t="str">
        <f t="shared" si="21"/>
        <v/>
      </c>
      <c r="D680" s="60"/>
      <c r="E680" s="63"/>
      <c r="F680" s="61"/>
      <c r="G680" s="62"/>
      <c r="H680" s="62"/>
      <c r="I680" s="62"/>
      <c r="J680" s="49">
        <f>IF(AND(ISBLANK(G680),ISBLANK(H680),ISBLANK(I680)),VLOOKUP(TEXT(D680,"TTT"),Stammdaten!$B$20:$F$26,5,FALSE),H680-G680-I680)-IF(ISERROR(VLOOKUP(D680,Stammdaten!$I$9:$J$26,2,FALSE)),0,VLOOKUP(D680,Stammdaten!$I$9:$J$26,2,FALSE)/24)</f>
        <v>0</v>
      </c>
    </row>
    <row r="681" spans="2:10" x14ac:dyDescent="0.3">
      <c r="B681" s="50" t="str">
        <f t="shared" si="22"/>
        <v/>
      </c>
      <c r="C681" s="42" t="str">
        <f t="shared" si="21"/>
        <v/>
      </c>
      <c r="D681" s="60"/>
      <c r="E681" s="63"/>
      <c r="F681" s="61"/>
      <c r="G681" s="62"/>
      <c r="H681" s="62"/>
      <c r="I681" s="62"/>
      <c r="J681" s="49">
        <f>IF(AND(ISBLANK(G681),ISBLANK(H681),ISBLANK(I681)),VLOOKUP(TEXT(D681,"TTT"),Stammdaten!$B$20:$F$26,5,FALSE),H681-G681-I681)-IF(ISERROR(VLOOKUP(D681,Stammdaten!$I$9:$J$26,2,FALSE)),0,VLOOKUP(D681,Stammdaten!$I$9:$J$26,2,FALSE)/24)</f>
        <v>0</v>
      </c>
    </row>
    <row r="682" spans="2:10" x14ac:dyDescent="0.3">
      <c r="B682" s="50" t="str">
        <f t="shared" si="22"/>
        <v/>
      </c>
      <c r="C682" s="42" t="str">
        <f t="shared" si="21"/>
        <v/>
      </c>
      <c r="D682" s="60"/>
      <c r="E682" s="63"/>
      <c r="F682" s="61"/>
      <c r="G682" s="62"/>
      <c r="H682" s="62"/>
      <c r="I682" s="62"/>
      <c r="J682" s="49">
        <f>IF(AND(ISBLANK(G682),ISBLANK(H682),ISBLANK(I682)),VLOOKUP(TEXT(D682,"TTT"),Stammdaten!$B$20:$F$26,5,FALSE),H682-G682-I682)-IF(ISERROR(VLOOKUP(D682,Stammdaten!$I$9:$J$26,2,FALSE)),0,VLOOKUP(D682,Stammdaten!$I$9:$J$26,2,FALSE)/24)</f>
        <v>0</v>
      </c>
    </row>
    <row r="683" spans="2:10" x14ac:dyDescent="0.3">
      <c r="B683" s="50" t="str">
        <f t="shared" si="22"/>
        <v/>
      </c>
      <c r="C683" s="42" t="str">
        <f t="shared" si="21"/>
        <v/>
      </c>
      <c r="D683" s="60"/>
      <c r="E683" s="63"/>
      <c r="F683" s="61"/>
      <c r="G683" s="62"/>
      <c r="H683" s="62"/>
      <c r="I683" s="62"/>
      <c r="J683" s="49">
        <f>IF(AND(ISBLANK(G683),ISBLANK(H683),ISBLANK(I683)),VLOOKUP(TEXT(D683,"TTT"),Stammdaten!$B$20:$F$26,5,FALSE),H683-G683-I683)-IF(ISERROR(VLOOKUP(D683,Stammdaten!$I$9:$J$26,2,FALSE)),0,VLOOKUP(D683,Stammdaten!$I$9:$J$26,2,FALSE)/24)</f>
        <v>0</v>
      </c>
    </row>
    <row r="684" spans="2:10" x14ac:dyDescent="0.3">
      <c r="B684" s="50" t="str">
        <f t="shared" si="22"/>
        <v/>
      </c>
      <c r="C684" s="42" t="str">
        <f t="shared" si="21"/>
        <v/>
      </c>
      <c r="D684" s="60"/>
      <c r="E684" s="63"/>
      <c r="F684" s="61"/>
      <c r="G684" s="62"/>
      <c r="H684" s="62"/>
      <c r="I684" s="62"/>
      <c r="J684" s="49">
        <f>IF(AND(ISBLANK(G684),ISBLANK(H684),ISBLANK(I684)),VLOOKUP(TEXT(D684,"TTT"),Stammdaten!$B$20:$F$26,5,FALSE),H684-G684-I684)-IF(ISERROR(VLOOKUP(D684,Stammdaten!$I$9:$J$26,2,FALSE)),0,VLOOKUP(D684,Stammdaten!$I$9:$J$26,2,FALSE)/24)</f>
        <v>0</v>
      </c>
    </row>
    <row r="685" spans="2:10" x14ac:dyDescent="0.3">
      <c r="B685" s="50" t="str">
        <f t="shared" si="22"/>
        <v/>
      </c>
      <c r="C685" s="42" t="str">
        <f t="shared" si="21"/>
        <v/>
      </c>
      <c r="D685" s="60"/>
      <c r="E685" s="63"/>
      <c r="F685" s="61"/>
      <c r="G685" s="62"/>
      <c r="H685" s="62"/>
      <c r="I685" s="62"/>
      <c r="J685" s="49">
        <f>IF(AND(ISBLANK(G685),ISBLANK(H685),ISBLANK(I685)),VLOOKUP(TEXT(D685,"TTT"),Stammdaten!$B$20:$F$26,5,FALSE),H685-G685-I685)-IF(ISERROR(VLOOKUP(D685,Stammdaten!$I$9:$J$26,2,FALSE)),0,VLOOKUP(D685,Stammdaten!$I$9:$J$26,2,FALSE)/24)</f>
        <v>0</v>
      </c>
    </row>
    <row r="686" spans="2:10" x14ac:dyDescent="0.3">
      <c r="B686" s="50" t="str">
        <f t="shared" si="22"/>
        <v/>
      </c>
      <c r="C686" s="42" t="str">
        <f t="shared" si="21"/>
        <v/>
      </c>
      <c r="D686" s="60"/>
      <c r="E686" s="63"/>
      <c r="F686" s="61"/>
      <c r="G686" s="62"/>
      <c r="H686" s="62"/>
      <c r="I686" s="62"/>
      <c r="J686" s="49">
        <f>IF(AND(ISBLANK(G686),ISBLANK(H686),ISBLANK(I686)),VLOOKUP(TEXT(D686,"TTT"),Stammdaten!$B$20:$F$26,5,FALSE),H686-G686-I686)-IF(ISERROR(VLOOKUP(D686,Stammdaten!$I$9:$J$26,2,FALSE)),0,VLOOKUP(D686,Stammdaten!$I$9:$J$26,2,FALSE)/24)</f>
        <v>0</v>
      </c>
    </row>
    <row r="687" spans="2:10" x14ac:dyDescent="0.3">
      <c r="B687" s="50" t="str">
        <f t="shared" si="22"/>
        <v/>
      </c>
      <c r="C687" s="42" t="str">
        <f t="shared" si="21"/>
        <v/>
      </c>
      <c r="D687" s="60"/>
      <c r="E687" s="63"/>
      <c r="F687" s="61"/>
      <c r="G687" s="62"/>
      <c r="H687" s="62"/>
      <c r="I687" s="62"/>
      <c r="J687" s="49">
        <f>IF(AND(ISBLANK(G687),ISBLANK(H687),ISBLANK(I687)),VLOOKUP(TEXT(D687,"TTT"),Stammdaten!$B$20:$F$26,5,FALSE),H687-G687-I687)-IF(ISERROR(VLOOKUP(D687,Stammdaten!$I$9:$J$26,2,FALSE)),0,VLOOKUP(D687,Stammdaten!$I$9:$J$26,2,FALSE)/24)</f>
        <v>0</v>
      </c>
    </row>
    <row r="688" spans="2:10" x14ac:dyDescent="0.3">
      <c r="B688" s="50" t="str">
        <f t="shared" si="22"/>
        <v/>
      </c>
      <c r="C688" s="42" t="str">
        <f t="shared" si="21"/>
        <v/>
      </c>
      <c r="D688" s="60"/>
      <c r="E688" s="63"/>
      <c r="F688" s="61"/>
      <c r="G688" s="62"/>
      <c r="H688" s="62"/>
      <c r="I688" s="62"/>
      <c r="J688" s="49">
        <f>IF(AND(ISBLANK(G688),ISBLANK(H688),ISBLANK(I688)),VLOOKUP(TEXT(D688,"TTT"),Stammdaten!$B$20:$F$26,5,FALSE),H688-G688-I688)-IF(ISERROR(VLOOKUP(D688,Stammdaten!$I$9:$J$26,2,FALSE)),0,VLOOKUP(D688,Stammdaten!$I$9:$J$26,2,FALSE)/24)</f>
        <v>0</v>
      </c>
    </row>
    <row r="689" spans="2:10" x14ac:dyDescent="0.3">
      <c r="B689" s="50" t="str">
        <f t="shared" si="22"/>
        <v/>
      </c>
      <c r="C689" s="42" t="str">
        <f t="shared" si="21"/>
        <v/>
      </c>
      <c r="D689" s="60"/>
      <c r="E689" s="63"/>
      <c r="F689" s="61"/>
      <c r="G689" s="62"/>
      <c r="H689" s="62"/>
      <c r="I689" s="62"/>
      <c r="J689" s="49">
        <f>IF(AND(ISBLANK(G689),ISBLANK(H689),ISBLANK(I689)),VLOOKUP(TEXT(D689,"TTT"),Stammdaten!$B$20:$F$26,5,FALSE),H689-G689-I689)-IF(ISERROR(VLOOKUP(D689,Stammdaten!$I$9:$J$26,2,FALSE)),0,VLOOKUP(D689,Stammdaten!$I$9:$J$26,2,FALSE)/24)</f>
        <v>0</v>
      </c>
    </row>
    <row r="690" spans="2:10" x14ac:dyDescent="0.3">
      <c r="B690" s="50" t="str">
        <f t="shared" si="22"/>
        <v/>
      </c>
      <c r="C690" s="42" t="str">
        <f t="shared" si="21"/>
        <v/>
      </c>
      <c r="D690" s="60"/>
      <c r="E690" s="63"/>
      <c r="F690" s="61"/>
      <c r="G690" s="62"/>
      <c r="H690" s="62"/>
      <c r="I690" s="62"/>
      <c r="J690" s="49">
        <f>IF(AND(ISBLANK(G690),ISBLANK(H690),ISBLANK(I690)),VLOOKUP(TEXT(D690,"TTT"),Stammdaten!$B$20:$F$26,5,FALSE),H690-G690-I690)-IF(ISERROR(VLOOKUP(D690,Stammdaten!$I$9:$J$26,2,FALSE)),0,VLOOKUP(D690,Stammdaten!$I$9:$J$26,2,FALSE)/24)</f>
        <v>0</v>
      </c>
    </row>
    <row r="691" spans="2:10" x14ac:dyDescent="0.3">
      <c r="B691" s="50" t="str">
        <f t="shared" si="22"/>
        <v/>
      </c>
      <c r="C691" s="42" t="str">
        <f t="shared" si="21"/>
        <v/>
      </c>
      <c r="D691" s="60"/>
      <c r="E691" s="63"/>
      <c r="F691" s="61"/>
      <c r="G691" s="62"/>
      <c r="H691" s="62"/>
      <c r="I691" s="62"/>
      <c r="J691" s="49">
        <f>IF(AND(ISBLANK(G691),ISBLANK(H691),ISBLANK(I691)),VLOOKUP(TEXT(D691,"TTT"),Stammdaten!$B$20:$F$26,5,FALSE),H691-G691-I691)-IF(ISERROR(VLOOKUP(D691,Stammdaten!$I$9:$J$26,2,FALSE)),0,VLOOKUP(D691,Stammdaten!$I$9:$J$26,2,FALSE)/24)</f>
        <v>0</v>
      </c>
    </row>
    <row r="692" spans="2:10" x14ac:dyDescent="0.3">
      <c r="B692" s="50" t="str">
        <f t="shared" si="22"/>
        <v/>
      </c>
      <c r="C692" s="42" t="str">
        <f t="shared" si="21"/>
        <v/>
      </c>
      <c r="D692" s="60"/>
      <c r="E692" s="63"/>
      <c r="F692" s="61"/>
      <c r="G692" s="62"/>
      <c r="H692" s="62"/>
      <c r="I692" s="62"/>
      <c r="J692" s="49">
        <f>IF(AND(ISBLANK(G692),ISBLANK(H692),ISBLANK(I692)),VLOOKUP(TEXT(D692,"TTT"),Stammdaten!$B$20:$F$26,5,FALSE),H692-G692-I692)-IF(ISERROR(VLOOKUP(D692,Stammdaten!$I$9:$J$26,2,FALSE)),0,VLOOKUP(D692,Stammdaten!$I$9:$J$26,2,FALSE)/24)</f>
        <v>0</v>
      </c>
    </row>
    <row r="693" spans="2:10" x14ac:dyDescent="0.3">
      <c r="B693" s="50" t="str">
        <f t="shared" si="22"/>
        <v/>
      </c>
      <c r="C693" s="42" t="str">
        <f t="shared" si="21"/>
        <v/>
      </c>
      <c r="D693" s="60"/>
      <c r="E693" s="63"/>
      <c r="F693" s="61"/>
      <c r="G693" s="62"/>
      <c r="H693" s="62"/>
      <c r="I693" s="62"/>
      <c r="J693" s="49">
        <f>IF(AND(ISBLANK(G693),ISBLANK(H693),ISBLANK(I693)),VLOOKUP(TEXT(D693,"TTT"),Stammdaten!$B$20:$F$26,5,FALSE),H693-G693-I693)-IF(ISERROR(VLOOKUP(D693,Stammdaten!$I$9:$J$26,2,FALSE)),0,VLOOKUP(D693,Stammdaten!$I$9:$J$26,2,FALSE)/24)</f>
        <v>0</v>
      </c>
    </row>
    <row r="694" spans="2:10" x14ac:dyDescent="0.3">
      <c r="B694" s="50" t="str">
        <f t="shared" si="22"/>
        <v/>
      </c>
      <c r="C694" s="42" t="str">
        <f t="shared" si="21"/>
        <v/>
      </c>
      <c r="D694" s="60"/>
      <c r="E694" s="63"/>
      <c r="F694" s="61"/>
      <c r="G694" s="62"/>
      <c r="H694" s="62"/>
      <c r="I694" s="62"/>
      <c r="J694" s="49">
        <f>IF(AND(ISBLANK(G694),ISBLANK(H694),ISBLANK(I694)),VLOOKUP(TEXT(D694,"TTT"),Stammdaten!$B$20:$F$26,5,FALSE),H694-G694-I694)-IF(ISERROR(VLOOKUP(D694,Stammdaten!$I$9:$J$26,2,FALSE)),0,VLOOKUP(D694,Stammdaten!$I$9:$J$26,2,FALSE)/24)</f>
        <v>0</v>
      </c>
    </row>
    <row r="695" spans="2:10" x14ac:dyDescent="0.3">
      <c r="B695" s="50" t="str">
        <f t="shared" si="22"/>
        <v/>
      </c>
      <c r="C695" s="42" t="str">
        <f t="shared" si="21"/>
        <v/>
      </c>
      <c r="D695" s="60"/>
      <c r="E695" s="63"/>
      <c r="F695" s="61"/>
      <c r="G695" s="62"/>
      <c r="H695" s="62"/>
      <c r="I695" s="62"/>
      <c r="J695" s="49">
        <f>IF(AND(ISBLANK(G695),ISBLANK(H695),ISBLANK(I695)),VLOOKUP(TEXT(D695,"TTT"),Stammdaten!$B$20:$F$26,5,FALSE),H695-G695-I695)-IF(ISERROR(VLOOKUP(D695,Stammdaten!$I$9:$J$26,2,FALSE)),0,VLOOKUP(D695,Stammdaten!$I$9:$J$26,2,FALSE)/24)</f>
        <v>0</v>
      </c>
    </row>
    <row r="696" spans="2:10" x14ac:dyDescent="0.3">
      <c r="B696" s="50" t="str">
        <f t="shared" si="22"/>
        <v/>
      </c>
      <c r="C696" s="42" t="str">
        <f t="shared" si="21"/>
        <v/>
      </c>
      <c r="D696" s="60"/>
      <c r="E696" s="63"/>
      <c r="F696" s="61"/>
      <c r="G696" s="62"/>
      <c r="H696" s="62"/>
      <c r="I696" s="62"/>
      <c r="J696" s="49">
        <f>IF(AND(ISBLANK(G696),ISBLANK(H696),ISBLANK(I696)),VLOOKUP(TEXT(D696,"TTT"),Stammdaten!$B$20:$F$26,5,FALSE),H696-G696-I696)-IF(ISERROR(VLOOKUP(D696,Stammdaten!$I$9:$J$26,2,FALSE)),0,VLOOKUP(D696,Stammdaten!$I$9:$J$26,2,FALSE)/24)</f>
        <v>0</v>
      </c>
    </row>
    <row r="697" spans="2:10" x14ac:dyDescent="0.3">
      <c r="B697" s="50" t="str">
        <f t="shared" si="22"/>
        <v/>
      </c>
      <c r="C697" s="42" t="str">
        <f t="shared" si="21"/>
        <v/>
      </c>
      <c r="D697" s="60"/>
      <c r="E697" s="63"/>
      <c r="F697" s="61"/>
      <c r="G697" s="62"/>
      <c r="H697" s="62"/>
      <c r="I697" s="62"/>
      <c r="J697" s="49">
        <f>IF(AND(ISBLANK(G697),ISBLANK(H697),ISBLANK(I697)),VLOOKUP(TEXT(D697,"TTT"),Stammdaten!$B$20:$F$26,5,FALSE),H697-G697-I697)-IF(ISERROR(VLOOKUP(D697,Stammdaten!$I$9:$J$26,2,FALSE)),0,VLOOKUP(D697,Stammdaten!$I$9:$J$26,2,FALSE)/24)</f>
        <v>0</v>
      </c>
    </row>
    <row r="698" spans="2:10" x14ac:dyDescent="0.3">
      <c r="B698" s="50" t="str">
        <f t="shared" si="22"/>
        <v/>
      </c>
      <c r="C698" s="42" t="str">
        <f t="shared" si="21"/>
        <v/>
      </c>
      <c r="D698" s="60"/>
      <c r="E698" s="63"/>
      <c r="F698" s="61"/>
      <c r="G698" s="62"/>
      <c r="H698" s="62"/>
      <c r="I698" s="62"/>
      <c r="J698" s="49">
        <f>IF(AND(ISBLANK(G698),ISBLANK(H698),ISBLANK(I698)),VLOOKUP(TEXT(D698,"TTT"),Stammdaten!$B$20:$F$26,5,FALSE),H698-G698-I698)-IF(ISERROR(VLOOKUP(D698,Stammdaten!$I$9:$J$26,2,FALSE)),0,VLOOKUP(D698,Stammdaten!$I$9:$J$26,2,FALSE)/24)</f>
        <v>0</v>
      </c>
    </row>
    <row r="699" spans="2:10" x14ac:dyDescent="0.3">
      <c r="B699" s="50" t="str">
        <f t="shared" si="22"/>
        <v/>
      </c>
      <c r="C699" s="42" t="str">
        <f t="shared" si="21"/>
        <v/>
      </c>
      <c r="D699" s="60"/>
      <c r="E699" s="63"/>
      <c r="F699" s="61"/>
      <c r="G699" s="62"/>
      <c r="H699" s="62"/>
      <c r="I699" s="62"/>
      <c r="J699" s="49">
        <f>IF(AND(ISBLANK(G699),ISBLANK(H699),ISBLANK(I699)),VLOOKUP(TEXT(D699,"TTT"),Stammdaten!$B$20:$F$26,5,FALSE),H699-G699-I699)-IF(ISERROR(VLOOKUP(D699,Stammdaten!$I$9:$J$26,2,FALSE)),0,VLOOKUP(D699,Stammdaten!$I$9:$J$26,2,FALSE)/24)</f>
        <v>0</v>
      </c>
    </row>
    <row r="700" spans="2:10" x14ac:dyDescent="0.3">
      <c r="B700" s="50" t="str">
        <f t="shared" si="22"/>
        <v/>
      </c>
      <c r="C700" s="42" t="str">
        <f t="shared" si="21"/>
        <v/>
      </c>
      <c r="D700" s="60"/>
      <c r="E700" s="63"/>
      <c r="F700" s="61"/>
      <c r="G700" s="62"/>
      <c r="H700" s="62"/>
      <c r="I700" s="62"/>
      <c r="J700" s="49">
        <f>IF(AND(ISBLANK(G700),ISBLANK(H700),ISBLANK(I700)),VLOOKUP(TEXT(D700,"TTT"),Stammdaten!$B$20:$F$26,5,FALSE),H700-G700-I700)-IF(ISERROR(VLOOKUP(D700,Stammdaten!$I$9:$J$26,2,FALSE)),0,VLOOKUP(D700,Stammdaten!$I$9:$J$26,2,FALSE)/24)</f>
        <v>0</v>
      </c>
    </row>
    <row r="701" spans="2:10" x14ac:dyDescent="0.3">
      <c r="B701" s="50" t="str">
        <f t="shared" si="22"/>
        <v/>
      </c>
      <c r="C701" s="42" t="str">
        <f t="shared" si="21"/>
        <v/>
      </c>
      <c r="D701" s="60"/>
      <c r="E701" s="63"/>
      <c r="F701" s="61"/>
      <c r="G701" s="62"/>
      <c r="H701" s="62"/>
      <c r="I701" s="62"/>
      <c r="J701" s="49">
        <f>IF(AND(ISBLANK(G701),ISBLANK(H701),ISBLANK(I701)),VLOOKUP(TEXT(D701,"TTT"),Stammdaten!$B$20:$F$26,5,FALSE),H701-G701-I701)-IF(ISERROR(VLOOKUP(D701,Stammdaten!$I$9:$J$26,2,FALSE)),0,VLOOKUP(D701,Stammdaten!$I$9:$J$26,2,FALSE)/24)</f>
        <v>0</v>
      </c>
    </row>
    <row r="702" spans="2:10" x14ac:dyDescent="0.3">
      <c r="B702" s="50" t="str">
        <f t="shared" si="22"/>
        <v/>
      </c>
      <c r="C702" s="42" t="str">
        <f t="shared" si="21"/>
        <v/>
      </c>
      <c r="D702" s="60"/>
      <c r="E702" s="63"/>
      <c r="F702" s="61"/>
      <c r="G702" s="62"/>
      <c r="H702" s="62"/>
      <c r="I702" s="62"/>
      <c r="J702" s="49">
        <f>IF(AND(ISBLANK(G702),ISBLANK(H702),ISBLANK(I702)),VLOOKUP(TEXT(D702,"TTT"),Stammdaten!$B$20:$F$26,5,FALSE),H702-G702-I702)-IF(ISERROR(VLOOKUP(D702,Stammdaten!$I$9:$J$26,2,FALSE)),0,VLOOKUP(D702,Stammdaten!$I$9:$J$26,2,FALSE)/24)</f>
        <v>0</v>
      </c>
    </row>
    <row r="703" spans="2:10" x14ac:dyDescent="0.3">
      <c r="B703" s="50" t="str">
        <f t="shared" si="22"/>
        <v/>
      </c>
      <c r="C703" s="42" t="str">
        <f t="shared" si="21"/>
        <v/>
      </c>
      <c r="D703" s="60"/>
      <c r="E703" s="63"/>
      <c r="F703" s="61"/>
      <c r="G703" s="62"/>
      <c r="H703" s="62"/>
      <c r="I703" s="62"/>
      <c r="J703" s="49">
        <f>IF(AND(ISBLANK(G703),ISBLANK(H703),ISBLANK(I703)),VLOOKUP(TEXT(D703,"TTT"),Stammdaten!$B$20:$F$26,5,FALSE),H703-G703-I703)-IF(ISERROR(VLOOKUP(D703,Stammdaten!$I$9:$J$26,2,FALSE)),0,VLOOKUP(D703,Stammdaten!$I$9:$J$26,2,FALSE)/24)</f>
        <v>0</v>
      </c>
    </row>
    <row r="704" spans="2:10" x14ac:dyDescent="0.3">
      <c r="B704" s="50" t="str">
        <f t="shared" si="22"/>
        <v/>
      </c>
      <c r="C704" s="42" t="str">
        <f t="shared" si="21"/>
        <v/>
      </c>
      <c r="D704" s="60"/>
      <c r="E704" s="63"/>
      <c r="F704" s="61"/>
      <c r="G704" s="62"/>
      <c r="H704" s="62"/>
      <c r="I704" s="62"/>
      <c r="J704" s="49">
        <f>IF(AND(ISBLANK(G704),ISBLANK(H704),ISBLANK(I704)),VLOOKUP(TEXT(D704,"TTT"),Stammdaten!$B$20:$F$26,5,FALSE),H704-G704-I704)-IF(ISERROR(VLOOKUP(D704,Stammdaten!$I$9:$J$26,2,FALSE)),0,VLOOKUP(D704,Stammdaten!$I$9:$J$26,2,FALSE)/24)</f>
        <v>0</v>
      </c>
    </row>
    <row r="705" spans="2:10" x14ac:dyDescent="0.3">
      <c r="B705" s="50" t="str">
        <f t="shared" si="22"/>
        <v/>
      </c>
      <c r="C705" s="42" t="str">
        <f t="shared" si="21"/>
        <v/>
      </c>
      <c r="D705" s="60"/>
      <c r="E705" s="63"/>
      <c r="F705" s="61"/>
      <c r="G705" s="62"/>
      <c r="H705" s="62"/>
      <c r="I705" s="62"/>
      <c r="J705" s="49">
        <f>IF(AND(ISBLANK(G705),ISBLANK(H705),ISBLANK(I705)),VLOOKUP(TEXT(D705,"TTT"),Stammdaten!$B$20:$F$26,5,FALSE),H705-G705-I705)-IF(ISERROR(VLOOKUP(D705,Stammdaten!$I$9:$J$26,2,FALSE)),0,VLOOKUP(D705,Stammdaten!$I$9:$J$26,2,FALSE)/24)</f>
        <v>0</v>
      </c>
    </row>
    <row r="706" spans="2:10" x14ac:dyDescent="0.3">
      <c r="B706" s="50" t="str">
        <f t="shared" si="22"/>
        <v/>
      </c>
      <c r="C706" s="42" t="str">
        <f t="shared" ref="C706:C769" si="23">IF(D706="","",D706)</f>
        <v/>
      </c>
      <c r="D706" s="60"/>
      <c r="E706" s="63"/>
      <c r="F706" s="61"/>
      <c r="G706" s="62"/>
      <c r="H706" s="62"/>
      <c r="I706" s="62"/>
      <c r="J706" s="49">
        <f>IF(AND(ISBLANK(G706),ISBLANK(H706),ISBLANK(I706)),VLOOKUP(TEXT(D706,"TTT"),Stammdaten!$B$20:$F$26,5,FALSE),H706-G706-I706)-IF(ISERROR(VLOOKUP(D706,Stammdaten!$I$9:$J$26,2,FALSE)),0,VLOOKUP(D706,Stammdaten!$I$9:$J$26,2,FALSE)/24)</f>
        <v>0</v>
      </c>
    </row>
    <row r="707" spans="2:10" x14ac:dyDescent="0.3">
      <c r="B707" s="50" t="str">
        <f t="shared" si="22"/>
        <v/>
      </c>
      <c r="C707" s="42" t="str">
        <f t="shared" si="23"/>
        <v/>
      </c>
      <c r="D707" s="60"/>
      <c r="E707" s="63"/>
      <c r="F707" s="61"/>
      <c r="G707" s="62"/>
      <c r="H707" s="62"/>
      <c r="I707" s="62"/>
      <c r="J707" s="49">
        <f>IF(AND(ISBLANK(G707),ISBLANK(H707),ISBLANK(I707)),VLOOKUP(TEXT(D707,"TTT"),Stammdaten!$B$20:$F$26,5,FALSE),H707-G707-I707)-IF(ISERROR(VLOOKUP(D707,Stammdaten!$I$9:$J$26,2,FALSE)),0,VLOOKUP(D707,Stammdaten!$I$9:$J$26,2,FALSE)/24)</f>
        <v>0</v>
      </c>
    </row>
    <row r="708" spans="2:10" x14ac:dyDescent="0.3">
      <c r="B708" s="50" t="str">
        <f t="shared" ref="B708:B771" si="24">IF(ISBLANK(E708),"",VLOOKUP(E708,$L$2:$M$11,2,FALSE))</f>
        <v/>
      </c>
      <c r="C708" s="42" t="str">
        <f t="shared" si="23"/>
        <v/>
      </c>
      <c r="D708" s="60"/>
      <c r="E708" s="63"/>
      <c r="F708" s="61"/>
      <c r="G708" s="62"/>
      <c r="H708" s="62"/>
      <c r="I708" s="62"/>
      <c r="J708" s="49">
        <f>IF(AND(ISBLANK(G708),ISBLANK(H708),ISBLANK(I708)),VLOOKUP(TEXT(D708,"TTT"),Stammdaten!$B$20:$F$26,5,FALSE),H708-G708-I708)-IF(ISERROR(VLOOKUP(D708,Stammdaten!$I$9:$J$26,2,FALSE)),0,VLOOKUP(D708,Stammdaten!$I$9:$J$26,2,FALSE)/24)</f>
        <v>0</v>
      </c>
    </row>
    <row r="709" spans="2:10" x14ac:dyDescent="0.3">
      <c r="B709" s="50" t="str">
        <f t="shared" si="24"/>
        <v/>
      </c>
      <c r="C709" s="42" t="str">
        <f t="shared" si="23"/>
        <v/>
      </c>
      <c r="D709" s="60"/>
      <c r="E709" s="63"/>
      <c r="F709" s="61"/>
      <c r="G709" s="62"/>
      <c r="H709" s="62"/>
      <c r="I709" s="62"/>
      <c r="J709" s="49">
        <f>IF(AND(ISBLANK(G709),ISBLANK(H709),ISBLANK(I709)),VLOOKUP(TEXT(D709,"TTT"),Stammdaten!$B$20:$F$26,5,FALSE),H709-G709-I709)-IF(ISERROR(VLOOKUP(D709,Stammdaten!$I$9:$J$26,2,FALSE)),0,VLOOKUP(D709,Stammdaten!$I$9:$J$26,2,FALSE)/24)</f>
        <v>0</v>
      </c>
    </row>
    <row r="710" spans="2:10" x14ac:dyDescent="0.3">
      <c r="B710" s="50" t="str">
        <f t="shared" si="24"/>
        <v/>
      </c>
      <c r="C710" s="42" t="str">
        <f t="shared" si="23"/>
        <v/>
      </c>
      <c r="D710" s="60"/>
      <c r="E710" s="63"/>
      <c r="F710" s="61"/>
      <c r="G710" s="62"/>
      <c r="H710" s="62"/>
      <c r="I710" s="62"/>
      <c r="J710" s="49">
        <f>IF(AND(ISBLANK(G710),ISBLANK(H710),ISBLANK(I710)),VLOOKUP(TEXT(D710,"TTT"),Stammdaten!$B$20:$F$26,5,FALSE),H710-G710-I710)-IF(ISERROR(VLOOKUP(D710,Stammdaten!$I$9:$J$26,2,FALSE)),0,VLOOKUP(D710,Stammdaten!$I$9:$J$26,2,FALSE)/24)</f>
        <v>0</v>
      </c>
    </row>
    <row r="711" spans="2:10" x14ac:dyDescent="0.3">
      <c r="B711" s="50" t="str">
        <f t="shared" si="24"/>
        <v/>
      </c>
      <c r="C711" s="42" t="str">
        <f t="shared" si="23"/>
        <v/>
      </c>
      <c r="D711" s="60"/>
      <c r="E711" s="63"/>
      <c r="F711" s="61"/>
      <c r="G711" s="62"/>
      <c r="H711" s="62"/>
      <c r="I711" s="62"/>
      <c r="J711" s="49">
        <f>IF(AND(ISBLANK(G711),ISBLANK(H711),ISBLANK(I711)),VLOOKUP(TEXT(D711,"TTT"),Stammdaten!$B$20:$F$26,5,FALSE),H711-G711-I711)-IF(ISERROR(VLOOKUP(D711,Stammdaten!$I$9:$J$26,2,FALSE)),0,VLOOKUP(D711,Stammdaten!$I$9:$J$26,2,FALSE)/24)</f>
        <v>0</v>
      </c>
    </row>
    <row r="712" spans="2:10" x14ac:dyDescent="0.3">
      <c r="B712" s="50" t="str">
        <f t="shared" si="24"/>
        <v/>
      </c>
      <c r="C712" s="42" t="str">
        <f t="shared" si="23"/>
        <v/>
      </c>
      <c r="D712" s="60"/>
      <c r="E712" s="63"/>
      <c r="F712" s="61"/>
      <c r="G712" s="62"/>
      <c r="H712" s="62"/>
      <c r="I712" s="62"/>
      <c r="J712" s="49">
        <f>IF(AND(ISBLANK(G712),ISBLANK(H712),ISBLANK(I712)),VLOOKUP(TEXT(D712,"TTT"),Stammdaten!$B$20:$F$26,5,FALSE),H712-G712-I712)-IF(ISERROR(VLOOKUP(D712,Stammdaten!$I$9:$J$26,2,FALSE)),0,VLOOKUP(D712,Stammdaten!$I$9:$J$26,2,FALSE)/24)</f>
        <v>0</v>
      </c>
    </row>
    <row r="713" spans="2:10" x14ac:dyDescent="0.3">
      <c r="B713" s="50" t="str">
        <f t="shared" si="24"/>
        <v/>
      </c>
      <c r="C713" s="42" t="str">
        <f t="shared" si="23"/>
        <v/>
      </c>
      <c r="D713" s="60"/>
      <c r="E713" s="63"/>
      <c r="F713" s="61"/>
      <c r="G713" s="62"/>
      <c r="H713" s="62"/>
      <c r="I713" s="62"/>
      <c r="J713" s="49">
        <f>IF(AND(ISBLANK(G713),ISBLANK(H713),ISBLANK(I713)),VLOOKUP(TEXT(D713,"TTT"),Stammdaten!$B$20:$F$26,5,FALSE),H713-G713-I713)-IF(ISERROR(VLOOKUP(D713,Stammdaten!$I$9:$J$26,2,FALSE)),0,VLOOKUP(D713,Stammdaten!$I$9:$J$26,2,FALSE)/24)</f>
        <v>0</v>
      </c>
    </row>
    <row r="714" spans="2:10" x14ac:dyDescent="0.3">
      <c r="B714" s="50" t="str">
        <f t="shared" si="24"/>
        <v/>
      </c>
      <c r="C714" s="42" t="str">
        <f t="shared" si="23"/>
        <v/>
      </c>
      <c r="D714" s="60"/>
      <c r="E714" s="63"/>
      <c r="F714" s="61"/>
      <c r="G714" s="62"/>
      <c r="H714" s="62"/>
      <c r="I714" s="62"/>
      <c r="J714" s="49">
        <f>IF(AND(ISBLANK(G714),ISBLANK(H714),ISBLANK(I714)),VLOOKUP(TEXT(D714,"TTT"),Stammdaten!$B$20:$F$26,5,FALSE),H714-G714-I714)-IF(ISERROR(VLOOKUP(D714,Stammdaten!$I$9:$J$26,2,FALSE)),0,VLOOKUP(D714,Stammdaten!$I$9:$J$26,2,FALSE)/24)</f>
        <v>0</v>
      </c>
    </row>
    <row r="715" spans="2:10" x14ac:dyDescent="0.3">
      <c r="B715" s="50" t="str">
        <f t="shared" si="24"/>
        <v/>
      </c>
      <c r="C715" s="42" t="str">
        <f t="shared" si="23"/>
        <v/>
      </c>
      <c r="D715" s="60"/>
      <c r="E715" s="63"/>
      <c r="F715" s="61"/>
      <c r="G715" s="62"/>
      <c r="H715" s="62"/>
      <c r="I715" s="62"/>
      <c r="J715" s="49">
        <f>IF(AND(ISBLANK(G715),ISBLANK(H715),ISBLANK(I715)),VLOOKUP(TEXT(D715,"TTT"),Stammdaten!$B$20:$F$26,5,FALSE),H715-G715-I715)-IF(ISERROR(VLOOKUP(D715,Stammdaten!$I$9:$J$26,2,FALSE)),0,VLOOKUP(D715,Stammdaten!$I$9:$J$26,2,FALSE)/24)</f>
        <v>0</v>
      </c>
    </row>
    <row r="716" spans="2:10" x14ac:dyDescent="0.3">
      <c r="B716" s="50" t="str">
        <f t="shared" si="24"/>
        <v/>
      </c>
      <c r="C716" s="42" t="str">
        <f t="shared" si="23"/>
        <v/>
      </c>
      <c r="D716" s="60"/>
      <c r="E716" s="63"/>
      <c r="F716" s="61"/>
      <c r="G716" s="62"/>
      <c r="H716" s="62"/>
      <c r="I716" s="62"/>
      <c r="J716" s="49">
        <f>IF(AND(ISBLANK(G716),ISBLANK(H716),ISBLANK(I716)),VLOOKUP(TEXT(D716,"TTT"),Stammdaten!$B$20:$F$26,5,FALSE),H716-G716-I716)-IF(ISERROR(VLOOKUP(D716,Stammdaten!$I$9:$J$26,2,FALSE)),0,VLOOKUP(D716,Stammdaten!$I$9:$J$26,2,FALSE)/24)</f>
        <v>0</v>
      </c>
    </row>
    <row r="717" spans="2:10" x14ac:dyDescent="0.3">
      <c r="B717" s="50" t="str">
        <f t="shared" si="24"/>
        <v/>
      </c>
      <c r="C717" s="42" t="str">
        <f t="shared" si="23"/>
        <v/>
      </c>
      <c r="D717" s="60"/>
      <c r="E717" s="63"/>
      <c r="F717" s="61"/>
      <c r="G717" s="62"/>
      <c r="H717" s="62"/>
      <c r="I717" s="62"/>
      <c r="J717" s="49">
        <f>IF(AND(ISBLANK(G717),ISBLANK(H717),ISBLANK(I717)),VLOOKUP(TEXT(D717,"TTT"),Stammdaten!$B$20:$F$26,5,FALSE),H717-G717-I717)-IF(ISERROR(VLOOKUP(D717,Stammdaten!$I$9:$J$26,2,FALSE)),0,VLOOKUP(D717,Stammdaten!$I$9:$J$26,2,FALSE)/24)</f>
        <v>0</v>
      </c>
    </row>
    <row r="718" spans="2:10" x14ac:dyDescent="0.3">
      <c r="B718" s="50" t="str">
        <f t="shared" si="24"/>
        <v/>
      </c>
      <c r="C718" s="42" t="str">
        <f t="shared" si="23"/>
        <v/>
      </c>
      <c r="D718" s="60"/>
      <c r="E718" s="63"/>
      <c r="F718" s="61"/>
      <c r="G718" s="62"/>
      <c r="H718" s="62"/>
      <c r="I718" s="62"/>
      <c r="J718" s="49">
        <f>IF(AND(ISBLANK(G718),ISBLANK(H718),ISBLANK(I718)),VLOOKUP(TEXT(D718,"TTT"),Stammdaten!$B$20:$F$26,5,FALSE),H718-G718-I718)-IF(ISERROR(VLOOKUP(D718,Stammdaten!$I$9:$J$26,2,FALSE)),0,VLOOKUP(D718,Stammdaten!$I$9:$J$26,2,FALSE)/24)</f>
        <v>0</v>
      </c>
    </row>
    <row r="719" spans="2:10" x14ac:dyDescent="0.3">
      <c r="B719" s="50" t="str">
        <f t="shared" si="24"/>
        <v/>
      </c>
      <c r="C719" s="42" t="str">
        <f t="shared" si="23"/>
        <v/>
      </c>
      <c r="D719" s="60"/>
      <c r="E719" s="63"/>
      <c r="F719" s="61"/>
      <c r="G719" s="62"/>
      <c r="H719" s="62"/>
      <c r="I719" s="62"/>
      <c r="J719" s="49">
        <f>IF(AND(ISBLANK(G719),ISBLANK(H719),ISBLANK(I719)),VLOOKUP(TEXT(D719,"TTT"),Stammdaten!$B$20:$F$26,5,FALSE),H719-G719-I719)-IF(ISERROR(VLOOKUP(D719,Stammdaten!$I$9:$J$26,2,FALSE)),0,VLOOKUP(D719,Stammdaten!$I$9:$J$26,2,FALSE)/24)</f>
        <v>0</v>
      </c>
    </row>
    <row r="720" spans="2:10" x14ac:dyDescent="0.3">
      <c r="B720" s="50" t="str">
        <f t="shared" si="24"/>
        <v/>
      </c>
      <c r="C720" s="42" t="str">
        <f t="shared" si="23"/>
        <v/>
      </c>
      <c r="D720" s="60"/>
      <c r="E720" s="63"/>
      <c r="F720" s="61"/>
      <c r="G720" s="62"/>
      <c r="H720" s="62"/>
      <c r="I720" s="62"/>
      <c r="J720" s="49">
        <f>IF(AND(ISBLANK(G720),ISBLANK(H720),ISBLANK(I720)),VLOOKUP(TEXT(D720,"TTT"),Stammdaten!$B$20:$F$26,5,FALSE),H720-G720-I720)-IF(ISERROR(VLOOKUP(D720,Stammdaten!$I$9:$J$26,2,FALSE)),0,VLOOKUP(D720,Stammdaten!$I$9:$J$26,2,FALSE)/24)</f>
        <v>0</v>
      </c>
    </row>
    <row r="721" spans="2:10" x14ac:dyDescent="0.3">
      <c r="B721" s="50" t="str">
        <f t="shared" si="24"/>
        <v/>
      </c>
      <c r="C721" s="42" t="str">
        <f t="shared" si="23"/>
        <v/>
      </c>
      <c r="D721" s="60"/>
      <c r="E721" s="63"/>
      <c r="F721" s="61"/>
      <c r="G721" s="62"/>
      <c r="H721" s="62"/>
      <c r="I721" s="62"/>
      <c r="J721" s="49">
        <f>IF(AND(ISBLANK(G721),ISBLANK(H721),ISBLANK(I721)),VLOOKUP(TEXT(D721,"TTT"),Stammdaten!$B$20:$F$26,5,FALSE),H721-G721-I721)-IF(ISERROR(VLOOKUP(D721,Stammdaten!$I$9:$J$26,2,FALSE)),0,VLOOKUP(D721,Stammdaten!$I$9:$J$26,2,FALSE)/24)</f>
        <v>0</v>
      </c>
    </row>
    <row r="722" spans="2:10" x14ac:dyDescent="0.3">
      <c r="B722" s="50" t="str">
        <f t="shared" si="24"/>
        <v/>
      </c>
      <c r="C722" s="42" t="str">
        <f t="shared" si="23"/>
        <v/>
      </c>
      <c r="D722" s="60"/>
      <c r="E722" s="63"/>
      <c r="F722" s="61"/>
      <c r="G722" s="62"/>
      <c r="H722" s="62"/>
      <c r="I722" s="62"/>
      <c r="J722" s="49">
        <f>IF(AND(ISBLANK(G722),ISBLANK(H722),ISBLANK(I722)),VLOOKUP(TEXT(D722,"TTT"),Stammdaten!$B$20:$F$26,5,FALSE),H722-G722-I722)-IF(ISERROR(VLOOKUP(D722,Stammdaten!$I$9:$J$26,2,FALSE)),0,VLOOKUP(D722,Stammdaten!$I$9:$J$26,2,FALSE)/24)</f>
        <v>0</v>
      </c>
    </row>
    <row r="723" spans="2:10" x14ac:dyDescent="0.3">
      <c r="B723" s="50" t="str">
        <f t="shared" si="24"/>
        <v/>
      </c>
      <c r="C723" s="42" t="str">
        <f t="shared" si="23"/>
        <v/>
      </c>
      <c r="D723" s="60"/>
      <c r="E723" s="63"/>
      <c r="F723" s="61"/>
      <c r="G723" s="62"/>
      <c r="H723" s="62"/>
      <c r="I723" s="62"/>
      <c r="J723" s="49">
        <f>IF(AND(ISBLANK(G723),ISBLANK(H723),ISBLANK(I723)),VLOOKUP(TEXT(D723,"TTT"),Stammdaten!$B$20:$F$26,5,FALSE),H723-G723-I723)-IF(ISERROR(VLOOKUP(D723,Stammdaten!$I$9:$J$26,2,FALSE)),0,VLOOKUP(D723,Stammdaten!$I$9:$J$26,2,FALSE)/24)</f>
        <v>0</v>
      </c>
    </row>
    <row r="724" spans="2:10" x14ac:dyDescent="0.3">
      <c r="B724" s="50" t="str">
        <f t="shared" si="24"/>
        <v/>
      </c>
      <c r="C724" s="42" t="str">
        <f t="shared" si="23"/>
        <v/>
      </c>
      <c r="D724" s="60"/>
      <c r="E724" s="63"/>
      <c r="F724" s="61"/>
      <c r="G724" s="62"/>
      <c r="H724" s="62"/>
      <c r="I724" s="62"/>
      <c r="J724" s="49">
        <f>IF(AND(ISBLANK(G724),ISBLANK(H724),ISBLANK(I724)),VLOOKUP(TEXT(D724,"TTT"),Stammdaten!$B$20:$F$26,5,FALSE),H724-G724-I724)-IF(ISERROR(VLOOKUP(D724,Stammdaten!$I$9:$J$26,2,FALSE)),0,VLOOKUP(D724,Stammdaten!$I$9:$J$26,2,FALSE)/24)</f>
        <v>0</v>
      </c>
    </row>
    <row r="725" spans="2:10" x14ac:dyDescent="0.3">
      <c r="B725" s="50" t="str">
        <f t="shared" si="24"/>
        <v/>
      </c>
      <c r="C725" s="42" t="str">
        <f t="shared" si="23"/>
        <v/>
      </c>
      <c r="D725" s="60"/>
      <c r="E725" s="63"/>
      <c r="F725" s="61"/>
      <c r="G725" s="62"/>
      <c r="H725" s="62"/>
      <c r="I725" s="62"/>
      <c r="J725" s="49">
        <f>IF(AND(ISBLANK(G725),ISBLANK(H725),ISBLANK(I725)),VLOOKUP(TEXT(D725,"TTT"),Stammdaten!$B$20:$F$26,5,FALSE),H725-G725-I725)-IF(ISERROR(VLOOKUP(D725,Stammdaten!$I$9:$J$26,2,FALSE)),0,VLOOKUP(D725,Stammdaten!$I$9:$J$26,2,FALSE)/24)</f>
        <v>0</v>
      </c>
    </row>
    <row r="726" spans="2:10" x14ac:dyDescent="0.3">
      <c r="B726" s="50" t="str">
        <f t="shared" si="24"/>
        <v/>
      </c>
      <c r="C726" s="42" t="str">
        <f t="shared" si="23"/>
        <v/>
      </c>
      <c r="D726" s="60"/>
      <c r="E726" s="63"/>
      <c r="F726" s="61"/>
      <c r="G726" s="62"/>
      <c r="H726" s="62"/>
      <c r="I726" s="62"/>
      <c r="J726" s="49">
        <f>IF(AND(ISBLANK(G726),ISBLANK(H726),ISBLANK(I726)),VLOOKUP(TEXT(D726,"TTT"),Stammdaten!$B$20:$F$26,5,FALSE),H726-G726-I726)-IF(ISERROR(VLOOKUP(D726,Stammdaten!$I$9:$J$26,2,FALSE)),0,VLOOKUP(D726,Stammdaten!$I$9:$J$26,2,FALSE)/24)</f>
        <v>0</v>
      </c>
    </row>
    <row r="727" spans="2:10" x14ac:dyDescent="0.3">
      <c r="B727" s="50" t="str">
        <f t="shared" si="24"/>
        <v/>
      </c>
      <c r="C727" s="42" t="str">
        <f t="shared" si="23"/>
        <v/>
      </c>
      <c r="D727" s="60"/>
      <c r="E727" s="63"/>
      <c r="F727" s="61"/>
      <c r="G727" s="62"/>
      <c r="H727" s="62"/>
      <c r="I727" s="62"/>
      <c r="J727" s="49">
        <f>IF(AND(ISBLANK(G727),ISBLANK(H727),ISBLANK(I727)),VLOOKUP(TEXT(D727,"TTT"),Stammdaten!$B$20:$F$26,5,FALSE),H727-G727-I727)-IF(ISERROR(VLOOKUP(D727,Stammdaten!$I$9:$J$26,2,FALSE)),0,VLOOKUP(D727,Stammdaten!$I$9:$J$26,2,FALSE)/24)</f>
        <v>0</v>
      </c>
    </row>
    <row r="728" spans="2:10" x14ac:dyDescent="0.3">
      <c r="B728" s="50" t="str">
        <f t="shared" si="24"/>
        <v/>
      </c>
      <c r="C728" s="42" t="str">
        <f t="shared" si="23"/>
        <v/>
      </c>
      <c r="D728" s="60"/>
      <c r="E728" s="63"/>
      <c r="F728" s="61"/>
      <c r="G728" s="62"/>
      <c r="H728" s="62"/>
      <c r="I728" s="62"/>
      <c r="J728" s="49">
        <f>IF(AND(ISBLANK(G728),ISBLANK(H728),ISBLANK(I728)),VLOOKUP(TEXT(D728,"TTT"),Stammdaten!$B$20:$F$26,5,FALSE),H728-G728-I728)-IF(ISERROR(VLOOKUP(D728,Stammdaten!$I$9:$J$26,2,FALSE)),0,VLOOKUP(D728,Stammdaten!$I$9:$J$26,2,FALSE)/24)</f>
        <v>0</v>
      </c>
    </row>
    <row r="729" spans="2:10" x14ac:dyDescent="0.3">
      <c r="B729" s="50" t="str">
        <f t="shared" si="24"/>
        <v/>
      </c>
      <c r="C729" s="42" t="str">
        <f t="shared" si="23"/>
        <v/>
      </c>
      <c r="D729" s="60"/>
      <c r="E729" s="63"/>
      <c r="F729" s="61"/>
      <c r="G729" s="62"/>
      <c r="H729" s="62"/>
      <c r="I729" s="62"/>
      <c r="J729" s="49">
        <f>IF(AND(ISBLANK(G729),ISBLANK(H729),ISBLANK(I729)),VLOOKUP(TEXT(D729,"TTT"),Stammdaten!$B$20:$F$26,5,FALSE),H729-G729-I729)-IF(ISERROR(VLOOKUP(D729,Stammdaten!$I$9:$J$26,2,FALSE)),0,VLOOKUP(D729,Stammdaten!$I$9:$J$26,2,FALSE)/24)</f>
        <v>0</v>
      </c>
    </row>
    <row r="730" spans="2:10" x14ac:dyDescent="0.3">
      <c r="B730" s="50" t="str">
        <f t="shared" si="24"/>
        <v/>
      </c>
      <c r="C730" s="42" t="str">
        <f t="shared" si="23"/>
        <v/>
      </c>
      <c r="D730" s="60"/>
      <c r="E730" s="63"/>
      <c r="F730" s="61"/>
      <c r="G730" s="62"/>
      <c r="H730" s="62"/>
      <c r="I730" s="62"/>
      <c r="J730" s="49">
        <f>IF(AND(ISBLANK(G730),ISBLANK(H730),ISBLANK(I730)),VLOOKUP(TEXT(D730,"TTT"),Stammdaten!$B$20:$F$26,5,FALSE),H730-G730-I730)-IF(ISERROR(VLOOKUP(D730,Stammdaten!$I$9:$J$26,2,FALSE)),0,VLOOKUP(D730,Stammdaten!$I$9:$J$26,2,FALSE)/24)</f>
        <v>0</v>
      </c>
    </row>
    <row r="731" spans="2:10" x14ac:dyDescent="0.3">
      <c r="B731" s="50" t="str">
        <f t="shared" si="24"/>
        <v/>
      </c>
      <c r="C731" s="42" t="str">
        <f t="shared" si="23"/>
        <v/>
      </c>
      <c r="D731" s="60"/>
      <c r="E731" s="63"/>
      <c r="F731" s="61"/>
      <c r="G731" s="62"/>
      <c r="H731" s="62"/>
      <c r="I731" s="62"/>
      <c r="J731" s="49">
        <f>IF(AND(ISBLANK(G731),ISBLANK(H731),ISBLANK(I731)),VLOOKUP(TEXT(D731,"TTT"),Stammdaten!$B$20:$F$26,5,FALSE),H731-G731-I731)-IF(ISERROR(VLOOKUP(D731,Stammdaten!$I$9:$J$26,2,FALSE)),0,VLOOKUP(D731,Stammdaten!$I$9:$J$26,2,FALSE)/24)</f>
        <v>0</v>
      </c>
    </row>
    <row r="732" spans="2:10" x14ac:dyDescent="0.3">
      <c r="B732" s="50" t="str">
        <f t="shared" si="24"/>
        <v/>
      </c>
      <c r="C732" s="42" t="str">
        <f t="shared" si="23"/>
        <v/>
      </c>
      <c r="D732" s="60"/>
      <c r="E732" s="63"/>
      <c r="F732" s="61"/>
      <c r="G732" s="62"/>
      <c r="H732" s="62"/>
      <c r="I732" s="62"/>
      <c r="J732" s="49">
        <f>IF(AND(ISBLANK(G732),ISBLANK(H732),ISBLANK(I732)),VLOOKUP(TEXT(D732,"TTT"),Stammdaten!$B$20:$F$26,5,FALSE),H732-G732-I732)-IF(ISERROR(VLOOKUP(D732,Stammdaten!$I$9:$J$26,2,FALSE)),0,VLOOKUP(D732,Stammdaten!$I$9:$J$26,2,FALSE)/24)</f>
        <v>0</v>
      </c>
    </row>
    <row r="733" spans="2:10" x14ac:dyDescent="0.3">
      <c r="B733" s="50" t="str">
        <f t="shared" si="24"/>
        <v/>
      </c>
      <c r="C733" s="42" t="str">
        <f t="shared" si="23"/>
        <v/>
      </c>
      <c r="D733" s="60"/>
      <c r="E733" s="63"/>
      <c r="F733" s="61"/>
      <c r="G733" s="62"/>
      <c r="H733" s="62"/>
      <c r="I733" s="62"/>
      <c r="J733" s="49">
        <f>IF(AND(ISBLANK(G733),ISBLANK(H733),ISBLANK(I733)),VLOOKUP(TEXT(D733,"TTT"),Stammdaten!$B$20:$F$26,5,FALSE),H733-G733-I733)-IF(ISERROR(VLOOKUP(D733,Stammdaten!$I$9:$J$26,2,FALSE)),0,VLOOKUP(D733,Stammdaten!$I$9:$J$26,2,FALSE)/24)</f>
        <v>0</v>
      </c>
    </row>
    <row r="734" spans="2:10" x14ac:dyDescent="0.3">
      <c r="B734" s="50" t="str">
        <f t="shared" si="24"/>
        <v/>
      </c>
      <c r="C734" s="42" t="str">
        <f t="shared" si="23"/>
        <v/>
      </c>
      <c r="D734" s="60"/>
      <c r="E734" s="63"/>
      <c r="F734" s="61"/>
      <c r="G734" s="62"/>
      <c r="H734" s="62"/>
      <c r="I734" s="62"/>
      <c r="J734" s="49">
        <f>IF(AND(ISBLANK(G734),ISBLANK(H734),ISBLANK(I734)),VLOOKUP(TEXT(D734,"TTT"),Stammdaten!$B$20:$F$26,5,FALSE),H734-G734-I734)-IF(ISERROR(VLOOKUP(D734,Stammdaten!$I$9:$J$26,2,FALSE)),0,VLOOKUP(D734,Stammdaten!$I$9:$J$26,2,FALSE)/24)</f>
        <v>0</v>
      </c>
    </row>
    <row r="735" spans="2:10" x14ac:dyDescent="0.3">
      <c r="B735" s="50" t="str">
        <f t="shared" si="24"/>
        <v/>
      </c>
      <c r="C735" s="42" t="str">
        <f t="shared" si="23"/>
        <v/>
      </c>
      <c r="D735" s="60"/>
      <c r="E735" s="63"/>
      <c r="F735" s="61"/>
      <c r="G735" s="62"/>
      <c r="H735" s="62"/>
      <c r="I735" s="62"/>
      <c r="J735" s="49">
        <f>IF(AND(ISBLANK(G735),ISBLANK(H735),ISBLANK(I735)),VLOOKUP(TEXT(D735,"TTT"),Stammdaten!$B$20:$F$26,5,FALSE),H735-G735-I735)-IF(ISERROR(VLOOKUP(D735,Stammdaten!$I$9:$J$26,2,FALSE)),0,VLOOKUP(D735,Stammdaten!$I$9:$J$26,2,FALSE)/24)</f>
        <v>0</v>
      </c>
    </row>
    <row r="736" spans="2:10" x14ac:dyDescent="0.3">
      <c r="B736" s="50" t="str">
        <f t="shared" si="24"/>
        <v/>
      </c>
      <c r="C736" s="42" t="str">
        <f t="shared" si="23"/>
        <v/>
      </c>
      <c r="D736" s="60"/>
      <c r="E736" s="63"/>
      <c r="F736" s="61"/>
      <c r="G736" s="62"/>
      <c r="H736" s="62"/>
      <c r="I736" s="62"/>
      <c r="J736" s="49">
        <f>IF(AND(ISBLANK(G736),ISBLANK(H736),ISBLANK(I736)),VLOOKUP(TEXT(D736,"TTT"),Stammdaten!$B$20:$F$26,5,FALSE),H736-G736-I736)-IF(ISERROR(VLOOKUP(D736,Stammdaten!$I$9:$J$26,2,FALSE)),0,VLOOKUP(D736,Stammdaten!$I$9:$J$26,2,FALSE)/24)</f>
        <v>0</v>
      </c>
    </row>
    <row r="737" spans="2:10" x14ac:dyDescent="0.3">
      <c r="B737" s="50" t="str">
        <f t="shared" si="24"/>
        <v/>
      </c>
      <c r="C737" s="42" t="str">
        <f t="shared" si="23"/>
        <v/>
      </c>
      <c r="D737" s="60"/>
      <c r="E737" s="63"/>
      <c r="F737" s="61"/>
      <c r="G737" s="62"/>
      <c r="H737" s="62"/>
      <c r="I737" s="62"/>
      <c r="J737" s="49">
        <f>IF(AND(ISBLANK(G737),ISBLANK(H737),ISBLANK(I737)),VLOOKUP(TEXT(D737,"TTT"),Stammdaten!$B$20:$F$26,5,FALSE),H737-G737-I737)-IF(ISERROR(VLOOKUP(D737,Stammdaten!$I$9:$J$26,2,FALSE)),0,VLOOKUP(D737,Stammdaten!$I$9:$J$26,2,FALSE)/24)</f>
        <v>0</v>
      </c>
    </row>
    <row r="738" spans="2:10" x14ac:dyDescent="0.3">
      <c r="B738" s="50" t="str">
        <f t="shared" si="24"/>
        <v/>
      </c>
      <c r="C738" s="42" t="str">
        <f t="shared" si="23"/>
        <v/>
      </c>
      <c r="D738" s="60"/>
      <c r="E738" s="63"/>
      <c r="F738" s="61"/>
      <c r="G738" s="62"/>
      <c r="H738" s="62"/>
      <c r="I738" s="62"/>
      <c r="J738" s="49">
        <f>IF(AND(ISBLANK(G738),ISBLANK(H738),ISBLANK(I738)),VLOOKUP(TEXT(D738,"TTT"),Stammdaten!$B$20:$F$26,5,FALSE),H738-G738-I738)-IF(ISERROR(VLOOKUP(D738,Stammdaten!$I$9:$J$26,2,FALSE)),0,VLOOKUP(D738,Stammdaten!$I$9:$J$26,2,FALSE)/24)</f>
        <v>0</v>
      </c>
    </row>
    <row r="739" spans="2:10" x14ac:dyDescent="0.3">
      <c r="B739" s="50" t="str">
        <f t="shared" si="24"/>
        <v/>
      </c>
      <c r="C739" s="42" t="str">
        <f t="shared" si="23"/>
        <v/>
      </c>
      <c r="D739" s="60"/>
      <c r="E739" s="63"/>
      <c r="F739" s="61"/>
      <c r="G739" s="62"/>
      <c r="H739" s="62"/>
      <c r="I739" s="62"/>
      <c r="J739" s="49">
        <f>IF(AND(ISBLANK(G739),ISBLANK(H739),ISBLANK(I739)),VLOOKUP(TEXT(D739,"TTT"),Stammdaten!$B$20:$F$26,5,FALSE),H739-G739-I739)-IF(ISERROR(VLOOKUP(D739,Stammdaten!$I$9:$J$26,2,FALSE)),0,VLOOKUP(D739,Stammdaten!$I$9:$J$26,2,FALSE)/24)</f>
        <v>0</v>
      </c>
    </row>
    <row r="740" spans="2:10" x14ac:dyDescent="0.3">
      <c r="B740" s="50" t="str">
        <f t="shared" si="24"/>
        <v/>
      </c>
      <c r="C740" s="42" t="str">
        <f t="shared" si="23"/>
        <v/>
      </c>
      <c r="D740" s="60"/>
      <c r="E740" s="63"/>
      <c r="F740" s="61"/>
      <c r="G740" s="62"/>
      <c r="H740" s="62"/>
      <c r="I740" s="62"/>
      <c r="J740" s="49">
        <f>IF(AND(ISBLANK(G740),ISBLANK(H740),ISBLANK(I740)),VLOOKUP(TEXT(D740,"TTT"),Stammdaten!$B$20:$F$26,5,FALSE),H740-G740-I740)-IF(ISERROR(VLOOKUP(D740,Stammdaten!$I$9:$J$26,2,FALSE)),0,VLOOKUP(D740,Stammdaten!$I$9:$J$26,2,FALSE)/24)</f>
        <v>0</v>
      </c>
    </row>
    <row r="741" spans="2:10" x14ac:dyDescent="0.3">
      <c r="B741" s="50" t="str">
        <f t="shared" si="24"/>
        <v/>
      </c>
      <c r="C741" s="42" t="str">
        <f t="shared" si="23"/>
        <v/>
      </c>
      <c r="D741" s="60"/>
      <c r="E741" s="63"/>
      <c r="F741" s="61"/>
      <c r="G741" s="62"/>
      <c r="H741" s="62"/>
      <c r="I741" s="62"/>
      <c r="J741" s="49">
        <f>IF(AND(ISBLANK(G741),ISBLANK(H741),ISBLANK(I741)),VLOOKUP(TEXT(D741,"TTT"),Stammdaten!$B$20:$F$26,5,FALSE),H741-G741-I741)-IF(ISERROR(VLOOKUP(D741,Stammdaten!$I$9:$J$26,2,FALSE)),0,VLOOKUP(D741,Stammdaten!$I$9:$J$26,2,FALSE)/24)</f>
        <v>0</v>
      </c>
    </row>
    <row r="742" spans="2:10" x14ac:dyDescent="0.3">
      <c r="B742" s="50" t="str">
        <f t="shared" si="24"/>
        <v/>
      </c>
      <c r="C742" s="42" t="str">
        <f t="shared" si="23"/>
        <v/>
      </c>
      <c r="D742" s="60"/>
      <c r="E742" s="63"/>
      <c r="F742" s="61"/>
      <c r="G742" s="62"/>
      <c r="H742" s="62"/>
      <c r="I742" s="62"/>
      <c r="J742" s="49">
        <f>IF(AND(ISBLANK(G742),ISBLANK(H742),ISBLANK(I742)),VLOOKUP(TEXT(D742,"TTT"),Stammdaten!$B$20:$F$26,5,FALSE),H742-G742-I742)-IF(ISERROR(VLOOKUP(D742,Stammdaten!$I$9:$J$26,2,FALSE)),0,VLOOKUP(D742,Stammdaten!$I$9:$J$26,2,FALSE)/24)</f>
        <v>0</v>
      </c>
    </row>
    <row r="743" spans="2:10" x14ac:dyDescent="0.3">
      <c r="B743" s="50" t="str">
        <f t="shared" si="24"/>
        <v/>
      </c>
      <c r="C743" s="42" t="str">
        <f t="shared" si="23"/>
        <v/>
      </c>
      <c r="D743" s="60"/>
      <c r="E743" s="63"/>
      <c r="F743" s="61"/>
      <c r="G743" s="62"/>
      <c r="H743" s="62"/>
      <c r="I743" s="62"/>
      <c r="J743" s="49">
        <f>IF(AND(ISBLANK(G743),ISBLANK(H743),ISBLANK(I743)),VLOOKUP(TEXT(D743,"TTT"),Stammdaten!$B$20:$F$26,5,FALSE),H743-G743-I743)-IF(ISERROR(VLOOKUP(D743,Stammdaten!$I$9:$J$26,2,FALSE)),0,VLOOKUP(D743,Stammdaten!$I$9:$J$26,2,FALSE)/24)</f>
        <v>0</v>
      </c>
    </row>
    <row r="744" spans="2:10" x14ac:dyDescent="0.3">
      <c r="B744" s="50" t="str">
        <f t="shared" si="24"/>
        <v/>
      </c>
      <c r="C744" s="42" t="str">
        <f t="shared" si="23"/>
        <v/>
      </c>
      <c r="D744" s="60"/>
      <c r="E744" s="63"/>
      <c r="F744" s="61"/>
      <c r="G744" s="62"/>
      <c r="H744" s="62"/>
      <c r="I744" s="62"/>
      <c r="J744" s="49">
        <f>IF(AND(ISBLANK(G744),ISBLANK(H744),ISBLANK(I744)),VLOOKUP(TEXT(D744,"TTT"),Stammdaten!$B$20:$F$26,5,FALSE),H744-G744-I744)-IF(ISERROR(VLOOKUP(D744,Stammdaten!$I$9:$J$26,2,FALSE)),0,VLOOKUP(D744,Stammdaten!$I$9:$J$26,2,FALSE)/24)</f>
        <v>0</v>
      </c>
    </row>
    <row r="745" spans="2:10" x14ac:dyDescent="0.3">
      <c r="B745" s="50" t="str">
        <f t="shared" si="24"/>
        <v/>
      </c>
      <c r="C745" s="42" t="str">
        <f t="shared" si="23"/>
        <v/>
      </c>
      <c r="D745" s="60"/>
      <c r="E745" s="63"/>
      <c r="F745" s="61"/>
      <c r="G745" s="62"/>
      <c r="H745" s="62"/>
      <c r="I745" s="62"/>
      <c r="J745" s="49">
        <f>IF(AND(ISBLANK(G745),ISBLANK(H745),ISBLANK(I745)),VLOOKUP(TEXT(D745,"TTT"),Stammdaten!$B$20:$F$26,5,FALSE),H745-G745-I745)-IF(ISERROR(VLOOKUP(D745,Stammdaten!$I$9:$J$26,2,FALSE)),0,VLOOKUP(D745,Stammdaten!$I$9:$J$26,2,FALSE)/24)</f>
        <v>0</v>
      </c>
    </row>
    <row r="746" spans="2:10" x14ac:dyDescent="0.3">
      <c r="B746" s="50" t="str">
        <f t="shared" si="24"/>
        <v/>
      </c>
      <c r="C746" s="42" t="str">
        <f t="shared" si="23"/>
        <v/>
      </c>
      <c r="D746" s="60"/>
      <c r="E746" s="63"/>
      <c r="F746" s="61"/>
      <c r="G746" s="62"/>
      <c r="H746" s="62"/>
      <c r="I746" s="62"/>
      <c r="J746" s="49">
        <f>IF(AND(ISBLANK(G746),ISBLANK(H746),ISBLANK(I746)),VLOOKUP(TEXT(D746,"TTT"),Stammdaten!$B$20:$F$26,5,FALSE),H746-G746-I746)-IF(ISERROR(VLOOKUP(D746,Stammdaten!$I$9:$J$26,2,FALSE)),0,VLOOKUP(D746,Stammdaten!$I$9:$J$26,2,FALSE)/24)</f>
        <v>0</v>
      </c>
    </row>
    <row r="747" spans="2:10" x14ac:dyDescent="0.3">
      <c r="B747" s="50" t="str">
        <f t="shared" si="24"/>
        <v/>
      </c>
      <c r="C747" s="42" t="str">
        <f t="shared" si="23"/>
        <v/>
      </c>
      <c r="D747" s="60"/>
      <c r="E747" s="63"/>
      <c r="F747" s="61"/>
      <c r="G747" s="62"/>
      <c r="H747" s="62"/>
      <c r="I747" s="62"/>
      <c r="J747" s="49">
        <f>IF(AND(ISBLANK(G747),ISBLANK(H747),ISBLANK(I747)),VLOOKUP(TEXT(D747,"TTT"),Stammdaten!$B$20:$F$26,5,FALSE),H747-G747-I747)-IF(ISERROR(VLOOKUP(D747,Stammdaten!$I$9:$J$26,2,FALSE)),0,VLOOKUP(D747,Stammdaten!$I$9:$J$26,2,FALSE)/24)</f>
        <v>0</v>
      </c>
    </row>
    <row r="748" spans="2:10" x14ac:dyDescent="0.3">
      <c r="B748" s="50" t="str">
        <f t="shared" si="24"/>
        <v/>
      </c>
      <c r="C748" s="42" t="str">
        <f t="shared" si="23"/>
        <v/>
      </c>
      <c r="D748" s="60"/>
      <c r="E748" s="63"/>
      <c r="F748" s="61"/>
      <c r="G748" s="62"/>
      <c r="H748" s="62"/>
      <c r="I748" s="62"/>
      <c r="J748" s="49">
        <f>IF(AND(ISBLANK(G748),ISBLANK(H748),ISBLANK(I748)),VLOOKUP(TEXT(D748,"TTT"),Stammdaten!$B$20:$F$26,5,FALSE),H748-G748-I748)-IF(ISERROR(VLOOKUP(D748,Stammdaten!$I$9:$J$26,2,FALSE)),0,VLOOKUP(D748,Stammdaten!$I$9:$J$26,2,FALSE)/24)</f>
        <v>0</v>
      </c>
    </row>
    <row r="749" spans="2:10" x14ac:dyDescent="0.3">
      <c r="B749" s="50" t="str">
        <f t="shared" si="24"/>
        <v/>
      </c>
      <c r="C749" s="42" t="str">
        <f t="shared" si="23"/>
        <v/>
      </c>
      <c r="D749" s="60"/>
      <c r="E749" s="63"/>
      <c r="F749" s="61"/>
      <c r="G749" s="62"/>
      <c r="H749" s="62"/>
      <c r="I749" s="62"/>
      <c r="J749" s="49">
        <f>IF(AND(ISBLANK(G749),ISBLANK(H749),ISBLANK(I749)),VLOOKUP(TEXT(D749,"TTT"),Stammdaten!$B$20:$F$26,5,FALSE),H749-G749-I749)-IF(ISERROR(VLOOKUP(D749,Stammdaten!$I$9:$J$26,2,FALSE)),0,VLOOKUP(D749,Stammdaten!$I$9:$J$26,2,FALSE)/24)</f>
        <v>0</v>
      </c>
    </row>
    <row r="750" spans="2:10" x14ac:dyDescent="0.3">
      <c r="B750" s="50" t="str">
        <f t="shared" si="24"/>
        <v/>
      </c>
      <c r="C750" s="42" t="str">
        <f t="shared" si="23"/>
        <v/>
      </c>
      <c r="D750" s="60"/>
      <c r="E750" s="63"/>
      <c r="F750" s="61"/>
      <c r="G750" s="62"/>
      <c r="H750" s="62"/>
      <c r="I750" s="62"/>
      <c r="J750" s="49">
        <f>IF(AND(ISBLANK(G750),ISBLANK(H750),ISBLANK(I750)),VLOOKUP(TEXT(D750,"TTT"),Stammdaten!$B$20:$F$26,5,FALSE),H750-G750-I750)-IF(ISERROR(VLOOKUP(D750,Stammdaten!$I$9:$J$26,2,FALSE)),0,VLOOKUP(D750,Stammdaten!$I$9:$J$26,2,FALSE)/24)</f>
        <v>0</v>
      </c>
    </row>
    <row r="751" spans="2:10" x14ac:dyDescent="0.3">
      <c r="B751" s="50" t="str">
        <f t="shared" si="24"/>
        <v/>
      </c>
      <c r="C751" s="42" t="str">
        <f t="shared" si="23"/>
        <v/>
      </c>
      <c r="D751" s="60"/>
      <c r="E751" s="63"/>
      <c r="F751" s="61"/>
      <c r="G751" s="62"/>
      <c r="H751" s="62"/>
      <c r="I751" s="62"/>
      <c r="J751" s="49">
        <f>IF(AND(ISBLANK(G751),ISBLANK(H751),ISBLANK(I751)),VLOOKUP(TEXT(D751,"TTT"),Stammdaten!$B$20:$F$26,5,FALSE),H751-G751-I751)-IF(ISERROR(VLOOKUP(D751,Stammdaten!$I$9:$J$26,2,FALSE)),0,VLOOKUP(D751,Stammdaten!$I$9:$J$26,2,FALSE)/24)</f>
        <v>0</v>
      </c>
    </row>
    <row r="752" spans="2:10" x14ac:dyDescent="0.3">
      <c r="B752" s="50" t="str">
        <f t="shared" si="24"/>
        <v/>
      </c>
      <c r="C752" s="42" t="str">
        <f t="shared" si="23"/>
        <v/>
      </c>
      <c r="D752" s="60"/>
      <c r="E752" s="63"/>
      <c r="F752" s="61"/>
      <c r="G752" s="62"/>
      <c r="H752" s="62"/>
      <c r="I752" s="62"/>
      <c r="J752" s="49">
        <f>IF(AND(ISBLANK(G752),ISBLANK(H752),ISBLANK(I752)),VLOOKUP(TEXT(D752,"TTT"),Stammdaten!$B$20:$F$26,5,FALSE),H752-G752-I752)-IF(ISERROR(VLOOKUP(D752,Stammdaten!$I$9:$J$26,2,FALSE)),0,VLOOKUP(D752,Stammdaten!$I$9:$J$26,2,FALSE)/24)</f>
        <v>0</v>
      </c>
    </row>
    <row r="753" spans="2:10" x14ac:dyDescent="0.3">
      <c r="B753" s="50" t="str">
        <f t="shared" si="24"/>
        <v/>
      </c>
      <c r="C753" s="42" t="str">
        <f t="shared" si="23"/>
        <v/>
      </c>
      <c r="D753" s="60"/>
      <c r="E753" s="63"/>
      <c r="F753" s="61"/>
      <c r="G753" s="62"/>
      <c r="H753" s="62"/>
      <c r="I753" s="62"/>
      <c r="J753" s="49">
        <f>IF(AND(ISBLANK(G753),ISBLANK(H753),ISBLANK(I753)),VLOOKUP(TEXT(D753,"TTT"),Stammdaten!$B$20:$F$26,5,FALSE),H753-G753-I753)-IF(ISERROR(VLOOKUP(D753,Stammdaten!$I$9:$J$26,2,FALSE)),0,VLOOKUP(D753,Stammdaten!$I$9:$J$26,2,FALSE)/24)</f>
        <v>0</v>
      </c>
    </row>
    <row r="754" spans="2:10" x14ac:dyDescent="0.3">
      <c r="B754" s="50" t="str">
        <f t="shared" si="24"/>
        <v/>
      </c>
      <c r="C754" s="42" t="str">
        <f t="shared" si="23"/>
        <v/>
      </c>
      <c r="D754" s="60"/>
      <c r="E754" s="63"/>
      <c r="F754" s="61"/>
      <c r="G754" s="62"/>
      <c r="H754" s="62"/>
      <c r="I754" s="62"/>
      <c r="J754" s="49">
        <f>IF(AND(ISBLANK(G754),ISBLANK(H754),ISBLANK(I754)),VLOOKUP(TEXT(D754,"TTT"),Stammdaten!$B$20:$F$26,5,FALSE),H754-G754-I754)-IF(ISERROR(VLOOKUP(D754,Stammdaten!$I$9:$J$26,2,FALSE)),0,VLOOKUP(D754,Stammdaten!$I$9:$J$26,2,FALSE)/24)</f>
        <v>0</v>
      </c>
    </row>
    <row r="755" spans="2:10" x14ac:dyDescent="0.3">
      <c r="B755" s="50" t="str">
        <f t="shared" si="24"/>
        <v/>
      </c>
      <c r="C755" s="42" t="str">
        <f t="shared" si="23"/>
        <v/>
      </c>
      <c r="D755" s="60"/>
      <c r="E755" s="63"/>
      <c r="F755" s="61"/>
      <c r="G755" s="62"/>
      <c r="H755" s="62"/>
      <c r="I755" s="62"/>
      <c r="J755" s="49">
        <f>IF(AND(ISBLANK(G755),ISBLANK(H755),ISBLANK(I755)),VLOOKUP(TEXT(D755,"TTT"),Stammdaten!$B$20:$F$26,5,FALSE),H755-G755-I755)-IF(ISERROR(VLOOKUP(D755,Stammdaten!$I$9:$J$26,2,FALSE)),0,VLOOKUP(D755,Stammdaten!$I$9:$J$26,2,FALSE)/24)</f>
        <v>0</v>
      </c>
    </row>
    <row r="756" spans="2:10" x14ac:dyDescent="0.3">
      <c r="B756" s="50" t="str">
        <f t="shared" si="24"/>
        <v/>
      </c>
      <c r="C756" s="42" t="str">
        <f t="shared" si="23"/>
        <v/>
      </c>
      <c r="D756" s="60"/>
      <c r="E756" s="63"/>
      <c r="F756" s="61"/>
      <c r="G756" s="62"/>
      <c r="H756" s="62"/>
      <c r="I756" s="62"/>
      <c r="J756" s="49">
        <f>IF(AND(ISBLANK(G756),ISBLANK(H756),ISBLANK(I756)),VLOOKUP(TEXT(D756,"TTT"),Stammdaten!$B$20:$F$26,5,FALSE),H756-G756-I756)-IF(ISERROR(VLOOKUP(D756,Stammdaten!$I$9:$J$26,2,FALSE)),0,VLOOKUP(D756,Stammdaten!$I$9:$J$26,2,FALSE)/24)</f>
        <v>0</v>
      </c>
    </row>
    <row r="757" spans="2:10" x14ac:dyDescent="0.3">
      <c r="B757" s="50" t="str">
        <f t="shared" si="24"/>
        <v/>
      </c>
      <c r="C757" s="42" t="str">
        <f t="shared" si="23"/>
        <v/>
      </c>
      <c r="D757" s="60"/>
      <c r="E757" s="63"/>
      <c r="F757" s="61"/>
      <c r="G757" s="62"/>
      <c r="H757" s="62"/>
      <c r="I757" s="62"/>
      <c r="J757" s="49">
        <f>IF(AND(ISBLANK(G757),ISBLANK(H757),ISBLANK(I757)),VLOOKUP(TEXT(D757,"TTT"),Stammdaten!$B$20:$F$26,5,FALSE),H757-G757-I757)-IF(ISERROR(VLOOKUP(D757,Stammdaten!$I$9:$J$26,2,FALSE)),0,VLOOKUP(D757,Stammdaten!$I$9:$J$26,2,FALSE)/24)</f>
        <v>0</v>
      </c>
    </row>
    <row r="758" spans="2:10" x14ac:dyDescent="0.3">
      <c r="B758" s="50" t="str">
        <f t="shared" si="24"/>
        <v/>
      </c>
      <c r="C758" s="42" t="str">
        <f t="shared" si="23"/>
        <v/>
      </c>
      <c r="D758" s="60"/>
      <c r="E758" s="63"/>
      <c r="F758" s="61"/>
      <c r="G758" s="62"/>
      <c r="H758" s="62"/>
      <c r="I758" s="62"/>
      <c r="J758" s="49">
        <f>IF(AND(ISBLANK(G758),ISBLANK(H758),ISBLANK(I758)),VLOOKUP(TEXT(D758,"TTT"),Stammdaten!$B$20:$F$26,5,FALSE),H758-G758-I758)-IF(ISERROR(VLOOKUP(D758,Stammdaten!$I$9:$J$26,2,FALSE)),0,VLOOKUP(D758,Stammdaten!$I$9:$J$26,2,FALSE)/24)</f>
        <v>0</v>
      </c>
    </row>
    <row r="759" spans="2:10" x14ac:dyDescent="0.3">
      <c r="B759" s="50" t="str">
        <f t="shared" si="24"/>
        <v/>
      </c>
      <c r="C759" s="42" t="str">
        <f t="shared" si="23"/>
        <v/>
      </c>
      <c r="D759" s="60"/>
      <c r="E759" s="63"/>
      <c r="F759" s="61"/>
      <c r="G759" s="62"/>
      <c r="H759" s="62"/>
      <c r="I759" s="62"/>
      <c r="J759" s="49">
        <f>IF(AND(ISBLANK(G759),ISBLANK(H759),ISBLANK(I759)),VLOOKUP(TEXT(D759,"TTT"),Stammdaten!$B$20:$F$26,5,FALSE),H759-G759-I759)-IF(ISERROR(VLOOKUP(D759,Stammdaten!$I$9:$J$26,2,FALSE)),0,VLOOKUP(D759,Stammdaten!$I$9:$J$26,2,FALSE)/24)</f>
        <v>0</v>
      </c>
    </row>
    <row r="760" spans="2:10" x14ac:dyDescent="0.3">
      <c r="B760" s="50" t="str">
        <f t="shared" si="24"/>
        <v/>
      </c>
      <c r="C760" s="42" t="str">
        <f t="shared" si="23"/>
        <v/>
      </c>
      <c r="D760" s="60"/>
      <c r="E760" s="63"/>
      <c r="F760" s="61"/>
      <c r="G760" s="62"/>
      <c r="H760" s="62"/>
      <c r="I760" s="62"/>
      <c r="J760" s="49">
        <f>IF(AND(ISBLANK(G760),ISBLANK(H760),ISBLANK(I760)),VLOOKUP(TEXT(D760,"TTT"),Stammdaten!$B$20:$F$26,5,FALSE),H760-G760-I760)-IF(ISERROR(VLOOKUP(D760,Stammdaten!$I$9:$J$26,2,FALSE)),0,VLOOKUP(D760,Stammdaten!$I$9:$J$26,2,FALSE)/24)</f>
        <v>0</v>
      </c>
    </row>
    <row r="761" spans="2:10" x14ac:dyDescent="0.3">
      <c r="B761" s="50" t="str">
        <f t="shared" si="24"/>
        <v/>
      </c>
      <c r="C761" s="42" t="str">
        <f t="shared" si="23"/>
        <v/>
      </c>
      <c r="D761" s="60"/>
      <c r="E761" s="63"/>
      <c r="F761" s="61"/>
      <c r="G761" s="62"/>
      <c r="H761" s="62"/>
      <c r="I761" s="62"/>
      <c r="J761" s="49">
        <f>IF(AND(ISBLANK(G761),ISBLANK(H761),ISBLANK(I761)),VLOOKUP(TEXT(D761,"TTT"),Stammdaten!$B$20:$F$26,5,FALSE),H761-G761-I761)-IF(ISERROR(VLOOKUP(D761,Stammdaten!$I$9:$J$26,2,FALSE)),0,VLOOKUP(D761,Stammdaten!$I$9:$J$26,2,FALSE)/24)</f>
        <v>0</v>
      </c>
    </row>
    <row r="762" spans="2:10" x14ac:dyDescent="0.3">
      <c r="B762" s="50" t="str">
        <f t="shared" si="24"/>
        <v/>
      </c>
      <c r="C762" s="42" t="str">
        <f t="shared" si="23"/>
        <v/>
      </c>
      <c r="D762" s="60"/>
      <c r="E762" s="63"/>
      <c r="F762" s="61"/>
      <c r="G762" s="62"/>
      <c r="H762" s="62"/>
      <c r="I762" s="62"/>
      <c r="J762" s="49">
        <f>IF(AND(ISBLANK(G762),ISBLANK(H762),ISBLANK(I762)),VLOOKUP(TEXT(D762,"TTT"),Stammdaten!$B$20:$F$26,5,FALSE),H762-G762-I762)-IF(ISERROR(VLOOKUP(D762,Stammdaten!$I$9:$J$26,2,FALSE)),0,VLOOKUP(D762,Stammdaten!$I$9:$J$26,2,FALSE)/24)</f>
        <v>0</v>
      </c>
    </row>
    <row r="763" spans="2:10" x14ac:dyDescent="0.3">
      <c r="B763" s="50" t="str">
        <f t="shared" si="24"/>
        <v/>
      </c>
      <c r="C763" s="42" t="str">
        <f t="shared" si="23"/>
        <v/>
      </c>
      <c r="D763" s="60"/>
      <c r="E763" s="63"/>
      <c r="F763" s="61"/>
      <c r="G763" s="62"/>
      <c r="H763" s="62"/>
      <c r="I763" s="62"/>
      <c r="J763" s="49">
        <f>IF(AND(ISBLANK(G763),ISBLANK(H763),ISBLANK(I763)),VLOOKUP(TEXT(D763,"TTT"),Stammdaten!$B$20:$F$26,5,FALSE),H763-G763-I763)-IF(ISERROR(VLOOKUP(D763,Stammdaten!$I$9:$J$26,2,FALSE)),0,VLOOKUP(D763,Stammdaten!$I$9:$J$26,2,FALSE)/24)</f>
        <v>0</v>
      </c>
    </row>
    <row r="764" spans="2:10" x14ac:dyDescent="0.3">
      <c r="B764" s="50" t="str">
        <f t="shared" si="24"/>
        <v/>
      </c>
      <c r="C764" s="42" t="str">
        <f t="shared" si="23"/>
        <v/>
      </c>
      <c r="D764" s="60"/>
      <c r="E764" s="63"/>
      <c r="F764" s="61"/>
      <c r="G764" s="62"/>
      <c r="H764" s="62"/>
      <c r="I764" s="62"/>
      <c r="J764" s="49">
        <f>IF(AND(ISBLANK(G764),ISBLANK(H764),ISBLANK(I764)),VLOOKUP(TEXT(D764,"TTT"),Stammdaten!$B$20:$F$26,5,FALSE),H764-G764-I764)-IF(ISERROR(VLOOKUP(D764,Stammdaten!$I$9:$J$26,2,FALSE)),0,VLOOKUP(D764,Stammdaten!$I$9:$J$26,2,FALSE)/24)</f>
        <v>0</v>
      </c>
    </row>
    <row r="765" spans="2:10" x14ac:dyDescent="0.3">
      <c r="B765" s="50" t="str">
        <f t="shared" si="24"/>
        <v/>
      </c>
      <c r="C765" s="42" t="str">
        <f t="shared" si="23"/>
        <v/>
      </c>
      <c r="D765" s="60"/>
      <c r="E765" s="63"/>
      <c r="F765" s="61"/>
      <c r="G765" s="62"/>
      <c r="H765" s="62"/>
      <c r="I765" s="62"/>
      <c r="J765" s="49">
        <f>IF(AND(ISBLANK(G765),ISBLANK(H765),ISBLANK(I765)),VLOOKUP(TEXT(D765,"TTT"),Stammdaten!$B$20:$F$26,5,FALSE),H765-G765-I765)-IF(ISERROR(VLOOKUP(D765,Stammdaten!$I$9:$J$26,2,FALSE)),0,VLOOKUP(D765,Stammdaten!$I$9:$J$26,2,FALSE)/24)</f>
        <v>0</v>
      </c>
    </row>
    <row r="766" spans="2:10" x14ac:dyDescent="0.3">
      <c r="B766" s="50" t="str">
        <f t="shared" si="24"/>
        <v/>
      </c>
      <c r="C766" s="42" t="str">
        <f t="shared" si="23"/>
        <v/>
      </c>
      <c r="D766" s="60"/>
      <c r="E766" s="63"/>
      <c r="F766" s="61"/>
      <c r="G766" s="62"/>
      <c r="H766" s="62"/>
      <c r="I766" s="62"/>
      <c r="J766" s="49">
        <f>IF(AND(ISBLANK(G766),ISBLANK(H766),ISBLANK(I766)),VLOOKUP(TEXT(D766,"TTT"),Stammdaten!$B$20:$F$26,5,FALSE),H766-G766-I766)-IF(ISERROR(VLOOKUP(D766,Stammdaten!$I$9:$J$26,2,FALSE)),0,VLOOKUP(D766,Stammdaten!$I$9:$J$26,2,FALSE)/24)</f>
        <v>0</v>
      </c>
    </row>
    <row r="767" spans="2:10" x14ac:dyDescent="0.3">
      <c r="B767" s="50" t="str">
        <f t="shared" si="24"/>
        <v/>
      </c>
      <c r="C767" s="42" t="str">
        <f t="shared" si="23"/>
        <v/>
      </c>
      <c r="D767" s="60"/>
      <c r="E767" s="63"/>
      <c r="F767" s="61"/>
      <c r="G767" s="62"/>
      <c r="H767" s="62"/>
      <c r="I767" s="62"/>
      <c r="J767" s="49">
        <f>IF(AND(ISBLANK(G767),ISBLANK(H767),ISBLANK(I767)),VLOOKUP(TEXT(D767,"TTT"),Stammdaten!$B$20:$F$26,5,FALSE),H767-G767-I767)-IF(ISERROR(VLOOKUP(D767,Stammdaten!$I$9:$J$26,2,FALSE)),0,VLOOKUP(D767,Stammdaten!$I$9:$J$26,2,FALSE)/24)</f>
        <v>0</v>
      </c>
    </row>
    <row r="768" spans="2:10" x14ac:dyDescent="0.3">
      <c r="B768" s="50" t="str">
        <f t="shared" si="24"/>
        <v/>
      </c>
      <c r="C768" s="42" t="str">
        <f t="shared" si="23"/>
        <v/>
      </c>
      <c r="D768" s="60"/>
      <c r="E768" s="63"/>
      <c r="F768" s="61"/>
      <c r="G768" s="62"/>
      <c r="H768" s="62"/>
      <c r="I768" s="62"/>
      <c r="J768" s="49">
        <f>IF(AND(ISBLANK(G768),ISBLANK(H768),ISBLANK(I768)),VLOOKUP(TEXT(D768,"TTT"),Stammdaten!$B$20:$F$26,5,FALSE),H768-G768-I768)-IF(ISERROR(VLOOKUP(D768,Stammdaten!$I$9:$J$26,2,FALSE)),0,VLOOKUP(D768,Stammdaten!$I$9:$J$26,2,FALSE)/24)</f>
        <v>0</v>
      </c>
    </row>
    <row r="769" spans="2:10" x14ac:dyDescent="0.3">
      <c r="B769" s="50" t="str">
        <f t="shared" si="24"/>
        <v/>
      </c>
      <c r="C769" s="42" t="str">
        <f t="shared" si="23"/>
        <v/>
      </c>
      <c r="D769" s="60"/>
      <c r="E769" s="63"/>
      <c r="F769" s="61"/>
      <c r="G769" s="62"/>
      <c r="H769" s="62"/>
      <c r="I769" s="62"/>
      <c r="J769" s="49">
        <f>IF(AND(ISBLANK(G769),ISBLANK(H769),ISBLANK(I769)),VLOOKUP(TEXT(D769,"TTT"),Stammdaten!$B$20:$F$26,5,FALSE),H769-G769-I769)-IF(ISERROR(VLOOKUP(D769,Stammdaten!$I$9:$J$26,2,FALSE)),0,VLOOKUP(D769,Stammdaten!$I$9:$J$26,2,FALSE)/24)</f>
        <v>0</v>
      </c>
    </row>
    <row r="770" spans="2:10" x14ac:dyDescent="0.3">
      <c r="B770" s="50" t="str">
        <f t="shared" si="24"/>
        <v/>
      </c>
      <c r="C770" s="42" t="str">
        <f t="shared" ref="C770:C833" si="25">IF(D770="","",D770)</f>
        <v/>
      </c>
      <c r="D770" s="60"/>
      <c r="E770" s="63"/>
      <c r="F770" s="61"/>
      <c r="G770" s="62"/>
      <c r="H770" s="62"/>
      <c r="I770" s="62"/>
      <c r="J770" s="49">
        <f>IF(AND(ISBLANK(G770),ISBLANK(H770),ISBLANK(I770)),VLOOKUP(TEXT(D770,"TTT"),Stammdaten!$B$20:$F$26,5,FALSE),H770-G770-I770)-IF(ISERROR(VLOOKUP(D770,Stammdaten!$I$9:$J$26,2,FALSE)),0,VLOOKUP(D770,Stammdaten!$I$9:$J$26,2,FALSE)/24)</f>
        <v>0</v>
      </c>
    </row>
    <row r="771" spans="2:10" x14ac:dyDescent="0.3">
      <c r="B771" s="50" t="str">
        <f t="shared" si="24"/>
        <v/>
      </c>
      <c r="C771" s="42" t="str">
        <f t="shared" si="25"/>
        <v/>
      </c>
      <c r="D771" s="60"/>
      <c r="E771" s="63"/>
      <c r="F771" s="61"/>
      <c r="G771" s="62"/>
      <c r="H771" s="62"/>
      <c r="I771" s="62"/>
      <c r="J771" s="49">
        <f>IF(AND(ISBLANK(G771),ISBLANK(H771),ISBLANK(I771)),VLOOKUP(TEXT(D771,"TTT"),Stammdaten!$B$20:$F$26,5,FALSE),H771-G771-I771)-IF(ISERROR(VLOOKUP(D771,Stammdaten!$I$9:$J$26,2,FALSE)),0,VLOOKUP(D771,Stammdaten!$I$9:$J$26,2,FALSE)/24)</f>
        <v>0</v>
      </c>
    </row>
    <row r="772" spans="2:10" x14ac:dyDescent="0.3">
      <c r="B772" s="50" t="str">
        <f t="shared" ref="B772:B835" si="26">IF(ISBLANK(E772),"",VLOOKUP(E772,$L$2:$M$11,2,FALSE))</f>
        <v/>
      </c>
      <c r="C772" s="42" t="str">
        <f t="shared" si="25"/>
        <v/>
      </c>
      <c r="D772" s="60"/>
      <c r="E772" s="63"/>
      <c r="F772" s="61"/>
      <c r="G772" s="62"/>
      <c r="H772" s="62"/>
      <c r="I772" s="62"/>
      <c r="J772" s="49">
        <f>IF(AND(ISBLANK(G772),ISBLANK(H772),ISBLANK(I772)),VLOOKUP(TEXT(D772,"TTT"),Stammdaten!$B$20:$F$26,5,FALSE),H772-G772-I772)-IF(ISERROR(VLOOKUP(D772,Stammdaten!$I$9:$J$26,2,FALSE)),0,VLOOKUP(D772,Stammdaten!$I$9:$J$26,2,FALSE)/24)</f>
        <v>0</v>
      </c>
    </row>
    <row r="773" spans="2:10" x14ac:dyDescent="0.3">
      <c r="B773" s="50" t="str">
        <f t="shared" si="26"/>
        <v/>
      </c>
      <c r="C773" s="42" t="str">
        <f t="shared" si="25"/>
        <v/>
      </c>
      <c r="D773" s="60"/>
      <c r="E773" s="63"/>
      <c r="F773" s="61"/>
      <c r="G773" s="62"/>
      <c r="H773" s="62"/>
      <c r="I773" s="62"/>
      <c r="J773" s="49">
        <f>IF(AND(ISBLANK(G773),ISBLANK(H773),ISBLANK(I773)),VLOOKUP(TEXT(D773,"TTT"),Stammdaten!$B$20:$F$26,5,FALSE),H773-G773-I773)-IF(ISERROR(VLOOKUP(D773,Stammdaten!$I$9:$J$26,2,FALSE)),0,VLOOKUP(D773,Stammdaten!$I$9:$J$26,2,FALSE)/24)</f>
        <v>0</v>
      </c>
    </row>
    <row r="774" spans="2:10" x14ac:dyDescent="0.3">
      <c r="B774" s="50" t="str">
        <f t="shared" si="26"/>
        <v/>
      </c>
      <c r="C774" s="42" t="str">
        <f t="shared" si="25"/>
        <v/>
      </c>
      <c r="D774" s="60"/>
      <c r="E774" s="63"/>
      <c r="F774" s="61"/>
      <c r="G774" s="62"/>
      <c r="H774" s="62"/>
      <c r="I774" s="62"/>
      <c r="J774" s="49">
        <f>IF(AND(ISBLANK(G774),ISBLANK(H774),ISBLANK(I774)),VLOOKUP(TEXT(D774,"TTT"),Stammdaten!$B$20:$F$26,5,FALSE),H774-G774-I774)-IF(ISERROR(VLOOKUP(D774,Stammdaten!$I$9:$J$26,2,FALSE)),0,VLOOKUP(D774,Stammdaten!$I$9:$J$26,2,FALSE)/24)</f>
        <v>0</v>
      </c>
    </row>
    <row r="775" spans="2:10" x14ac:dyDescent="0.3">
      <c r="B775" s="50" t="str">
        <f t="shared" si="26"/>
        <v/>
      </c>
      <c r="C775" s="42" t="str">
        <f t="shared" si="25"/>
        <v/>
      </c>
      <c r="D775" s="60"/>
      <c r="E775" s="63"/>
      <c r="F775" s="61"/>
      <c r="G775" s="62"/>
      <c r="H775" s="62"/>
      <c r="I775" s="62"/>
      <c r="J775" s="49">
        <f>IF(AND(ISBLANK(G775),ISBLANK(H775),ISBLANK(I775)),VLOOKUP(TEXT(D775,"TTT"),Stammdaten!$B$20:$F$26,5,FALSE),H775-G775-I775)-IF(ISERROR(VLOOKUP(D775,Stammdaten!$I$9:$J$26,2,FALSE)),0,VLOOKUP(D775,Stammdaten!$I$9:$J$26,2,FALSE)/24)</f>
        <v>0</v>
      </c>
    </row>
    <row r="776" spans="2:10" x14ac:dyDescent="0.3">
      <c r="B776" s="50" t="str">
        <f t="shared" si="26"/>
        <v/>
      </c>
      <c r="C776" s="42" t="str">
        <f t="shared" si="25"/>
        <v/>
      </c>
      <c r="D776" s="60"/>
      <c r="E776" s="63"/>
      <c r="F776" s="61"/>
      <c r="G776" s="62"/>
      <c r="H776" s="62"/>
      <c r="I776" s="62"/>
      <c r="J776" s="49">
        <f>IF(AND(ISBLANK(G776),ISBLANK(H776),ISBLANK(I776)),VLOOKUP(TEXT(D776,"TTT"),Stammdaten!$B$20:$F$26,5,FALSE),H776-G776-I776)-IF(ISERROR(VLOOKUP(D776,Stammdaten!$I$9:$J$26,2,FALSE)),0,VLOOKUP(D776,Stammdaten!$I$9:$J$26,2,FALSE)/24)</f>
        <v>0</v>
      </c>
    </row>
    <row r="777" spans="2:10" x14ac:dyDescent="0.3">
      <c r="B777" s="50" t="str">
        <f t="shared" si="26"/>
        <v/>
      </c>
      <c r="C777" s="42" t="str">
        <f t="shared" si="25"/>
        <v/>
      </c>
      <c r="D777" s="60"/>
      <c r="E777" s="63"/>
      <c r="F777" s="61"/>
      <c r="G777" s="62"/>
      <c r="H777" s="62"/>
      <c r="I777" s="62"/>
      <c r="J777" s="49">
        <f>IF(AND(ISBLANK(G777),ISBLANK(H777),ISBLANK(I777)),VLOOKUP(TEXT(D777,"TTT"),Stammdaten!$B$20:$F$26,5,FALSE),H777-G777-I777)-IF(ISERROR(VLOOKUP(D777,Stammdaten!$I$9:$J$26,2,FALSE)),0,VLOOKUP(D777,Stammdaten!$I$9:$J$26,2,FALSE)/24)</f>
        <v>0</v>
      </c>
    </row>
    <row r="778" spans="2:10" x14ac:dyDescent="0.3">
      <c r="B778" s="50" t="str">
        <f t="shared" si="26"/>
        <v/>
      </c>
      <c r="C778" s="42" t="str">
        <f t="shared" si="25"/>
        <v/>
      </c>
      <c r="D778" s="60"/>
      <c r="E778" s="63"/>
      <c r="F778" s="61"/>
      <c r="G778" s="62"/>
      <c r="H778" s="62"/>
      <c r="I778" s="62"/>
      <c r="J778" s="49">
        <f>IF(AND(ISBLANK(G778),ISBLANK(H778),ISBLANK(I778)),VLOOKUP(TEXT(D778,"TTT"),Stammdaten!$B$20:$F$26,5,FALSE),H778-G778-I778)-IF(ISERROR(VLOOKUP(D778,Stammdaten!$I$9:$J$26,2,FALSE)),0,VLOOKUP(D778,Stammdaten!$I$9:$J$26,2,FALSE)/24)</f>
        <v>0</v>
      </c>
    </row>
    <row r="779" spans="2:10" x14ac:dyDescent="0.3">
      <c r="B779" s="50" t="str">
        <f t="shared" si="26"/>
        <v/>
      </c>
      <c r="C779" s="42" t="str">
        <f t="shared" si="25"/>
        <v/>
      </c>
      <c r="D779" s="60"/>
      <c r="E779" s="63"/>
      <c r="F779" s="61"/>
      <c r="G779" s="62"/>
      <c r="H779" s="62"/>
      <c r="I779" s="62"/>
      <c r="J779" s="49">
        <f>IF(AND(ISBLANK(G779),ISBLANK(H779),ISBLANK(I779)),VLOOKUP(TEXT(D779,"TTT"),Stammdaten!$B$20:$F$26,5,FALSE),H779-G779-I779)-IF(ISERROR(VLOOKUP(D779,Stammdaten!$I$9:$J$26,2,FALSE)),0,VLOOKUP(D779,Stammdaten!$I$9:$J$26,2,FALSE)/24)</f>
        <v>0</v>
      </c>
    </row>
    <row r="780" spans="2:10" x14ac:dyDescent="0.3">
      <c r="B780" s="50" t="str">
        <f t="shared" si="26"/>
        <v/>
      </c>
      <c r="C780" s="42" t="str">
        <f t="shared" si="25"/>
        <v/>
      </c>
      <c r="D780" s="60"/>
      <c r="E780" s="63"/>
      <c r="F780" s="61"/>
      <c r="G780" s="62"/>
      <c r="H780" s="62"/>
      <c r="I780" s="62"/>
      <c r="J780" s="49">
        <f>IF(AND(ISBLANK(G780),ISBLANK(H780),ISBLANK(I780)),VLOOKUP(TEXT(D780,"TTT"),Stammdaten!$B$20:$F$26,5,FALSE),H780-G780-I780)-IF(ISERROR(VLOOKUP(D780,Stammdaten!$I$9:$J$26,2,FALSE)),0,VLOOKUP(D780,Stammdaten!$I$9:$J$26,2,FALSE)/24)</f>
        <v>0</v>
      </c>
    </row>
    <row r="781" spans="2:10" x14ac:dyDescent="0.3">
      <c r="B781" s="50" t="str">
        <f t="shared" si="26"/>
        <v/>
      </c>
      <c r="C781" s="42" t="str">
        <f t="shared" si="25"/>
        <v/>
      </c>
      <c r="D781" s="60"/>
      <c r="E781" s="63"/>
      <c r="F781" s="61"/>
      <c r="G781" s="62"/>
      <c r="H781" s="62"/>
      <c r="I781" s="62"/>
      <c r="J781" s="49">
        <f>IF(AND(ISBLANK(G781),ISBLANK(H781),ISBLANK(I781)),VLOOKUP(TEXT(D781,"TTT"),Stammdaten!$B$20:$F$26,5,FALSE),H781-G781-I781)-IF(ISERROR(VLOOKUP(D781,Stammdaten!$I$9:$J$26,2,FALSE)),0,VLOOKUP(D781,Stammdaten!$I$9:$J$26,2,FALSE)/24)</f>
        <v>0</v>
      </c>
    </row>
    <row r="782" spans="2:10" x14ac:dyDescent="0.3">
      <c r="B782" s="50" t="str">
        <f t="shared" si="26"/>
        <v/>
      </c>
      <c r="C782" s="42" t="str">
        <f t="shared" si="25"/>
        <v/>
      </c>
      <c r="D782" s="60"/>
      <c r="E782" s="63"/>
      <c r="F782" s="61"/>
      <c r="G782" s="62"/>
      <c r="H782" s="62"/>
      <c r="I782" s="62"/>
      <c r="J782" s="49">
        <f>IF(AND(ISBLANK(G782),ISBLANK(H782),ISBLANK(I782)),VLOOKUP(TEXT(D782,"TTT"),Stammdaten!$B$20:$F$26,5,FALSE),H782-G782-I782)-IF(ISERROR(VLOOKUP(D782,Stammdaten!$I$9:$J$26,2,FALSE)),0,VLOOKUP(D782,Stammdaten!$I$9:$J$26,2,FALSE)/24)</f>
        <v>0</v>
      </c>
    </row>
    <row r="783" spans="2:10" x14ac:dyDescent="0.3">
      <c r="B783" s="50" t="str">
        <f t="shared" si="26"/>
        <v/>
      </c>
      <c r="C783" s="42" t="str">
        <f t="shared" si="25"/>
        <v/>
      </c>
      <c r="D783" s="60"/>
      <c r="E783" s="63"/>
      <c r="F783" s="61"/>
      <c r="G783" s="62"/>
      <c r="H783" s="62"/>
      <c r="I783" s="62"/>
      <c r="J783" s="49">
        <f>IF(AND(ISBLANK(G783),ISBLANK(H783),ISBLANK(I783)),VLOOKUP(TEXT(D783,"TTT"),Stammdaten!$B$20:$F$26,5,FALSE),H783-G783-I783)-IF(ISERROR(VLOOKUP(D783,Stammdaten!$I$9:$J$26,2,FALSE)),0,VLOOKUP(D783,Stammdaten!$I$9:$J$26,2,FALSE)/24)</f>
        <v>0</v>
      </c>
    </row>
    <row r="784" spans="2:10" x14ac:dyDescent="0.3">
      <c r="B784" s="50" t="str">
        <f t="shared" si="26"/>
        <v/>
      </c>
      <c r="C784" s="42" t="str">
        <f t="shared" si="25"/>
        <v/>
      </c>
      <c r="D784" s="60"/>
      <c r="E784" s="63"/>
      <c r="F784" s="61"/>
      <c r="G784" s="62"/>
      <c r="H784" s="62"/>
      <c r="I784" s="62"/>
      <c r="J784" s="49">
        <f>IF(AND(ISBLANK(G784),ISBLANK(H784),ISBLANK(I784)),VLOOKUP(TEXT(D784,"TTT"),Stammdaten!$B$20:$F$26,5,FALSE),H784-G784-I784)-IF(ISERROR(VLOOKUP(D784,Stammdaten!$I$9:$J$26,2,FALSE)),0,VLOOKUP(D784,Stammdaten!$I$9:$J$26,2,FALSE)/24)</f>
        <v>0</v>
      </c>
    </row>
    <row r="785" spans="2:10" x14ac:dyDescent="0.3">
      <c r="B785" s="50" t="str">
        <f t="shared" si="26"/>
        <v/>
      </c>
      <c r="C785" s="42" t="str">
        <f t="shared" si="25"/>
        <v/>
      </c>
      <c r="D785" s="60"/>
      <c r="E785" s="63"/>
      <c r="F785" s="61"/>
      <c r="G785" s="62"/>
      <c r="H785" s="62"/>
      <c r="I785" s="62"/>
      <c r="J785" s="49">
        <f>IF(AND(ISBLANK(G785),ISBLANK(H785),ISBLANK(I785)),VLOOKUP(TEXT(D785,"TTT"),Stammdaten!$B$20:$F$26,5,FALSE),H785-G785-I785)-IF(ISERROR(VLOOKUP(D785,Stammdaten!$I$9:$J$26,2,FALSE)),0,VLOOKUP(D785,Stammdaten!$I$9:$J$26,2,FALSE)/24)</f>
        <v>0</v>
      </c>
    </row>
    <row r="786" spans="2:10" x14ac:dyDescent="0.3">
      <c r="B786" s="50" t="str">
        <f t="shared" si="26"/>
        <v/>
      </c>
      <c r="C786" s="42" t="str">
        <f t="shared" si="25"/>
        <v/>
      </c>
      <c r="D786" s="60"/>
      <c r="E786" s="63"/>
      <c r="F786" s="61"/>
      <c r="G786" s="62"/>
      <c r="H786" s="62"/>
      <c r="I786" s="62"/>
      <c r="J786" s="49">
        <f>IF(AND(ISBLANK(G786),ISBLANK(H786),ISBLANK(I786)),VLOOKUP(TEXT(D786,"TTT"),Stammdaten!$B$20:$F$26,5,FALSE),H786-G786-I786)-IF(ISERROR(VLOOKUP(D786,Stammdaten!$I$9:$J$26,2,FALSE)),0,VLOOKUP(D786,Stammdaten!$I$9:$J$26,2,FALSE)/24)</f>
        <v>0</v>
      </c>
    </row>
    <row r="787" spans="2:10" x14ac:dyDescent="0.3">
      <c r="B787" s="50" t="str">
        <f t="shared" si="26"/>
        <v/>
      </c>
      <c r="C787" s="42" t="str">
        <f t="shared" si="25"/>
        <v/>
      </c>
      <c r="D787" s="60"/>
      <c r="E787" s="63"/>
      <c r="F787" s="61"/>
      <c r="G787" s="62"/>
      <c r="H787" s="62"/>
      <c r="I787" s="62"/>
      <c r="J787" s="49">
        <f>IF(AND(ISBLANK(G787),ISBLANK(H787),ISBLANK(I787)),VLOOKUP(TEXT(D787,"TTT"),Stammdaten!$B$20:$F$26,5,FALSE),H787-G787-I787)-IF(ISERROR(VLOOKUP(D787,Stammdaten!$I$9:$J$26,2,FALSE)),0,VLOOKUP(D787,Stammdaten!$I$9:$J$26,2,FALSE)/24)</f>
        <v>0</v>
      </c>
    </row>
    <row r="788" spans="2:10" x14ac:dyDescent="0.3">
      <c r="B788" s="50" t="str">
        <f t="shared" si="26"/>
        <v/>
      </c>
      <c r="C788" s="42" t="str">
        <f t="shared" si="25"/>
        <v/>
      </c>
      <c r="D788" s="60"/>
      <c r="E788" s="63"/>
      <c r="F788" s="61"/>
      <c r="G788" s="62"/>
      <c r="H788" s="62"/>
      <c r="I788" s="62"/>
      <c r="J788" s="49">
        <f>IF(AND(ISBLANK(G788),ISBLANK(H788),ISBLANK(I788)),VLOOKUP(TEXT(D788,"TTT"),Stammdaten!$B$20:$F$26,5,FALSE),H788-G788-I788)-IF(ISERROR(VLOOKUP(D788,Stammdaten!$I$9:$J$26,2,FALSE)),0,VLOOKUP(D788,Stammdaten!$I$9:$J$26,2,FALSE)/24)</f>
        <v>0</v>
      </c>
    </row>
    <row r="789" spans="2:10" x14ac:dyDescent="0.3">
      <c r="B789" s="50" t="str">
        <f t="shared" si="26"/>
        <v/>
      </c>
      <c r="C789" s="42" t="str">
        <f t="shared" si="25"/>
        <v/>
      </c>
      <c r="D789" s="60"/>
      <c r="E789" s="63"/>
      <c r="F789" s="61"/>
      <c r="G789" s="62"/>
      <c r="H789" s="62"/>
      <c r="I789" s="62"/>
      <c r="J789" s="49">
        <f>IF(AND(ISBLANK(G789),ISBLANK(H789),ISBLANK(I789)),VLOOKUP(TEXT(D789,"TTT"),Stammdaten!$B$20:$F$26,5,FALSE),H789-G789-I789)-IF(ISERROR(VLOOKUP(D789,Stammdaten!$I$9:$J$26,2,FALSE)),0,VLOOKUP(D789,Stammdaten!$I$9:$J$26,2,FALSE)/24)</f>
        <v>0</v>
      </c>
    </row>
    <row r="790" spans="2:10" x14ac:dyDescent="0.3">
      <c r="B790" s="50" t="str">
        <f t="shared" si="26"/>
        <v/>
      </c>
      <c r="C790" s="42" t="str">
        <f t="shared" si="25"/>
        <v/>
      </c>
      <c r="D790" s="60"/>
      <c r="E790" s="63"/>
      <c r="F790" s="61"/>
      <c r="G790" s="62"/>
      <c r="H790" s="62"/>
      <c r="I790" s="62"/>
      <c r="J790" s="49">
        <f>IF(AND(ISBLANK(G790),ISBLANK(H790),ISBLANK(I790)),VLOOKUP(TEXT(D790,"TTT"),Stammdaten!$B$20:$F$26,5,FALSE),H790-G790-I790)-IF(ISERROR(VLOOKUP(D790,Stammdaten!$I$9:$J$26,2,FALSE)),0,VLOOKUP(D790,Stammdaten!$I$9:$J$26,2,FALSE)/24)</f>
        <v>0</v>
      </c>
    </row>
    <row r="791" spans="2:10" x14ac:dyDescent="0.3">
      <c r="B791" s="50" t="str">
        <f t="shared" si="26"/>
        <v/>
      </c>
      <c r="C791" s="42" t="str">
        <f t="shared" si="25"/>
        <v/>
      </c>
      <c r="D791" s="60"/>
      <c r="E791" s="63"/>
      <c r="F791" s="61"/>
      <c r="G791" s="62"/>
      <c r="H791" s="62"/>
      <c r="I791" s="62"/>
      <c r="J791" s="49">
        <f>IF(AND(ISBLANK(G791),ISBLANK(H791),ISBLANK(I791)),VLOOKUP(TEXT(D791,"TTT"),Stammdaten!$B$20:$F$26,5,FALSE),H791-G791-I791)-IF(ISERROR(VLOOKUP(D791,Stammdaten!$I$9:$J$26,2,FALSE)),0,VLOOKUP(D791,Stammdaten!$I$9:$J$26,2,FALSE)/24)</f>
        <v>0</v>
      </c>
    </row>
    <row r="792" spans="2:10" x14ac:dyDescent="0.3">
      <c r="B792" s="50" t="str">
        <f t="shared" si="26"/>
        <v/>
      </c>
      <c r="C792" s="42" t="str">
        <f t="shared" si="25"/>
        <v/>
      </c>
      <c r="D792" s="60"/>
      <c r="E792" s="63"/>
      <c r="F792" s="61"/>
      <c r="G792" s="62"/>
      <c r="H792" s="62"/>
      <c r="I792" s="62"/>
      <c r="J792" s="49">
        <f>IF(AND(ISBLANK(G792),ISBLANK(H792),ISBLANK(I792)),VLOOKUP(TEXT(D792,"TTT"),Stammdaten!$B$20:$F$26,5,FALSE),H792-G792-I792)-IF(ISERROR(VLOOKUP(D792,Stammdaten!$I$9:$J$26,2,FALSE)),0,VLOOKUP(D792,Stammdaten!$I$9:$J$26,2,FALSE)/24)</f>
        <v>0</v>
      </c>
    </row>
    <row r="793" spans="2:10" x14ac:dyDescent="0.3">
      <c r="B793" s="50" t="str">
        <f t="shared" si="26"/>
        <v/>
      </c>
      <c r="C793" s="42" t="str">
        <f t="shared" si="25"/>
        <v/>
      </c>
      <c r="D793" s="60"/>
      <c r="E793" s="63"/>
      <c r="F793" s="61"/>
      <c r="G793" s="62"/>
      <c r="H793" s="62"/>
      <c r="I793" s="62"/>
      <c r="J793" s="49">
        <f>IF(AND(ISBLANK(G793),ISBLANK(H793),ISBLANK(I793)),VLOOKUP(TEXT(D793,"TTT"),Stammdaten!$B$20:$F$26,5,FALSE),H793-G793-I793)-IF(ISERROR(VLOOKUP(D793,Stammdaten!$I$9:$J$26,2,FALSE)),0,VLOOKUP(D793,Stammdaten!$I$9:$J$26,2,FALSE)/24)</f>
        <v>0</v>
      </c>
    </row>
    <row r="794" spans="2:10" x14ac:dyDescent="0.3">
      <c r="B794" s="50" t="str">
        <f t="shared" si="26"/>
        <v/>
      </c>
      <c r="C794" s="42" t="str">
        <f t="shared" si="25"/>
        <v/>
      </c>
      <c r="D794" s="60"/>
      <c r="E794" s="63"/>
      <c r="F794" s="61"/>
      <c r="G794" s="62"/>
      <c r="H794" s="62"/>
      <c r="I794" s="62"/>
      <c r="J794" s="49">
        <f>IF(AND(ISBLANK(G794),ISBLANK(H794),ISBLANK(I794)),VLOOKUP(TEXT(D794,"TTT"),Stammdaten!$B$20:$F$26,5,FALSE),H794-G794-I794)-IF(ISERROR(VLOOKUP(D794,Stammdaten!$I$9:$J$26,2,FALSE)),0,VLOOKUP(D794,Stammdaten!$I$9:$J$26,2,FALSE)/24)</f>
        <v>0</v>
      </c>
    </row>
    <row r="795" spans="2:10" x14ac:dyDescent="0.3">
      <c r="B795" s="50" t="str">
        <f t="shared" si="26"/>
        <v/>
      </c>
      <c r="C795" s="42" t="str">
        <f t="shared" si="25"/>
        <v/>
      </c>
      <c r="D795" s="60"/>
      <c r="E795" s="63"/>
      <c r="F795" s="61"/>
      <c r="G795" s="62"/>
      <c r="H795" s="62"/>
      <c r="I795" s="62"/>
      <c r="J795" s="49">
        <f>IF(AND(ISBLANK(G795),ISBLANK(H795),ISBLANK(I795)),VLOOKUP(TEXT(D795,"TTT"),Stammdaten!$B$20:$F$26,5,FALSE),H795-G795-I795)-IF(ISERROR(VLOOKUP(D795,Stammdaten!$I$9:$J$26,2,FALSE)),0,VLOOKUP(D795,Stammdaten!$I$9:$J$26,2,FALSE)/24)</f>
        <v>0</v>
      </c>
    </row>
    <row r="796" spans="2:10" x14ac:dyDescent="0.3">
      <c r="B796" s="50" t="str">
        <f t="shared" si="26"/>
        <v/>
      </c>
      <c r="C796" s="42" t="str">
        <f t="shared" si="25"/>
        <v/>
      </c>
      <c r="D796" s="60"/>
      <c r="E796" s="63"/>
      <c r="F796" s="61"/>
      <c r="G796" s="62"/>
      <c r="H796" s="62"/>
      <c r="I796" s="62"/>
      <c r="J796" s="49">
        <f>IF(AND(ISBLANK(G796),ISBLANK(H796),ISBLANK(I796)),VLOOKUP(TEXT(D796,"TTT"),Stammdaten!$B$20:$F$26,5,FALSE),H796-G796-I796)-IF(ISERROR(VLOOKUP(D796,Stammdaten!$I$9:$J$26,2,FALSE)),0,VLOOKUP(D796,Stammdaten!$I$9:$J$26,2,FALSE)/24)</f>
        <v>0</v>
      </c>
    </row>
    <row r="797" spans="2:10" x14ac:dyDescent="0.3">
      <c r="B797" s="50" t="str">
        <f t="shared" si="26"/>
        <v/>
      </c>
      <c r="C797" s="42" t="str">
        <f t="shared" si="25"/>
        <v/>
      </c>
      <c r="D797" s="60"/>
      <c r="E797" s="63"/>
      <c r="F797" s="61"/>
      <c r="G797" s="62"/>
      <c r="H797" s="62"/>
      <c r="I797" s="62"/>
      <c r="J797" s="49">
        <f>IF(AND(ISBLANK(G797),ISBLANK(H797),ISBLANK(I797)),VLOOKUP(TEXT(D797,"TTT"),Stammdaten!$B$20:$F$26,5,FALSE),H797-G797-I797)-IF(ISERROR(VLOOKUP(D797,Stammdaten!$I$9:$J$26,2,FALSE)),0,VLOOKUP(D797,Stammdaten!$I$9:$J$26,2,FALSE)/24)</f>
        <v>0</v>
      </c>
    </row>
    <row r="798" spans="2:10" x14ac:dyDescent="0.3">
      <c r="B798" s="50" t="str">
        <f t="shared" si="26"/>
        <v/>
      </c>
      <c r="C798" s="42" t="str">
        <f t="shared" si="25"/>
        <v/>
      </c>
      <c r="D798" s="60"/>
      <c r="E798" s="63"/>
      <c r="F798" s="61"/>
      <c r="G798" s="62"/>
      <c r="H798" s="62"/>
      <c r="I798" s="62"/>
      <c r="J798" s="49">
        <f>IF(AND(ISBLANK(G798),ISBLANK(H798),ISBLANK(I798)),VLOOKUP(TEXT(D798,"TTT"),Stammdaten!$B$20:$F$26,5,FALSE),H798-G798-I798)-IF(ISERROR(VLOOKUP(D798,Stammdaten!$I$9:$J$26,2,FALSE)),0,VLOOKUP(D798,Stammdaten!$I$9:$J$26,2,FALSE)/24)</f>
        <v>0</v>
      </c>
    </row>
    <row r="799" spans="2:10" x14ac:dyDescent="0.3">
      <c r="B799" s="50" t="str">
        <f t="shared" si="26"/>
        <v/>
      </c>
      <c r="C799" s="42" t="str">
        <f t="shared" si="25"/>
        <v/>
      </c>
      <c r="D799" s="60"/>
      <c r="E799" s="63"/>
      <c r="F799" s="61"/>
      <c r="G799" s="62"/>
      <c r="H799" s="62"/>
      <c r="I799" s="62"/>
      <c r="J799" s="49">
        <f>IF(AND(ISBLANK(G799),ISBLANK(H799),ISBLANK(I799)),VLOOKUP(TEXT(D799,"TTT"),Stammdaten!$B$20:$F$26,5,FALSE),H799-G799-I799)-IF(ISERROR(VLOOKUP(D799,Stammdaten!$I$9:$J$26,2,FALSE)),0,VLOOKUP(D799,Stammdaten!$I$9:$J$26,2,FALSE)/24)</f>
        <v>0</v>
      </c>
    </row>
    <row r="800" spans="2:10" x14ac:dyDescent="0.3">
      <c r="B800" s="50" t="str">
        <f t="shared" si="26"/>
        <v/>
      </c>
      <c r="C800" s="42" t="str">
        <f t="shared" si="25"/>
        <v/>
      </c>
      <c r="D800" s="60"/>
      <c r="E800" s="63"/>
      <c r="F800" s="61"/>
      <c r="G800" s="62"/>
      <c r="H800" s="62"/>
      <c r="I800" s="62"/>
      <c r="J800" s="49">
        <f>IF(AND(ISBLANK(G800),ISBLANK(H800),ISBLANK(I800)),VLOOKUP(TEXT(D800,"TTT"),Stammdaten!$B$20:$F$26,5,FALSE),H800-G800-I800)-IF(ISERROR(VLOOKUP(D800,Stammdaten!$I$9:$J$26,2,FALSE)),0,VLOOKUP(D800,Stammdaten!$I$9:$J$26,2,FALSE)/24)</f>
        <v>0</v>
      </c>
    </row>
    <row r="801" spans="2:10" x14ac:dyDescent="0.3">
      <c r="B801" s="50" t="str">
        <f t="shared" si="26"/>
        <v/>
      </c>
      <c r="C801" s="42" t="str">
        <f t="shared" si="25"/>
        <v/>
      </c>
      <c r="D801" s="60"/>
      <c r="E801" s="63"/>
      <c r="F801" s="61"/>
      <c r="G801" s="62"/>
      <c r="H801" s="62"/>
      <c r="I801" s="62"/>
      <c r="J801" s="49">
        <f>IF(AND(ISBLANK(G801),ISBLANK(H801),ISBLANK(I801)),VLOOKUP(TEXT(D801,"TTT"),Stammdaten!$B$20:$F$26,5,FALSE),H801-G801-I801)-IF(ISERROR(VLOOKUP(D801,Stammdaten!$I$9:$J$26,2,FALSE)),0,VLOOKUP(D801,Stammdaten!$I$9:$J$26,2,FALSE)/24)</f>
        <v>0</v>
      </c>
    </row>
    <row r="802" spans="2:10" x14ac:dyDescent="0.3">
      <c r="B802" s="50" t="str">
        <f t="shared" si="26"/>
        <v/>
      </c>
      <c r="C802" s="42" t="str">
        <f t="shared" si="25"/>
        <v/>
      </c>
      <c r="D802" s="60"/>
      <c r="E802" s="63"/>
      <c r="F802" s="61"/>
      <c r="G802" s="62"/>
      <c r="H802" s="62"/>
      <c r="I802" s="62"/>
      <c r="J802" s="49">
        <f>IF(AND(ISBLANK(G802),ISBLANK(H802),ISBLANK(I802)),VLOOKUP(TEXT(D802,"TTT"),Stammdaten!$B$20:$F$26,5,FALSE),H802-G802-I802)-IF(ISERROR(VLOOKUP(D802,Stammdaten!$I$9:$J$26,2,FALSE)),0,VLOOKUP(D802,Stammdaten!$I$9:$J$26,2,FALSE)/24)</f>
        <v>0</v>
      </c>
    </row>
    <row r="803" spans="2:10" x14ac:dyDescent="0.3">
      <c r="B803" s="50" t="str">
        <f t="shared" si="26"/>
        <v/>
      </c>
      <c r="C803" s="42" t="str">
        <f t="shared" si="25"/>
        <v/>
      </c>
      <c r="D803" s="60"/>
      <c r="E803" s="63"/>
      <c r="F803" s="61"/>
      <c r="G803" s="62"/>
      <c r="H803" s="62"/>
      <c r="I803" s="62"/>
      <c r="J803" s="49">
        <f>IF(AND(ISBLANK(G803),ISBLANK(H803),ISBLANK(I803)),VLOOKUP(TEXT(D803,"TTT"),Stammdaten!$B$20:$F$26,5,FALSE),H803-G803-I803)-IF(ISERROR(VLOOKUP(D803,Stammdaten!$I$9:$J$26,2,FALSE)),0,VLOOKUP(D803,Stammdaten!$I$9:$J$26,2,FALSE)/24)</f>
        <v>0</v>
      </c>
    </row>
    <row r="804" spans="2:10" x14ac:dyDescent="0.3">
      <c r="B804" s="50" t="str">
        <f t="shared" si="26"/>
        <v/>
      </c>
      <c r="C804" s="42" t="str">
        <f t="shared" si="25"/>
        <v/>
      </c>
      <c r="D804" s="60"/>
      <c r="E804" s="63"/>
      <c r="F804" s="61"/>
      <c r="G804" s="62"/>
      <c r="H804" s="62"/>
      <c r="I804" s="62"/>
      <c r="J804" s="49">
        <f>IF(AND(ISBLANK(G804),ISBLANK(H804),ISBLANK(I804)),VLOOKUP(TEXT(D804,"TTT"),Stammdaten!$B$20:$F$26,5,FALSE),H804-G804-I804)-IF(ISERROR(VLOOKUP(D804,Stammdaten!$I$9:$J$26,2,FALSE)),0,VLOOKUP(D804,Stammdaten!$I$9:$J$26,2,FALSE)/24)</f>
        <v>0</v>
      </c>
    </row>
    <row r="805" spans="2:10" x14ac:dyDescent="0.3">
      <c r="B805" s="50" t="str">
        <f t="shared" si="26"/>
        <v/>
      </c>
      <c r="C805" s="42" t="str">
        <f t="shared" si="25"/>
        <v/>
      </c>
      <c r="D805" s="60"/>
      <c r="E805" s="63"/>
      <c r="F805" s="61"/>
      <c r="G805" s="62"/>
      <c r="H805" s="62"/>
      <c r="I805" s="62"/>
      <c r="J805" s="49">
        <f>IF(AND(ISBLANK(G805),ISBLANK(H805),ISBLANK(I805)),VLOOKUP(TEXT(D805,"TTT"),Stammdaten!$B$20:$F$26,5,FALSE),H805-G805-I805)-IF(ISERROR(VLOOKUP(D805,Stammdaten!$I$9:$J$26,2,FALSE)),0,VLOOKUP(D805,Stammdaten!$I$9:$J$26,2,FALSE)/24)</f>
        <v>0</v>
      </c>
    </row>
    <row r="806" spans="2:10" x14ac:dyDescent="0.3">
      <c r="B806" s="50" t="str">
        <f t="shared" si="26"/>
        <v/>
      </c>
      <c r="C806" s="42" t="str">
        <f t="shared" si="25"/>
        <v/>
      </c>
      <c r="D806" s="60"/>
      <c r="E806" s="63"/>
      <c r="F806" s="61"/>
      <c r="G806" s="62"/>
      <c r="H806" s="62"/>
      <c r="I806" s="62"/>
      <c r="J806" s="49">
        <f>IF(AND(ISBLANK(G806),ISBLANK(H806),ISBLANK(I806)),VLOOKUP(TEXT(D806,"TTT"),Stammdaten!$B$20:$F$26,5,FALSE),H806-G806-I806)-IF(ISERROR(VLOOKUP(D806,Stammdaten!$I$9:$J$26,2,FALSE)),0,VLOOKUP(D806,Stammdaten!$I$9:$J$26,2,FALSE)/24)</f>
        <v>0</v>
      </c>
    </row>
    <row r="807" spans="2:10" x14ac:dyDescent="0.3">
      <c r="B807" s="50" t="str">
        <f t="shared" si="26"/>
        <v/>
      </c>
      <c r="C807" s="42" t="str">
        <f t="shared" si="25"/>
        <v/>
      </c>
      <c r="D807" s="60"/>
      <c r="E807" s="63"/>
      <c r="F807" s="61"/>
      <c r="G807" s="62"/>
      <c r="H807" s="62"/>
      <c r="I807" s="62"/>
      <c r="J807" s="49">
        <f>IF(AND(ISBLANK(G807),ISBLANK(H807),ISBLANK(I807)),VLOOKUP(TEXT(D807,"TTT"),Stammdaten!$B$20:$F$26,5,FALSE),H807-G807-I807)-IF(ISERROR(VLOOKUP(D807,Stammdaten!$I$9:$J$26,2,FALSE)),0,VLOOKUP(D807,Stammdaten!$I$9:$J$26,2,FALSE)/24)</f>
        <v>0</v>
      </c>
    </row>
    <row r="808" spans="2:10" x14ac:dyDescent="0.3">
      <c r="B808" s="50" t="str">
        <f t="shared" si="26"/>
        <v/>
      </c>
      <c r="C808" s="42" t="str">
        <f t="shared" si="25"/>
        <v/>
      </c>
      <c r="D808" s="60"/>
      <c r="E808" s="63"/>
      <c r="F808" s="61"/>
      <c r="G808" s="62"/>
      <c r="H808" s="62"/>
      <c r="I808" s="62"/>
      <c r="J808" s="49">
        <f>IF(AND(ISBLANK(G808),ISBLANK(H808),ISBLANK(I808)),VLOOKUP(TEXT(D808,"TTT"),Stammdaten!$B$20:$F$26,5,FALSE),H808-G808-I808)-IF(ISERROR(VLOOKUP(D808,Stammdaten!$I$9:$J$26,2,FALSE)),0,VLOOKUP(D808,Stammdaten!$I$9:$J$26,2,FALSE)/24)</f>
        <v>0</v>
      </c>
    </row>
    <row r="809" spans="2:10" x14ac:dyDescent="0.3">
      <c r="B809" s="50" t="str">
        <f t="shared" si="26"/>
        <v/>
      </c>
      <c r="C809" s="42" t="str">
        <f t="shared" si="25"/>
        <v/>
      </c>
      <c r="D809" s="60"/>
      <c r="E809" s="63"/>
      <c r="F809" s="61"/>
      <c r="G809" s="62"/>
      <c r="H809" s="62"/>
      <c r="I809" s="62"/>
      <c r="J809" s="49">
        <f>IF(AND(ISBLANK(G809),ISBLANK(H809),ISBLANK(I809)),VLOOKUP(TEXT(D809,"TTT"),Stammdaten!$B$20:$F$26,5,FALSE),H809-G809-I809)-IF(ISERROR(VLOOKUP(D809,Stammdaten!$I$9:$J$26,2,FALSE)),0,VLOOKUP(D809,Stammdaten!$I$9:$J$26,2,FALSE)/24)</f>
        <v>0</v>
      </c>
    </row>
    <row r="810" spans="2:10" x14ac:dyDescent="0.3">
      <c r="B810" s="50" t="str">
        <f t="shared" si="26"/>
        <v/>
      </c>
      <c r="C810" s="42" t="str">
        <f t="shared" si="25"/>
        <v/>
      </c>
      <c r="D810" s="60"/>
      <c r="E810" s="63"/>
      <c r="F810" s="61"/>
      <c r="G810" s="62"/>
      <c r="H810" s="62"/>
      <c r="I810" s="62"/>
      <c r="J810" s="49">
        <f>IF(AND(ISBLANK(G810),ISBLANK(H810),ISBLANK(I810)),VLOOKUP(TEXT(D810,"TTT"),Stammdaten!$B$20:$F$26,5,FALSE),H810-G810-I810)-IF(ISERROR(VLOOKUP(D810,Stammdaten!$I$9:$J$26,2,FALSE)),0,VLOOKUP(D810,Stammdaten!$I$9:$J$26,2,FALSE)/24)</f>
        <v>0</v>
      </c>
    </row>
    <row r="811" spans="2:10" x14ac:dyDescent="0.3">
      <c r="B811" s="50" t="str">
        <f t="shared" si="26"/>
        <v/>
      </c>
      <c r="C811" s="42" t="str">
        <f t="shared" si="25"/>
        <v/>
      </c>
      <c r="D811" s="60"/>
      <c r="E811" s="63"/>
      <c r="F811" s="61"/>
      <c r="G811" s="62"/>
      <c r="H811" s="62"/>
      <c r="I811" s="62"/>
      <c r="J811" s="49">
        <f>IF(AND(ISBLANK(G811),ISBLANK(H811),ISBLANK(I811)),VLOOKUP(TEXT(D811,"TTT"),Stammdaten!$B$20:$F$26,5,FALSE),H811-G811-I811)-IF(ISERROR(VLOOKUP(D811,Stammdaten!$I$9:$J$26,2,FALSE)),0,VLOOKUP(D811,Stammdaten!$I$9:$J$26,2,FALSE)/24)</f>
        <v>0</v>
      </c>
    </row>
    <row r="812" spans="2:10" x14ac:dyDescent="0.3">
      <c r="B812" s="50" t="str">
        <f t="shared" si="26"/>
        <v/>
      </c>
      <c r="C812" s="42" t="str">
        <f t="shared" si="25"/>
        <v/>
      </c>
      <c r="D812" s="60"/>
      <c r="E812" s="63"/>
      <c r="F812" s="61"/>
      <c r="G812" s="62"/>
      <c r="H812" s="62"/>
      <c r="I812" s="62"/>
      <c r="J812" s="49">
        <f>IF(AND(ISBLANK(G812),ISBLANK(H812),ISBLANK(I812)),VLOOKUP(TEXT(D812,"TTT"),Stammdaten!$B$20:$F$26,5,FALSE),H812-G812-I812)-IF(ISERROR(VLOOKUP(D812,Stammdaten!$I$9:$J$26,2,FALSE)),0,VLOOKUP(D812,Stammdaten!$I$9:$J$26,2,FALSE)/24)</f>
        <v>0</v>
      </c>
    </row>
    <row r="813" spans="2:10" x14ac:dyDescent="0.3">
      <c r="B813" s="50" t="str">
        <f t="shared" si="26"/>
        <v/>
      </c>
      <c r="C813" s="42" t="str">
        <f t="shared" si="25"/>
        <v/>
      </c>
      <c r="D813" s="60"/>
      <c r="E813" s="63"/>
      <c r="F813" s="61"/>
      <c r="G813" s="62"/>
      <c r="H813" s="62"/>
      <c r="I813" s="62"/>
      <c r="J813" s="49">
        <f>IF(AND(ISBLANK(G813),ISBLANK(H813),ISBLANK(I813)),VLOOKUP(TEXT(D813,"TTT"),Stammdaten!$B$20:$F$26,5,FALSE),H813-G813-I813)-IF(ISERROR(VLOOKUP(D813,Stammdaten!$I$9:$J$26,2,FALSE)),0,VLOOKUP(D813,Stammdaten!$I$9:$J$26,2,FALSE)/24)</f>
        <v>0</v>
      </c>
    </row>
    <row r="814" spans="2:10" x14ac:dyDescent="0.3">
      <c r="B814" s="50" t="str">
        <f t="shared" si="26"/>
        <v/>
      </c>
      <c r="C814" s="42" t="str">
        <f t="shared" si="25"/>
        <v/>
      </c>
      <c r="D814" s="60"/>
      <c r="E814" s="63"/>
      <c r="F814" s="61"/>
      <c r="G814" s="62"/>
      <c r="H814" s="62"/>
      <c r="I814" s="62"/>
      <c r="J814" s="49">
        <f>IF(AND(ISBLANK(G814),ISBLANK(H814),ISBLANK(I814)),VLOOKUP(TEXT(D814,"TTT"),Stammdaten!$B$20:$F$26,5,FALSE),H814-G814-I814)-IF(ISERROR(VLOOKUP(D814,Stammdaten!$I$9:$J$26,2,FALSE)),0,VLOOKUP(D814,Stammdaten!$I$9:$J$26,2,FALSE)/24)</f>
        <v>0</v>
      </c>
    </row>
    <row r="815" spans="2:10" x14ac:dyDescent="0.3">
      <c r="B815" s="50" t="str">
        <f t="shared" si="26"/>
        <v/>
      </c>
      <c r="C815" s="42" t="str">
        <f t="shared" si="25"/>
        <v/>
      </c>
      <c r="D815" s="60"/>
      <c r="E815" s="63"/>
      <c r="F815" s="61"/>
      <c r="G815" s="62"/>
      <c r="H815" s="62"/>
      <c r="I815" s="62"/>
      <c r="J815" s="49">
        <f>IF(AND(ISBLANK(G815),ISBLANK(H815),ISBLANK(I815)),VLOOKUP(TEXT(D815,"TTT"),Stammdaten!$B$20:$F$26,5,FALSE),H815-G815-I815)-IF(ISERROR(VLOOKUP(D815,Stammdaten!$I$9:$J$26,2,FALSE)),0,VLOOKUP(D815,Stammdaten!$I$9:$J$26,2,FALSE)/24)</f>
        <v>0</v>
      </c>
    </row>
    <row r="816" spans="2:10" x14ac:dyDescent="0.3">
      <c r="B816" s="50" t="str">
        <f t="shared" si="26"/>
        <v/>
      </c>
      <c r="C816" s="42" t="str">
        <f t="shared" si="25"/>
        <v/>
      </c>
      <c r="D816" s="60"/>
      <c r="E816" s="63"/>
      <c r="F816" s="61"/>
      <c r="G816" s="62"/>
      <c r="H816" s="62"/>
      <c r="I816" s="62"/>
      <c r="J816" s="49">
        <f>IF(AND(ISBLANK(G816),ISBLANK(H816),ISBLANK(I816)),VLOOKUP(TEXT(D816,"TTT"),Stammdaten!$B$20:$F$26,5,FALSE),H816-G816-I816)-IF(ISERROR(VLOOKUP(D816,Stammdaten!$I$9:$J$26,2,FALSE)),0,VLOOKUP(D816,Stammdaten!$I$9:$J$26,2,FALSE)/24)</f>
        <v>0</v>
      </c>
    </row>
    <row r="817" spans="2:10" x14ac:dyDescent="0.3">
      <c r="B817" s="50" t="str">
        <f t="shared" si="26"/>
        <v/>
      </c>
      <c r="C817" s="42" t="str">
        <f t="shared" si="25"/>
        <v/>
      </c>
      <c r="D817" s="60"/>
      <c r="E817" s="63"/>
      <c r="F817" s="61"/>
      <c r="G817" s="62"/>
      <c r="H817" s="62"/>
      <c r="I817" s="62"/>
      <c r="J817" s="49">
        <f>IF(AND(ISBLANK(G817),ISBLANK(H817),ISBLANK(I817)),VLOOKUP(TEXT(D817,"TTT"),Stammdaten!$B$20:$F$26,5,FALSE),H817-G817-I817)-IF(ISERROR(VLOOKUP(D817,Stammdaten!$I$9:$J$26,2,FALSE)),0,VLOOKUP(D817,Stammdaten!$I$9:$J$26,2,FALSE)/24)</f>
        <v>0</v>
      </c>
    </row>
    <row r="818" spans="2:10" x14ac:dyDescent="0.3">
      <c r="B818" s="50" t="str">
        <f t="shared" si="26"/>
        <v/>
      </c>
      <c r="C818" s="42" t="str">
        <f t="shared" si="25"/>
        <v/>
      </c>
      <c r="D818" s="60"/>
      <c r="E818" s="63"/>
      <c r="F818" s="61"/>
      <c r="G818" s="62"/>
      <c r="H818" s="62"/>
      <c r="I818" s="62"/>
      <c r="J818" s="49">
        <f>IF(AND(ISBLANK(G818),ISBLANK(H818),ISBLANK(I818)),VLOOKUP(TEXT(D818,"TTT"),Stammdaten!$B$20:$F$26,5,FALSE),H818-G818-I818)-IF(ISERROR(VLOOKUP(D818,Stammdaten!$I$9:$J$26,2,FALSE)),0,VLOOKUP(D818,Stammdaten!$I$9:$J$26,2,FALSE)/24)</f>
        <v>0</v>
      </c>
    </row>
    <row r="819" spans="2:10" x14ac:dyDescent="0.3">
      <c r="B819" s="50" t="str">
        <f t="shared" si="26"/>
        <v/>
      </c>
      <c r="C819" s="42" t="str">
        <f t="shared" si="25"/>
        <v/>
      </c>
      <c r="D819" s="60"/>
      <c r="E819" s="63"/>
      <c r="F819" s="61"/>
      <c r="G819" s="62"/>
      <c r="H819" s="62"/>
      <c r="I819" s="62"/>
      <c r="J819" s="49">
        <f>IF(AND(ISBLANK(G819),ISBLANK(H819),ISBLANK(I819)),VLOOKUP(TEXT(D819,"TTT"),Stammdaten!$B$20:$F$26,5,FALSE),H819-G819-I819)-IF(ISERROR(VLOOKUP(D819,Stammdaten!$I$9:$J$26,2,FALSE)),0,VLOOKUP(D819,Stammdaten!$I$9:$J$26,2,FALSE)/24)</f>
        <v>0</v>
      </c>
    </row>
    <row r="820" spans="2:10" x14ac:dyDescent="0.3">
      <c r="B820" s="50" t="str">
        <f t="shared" si="26"/>
        <v/>
      </c>
      <c r="C820" s="42" t="str">
        <f t="shared" si="25"/>
        <v/>
      </c>
      <c r="D820" s="60"/>
      <c r="E820" s="63"/>
      <c r="F820" s="61"/>
      <c r="G820" s="62"/>
      <c r="H820" s="62"/>
      <c r="I820" s="62"/>
      <c r="J820" s="49">
        <f>IF(AND(ISBLANK(G820),ISBLANK(H820),ISBLANK(I820)),VLOOKUP(TEXT(D820,"TTT"),Stammdaten!$B$20:$F$26,5,FALSE),H820-G820-I820)-IF(ISERROR(VLOOKUP(D820,Stammdaten!$I$9:$J$26,2,FALSE)),0,VLOOKUP(D820,Stammdaten!$I$9:$J$26,2,FALSE)/24)</f>
        <v>0</v>
      </c>
    </row>
    <row r="821" spans="2:10" x14ac:dyDescent="0.3">
      <c r="B821" s="50" t="str">
        <f t="shared" si="26"/>
        <v/>
      </c>
      <c r="C821" s="42" t="str">
        <f t="shared" si="25"/>
        <v/>
      </c>
      <c r="D821" s="60"/>
      <c r="E821" s="63"/>
      <c r="F821" s="61"/>
      <c r="G821" s="62"/>
      <c r="H821" s="62"/>
      <c r="I821" s="62"/>
      <c r="J821" s="49">
        <f>IF(AND(ISBLANK(G821),ISBLANK(H821),ISBLANK(I821)),VLOOKUP(TEXT(D821,"TTT"),Stammdaten!$B$20:$F$26,5,FALSE),H821-G821-I821)-IF(ISERROR(VLOOKUP(D821,Stammdaten!$I$9:$J$26,2,FALSE)),0,VLOOKUP(D821,Stammdaten!$I$9:$J$26,2,FALSE)/24)</f>
        <v>0</v>
      </c>
    </row>
    <row r="822" spans="2:10" x14ac:dyDescent="0.3">
      <c r="B822" s="50" t="str">
        <f t="shared" si="26"/>
        <v/>
      </c>
      <c r="C822" s="42" t="str">
        <f t="shared" si="25"/>
        <v/>
      </c>
      <c r="D822" s="60"/>
      <c r="E822" s="63"/>
      <c r="F822" s="61"/>
      <c r="G822" s="62"/>
      <c r="H822" s="62"/>
      <c r="I822" s="62"/>
      <c r="J822" s="49">
        <f>IF(AND(ISBLANK(G822),ISBLANK(H822),ISBLANK(I822)),VLOOKUP(TEXT(D822,"TTT"),Stammdaten!$B$20:$F$26,5,FALSE),H822-G822-I822)-IF(ISERROR(VLOOKUP(D822,Stammdaten!$I$9:$J$26,2,FALSE)),0,VLOOKUP(D822,Stammdaten!$I$9:$J$26,2,FALSE)/24)</f>
        <v>0</v>
      </c>
    </row>
    <row r="823" spans="2:10" x14ac:dyDescent="0.3">
      <c r="B823" s="50" t="str">
        <f t="shared" si="26"/>
        <v/>
      </c>
      <c r="C823" s="42" t="str">
        <f t="shared" si="25"/>
        <v/>
      </c>
      <c r="D823" s="60"/>
      <c r="E823" s="63"/>
      <c r="F823" s="61"/>
      <c r="G823" s="62"/>
      <c r="H823" s="62"/>
      <c r="I823" s="62"/>
      <c r="J823" s="49">
        <f>IF(AND(ISBLANK(G823),ISBLANK(H823),ISBLANK(I823)),VLOOKUP(TEXT(D823,"TTT"),Stammdaten!$B$20:$F$26,5,FALSE),H823-G823-I823)-IF(ISERROR(VLOOKUP(D823,Stammdaten!$I$9:$J$26,2,FALSE)),0,VLOOKUP(D823,Stammdaten!$I$9:$J$26,2,FALSE)/24)</f>
        <v>0</v>
      </c>
    </row>
    <row r="824" spans="2:10" x14ac:dyDescent="0.3">
      <c r="B824" s="50" t="str">
        <f t="shared" si="26"/>
        <v/>
      </c>
      <c r="C824" s="42" t="str">
        <f t="shared" si="25"/>
        <v/>
      </c>
      <c r="D824" s="60"/>
      <c r="E824" s="63"/>
      <c r="F824" s="61"/>
      <c r="G824" s="62"/>
      <c r="H824" s="62"/>
      <c r="I824" s="62"/>
      <c r="J824" s="49">
        <f>IF(AND(ISBLANK(G824),ISBLANK(H824),ISBLANK(I824)),VLOOKUP(TEXT(D824,"TTT"),Stammdaten!$B$20:$F$26,5,FALSE),H824-G824-I824)-IF(ISERROR(VLOOKUP(D824,Stammdaten!$I$9:$J$26,2,FALSE)),0,VLOOKUP(D824,Stammdaten!$I$9:$J$26,2,FALSE)/24)</f>
        <v>0</v>
      </c>
    </row>
    <row r="825" spans="2:10" x14ac:dyDescent="0.3">
      <c r="B825" s="50" t="str">
        <f t="shared" si="26"/>
        <v/>
      </c>
      <c r="C825" s="42" t="str">
        <f t="shared" si="25"/>
        <v/>
      </c>
      <c r="D825" s="60"/>
      <c r="E825" s="63"/>
      <c r="F825" s="61"/>
      <c r="G825" s="62"/>
      <c r="H825" s="62"/>
      <c r="I825" s="62"/>
      <c r="J825" s="49">
        <f>IF(AND(ISBLANK(G825),ISBLANK(H825),ISBLANK(I825)),VLOOKUP(TEXT(D825,"TTT"),Stammdaten!$B$20:$F$26,5,FALSE),H825-G825-I825)-IF(ISERROR(VLOOKUP(D825,Stammdaten!$I$9:$J$26,2,FALSE)),0,VLOOKUP(D825,Stammdaten!$I$9:$J$26,2,FALSE)/24)</f>
        <v>0</v>
      </c>
    </row>
    <row r="826" spans="2:10" x14ac:dyDescent="0.3">
      <c r="B826" s="50" t="str">
        <f t="shared" si="26"/>
        <v/>
      </c>
      <c r="C826" s="42" t="str">
        <f t="shared" si="25"/>
        <v/>
      </c>
      <c r="D826" s="60"/>
      <c r="E826" s="63"/>
      <c r="F826" s="61"/>
      <c r="G826" s="62"/>
      <c r="H826" s="62"/>
      <c r="I826" s="62"/>
      <c r="J826" s="49">
        <f>IF(AND(ISBLANK(G826),ISBLANK(H826),ISBLANK(I826)),VLOOKUP(TEXT(D826,"TTT"),Stammdaten!$B$20:$F$26,5,FALSE),H826-G826-I826)-IF(ISERROR(VLOOKUP(D826,Stammdaten!$I$9:$J$26,2,FALSE)),0,VLOOKUP(D826,Stammdaten!$I$9:$J$26,2,FALSE)/24)</f>
        <v>0</v>
      </c>
    </row>
    <row r="827" spans="2:10" x14ac:dyDescent="0.3">
      <c r="B827" s="50" t="str">
        <f t="shared" si="26"/>
        <v/>
      </c>
      <c r="C827" s="42" t="str">
        <f t="shared" si="25"/>
        <v/>
      </c>
      <c r="D827" s="60"/>
      <c r="E827" s="63"/>
      <c r="F827" s="61"/>
      <c r="G827" s="62"/>
      <c r="H827" s="62"/>
      <c r="I827" s="62"/>
      <c r="J827" s="49">
        <f>IF(AND(ISBLANK(G827),ISBLANK(H827),ISBLANK(I827)),VLOOKUP(TEXT(D827,"TTT"),Stammdaten!$B$20:$F$26,5,FALSE),H827-G827-I827)-IF(ISERROR(VLOOKUP(D827,Stammdaten!$I$9:$J$26,2,FALSE)),0,VLOOKUP(D827,Stammdaten!$I$9:$J$26,2,FALSE)/24)</f>
        <v>0</v>
      </c>
    </row>
    <row r="828" spans="2:10" x14ac:dyDescent="0.3">
      <c r="B828" s="50" t="str">
        <f t="shared" si="26"/>
        <v/>
      </c>
      <c r="C828" s="42" t="str">
        <f t="shared" si="25"/>
        <v/>
      </c>
      <c r="D828" s="60"/>
      <c r="E828" s="63"/>
      <c r="F828" s="61"/>
      <c r="G828" s="62"/>
      <c r="H828" s="62"/>
      <c r="I828" s="62"/>
      <c r="J828" s="49">
        <f>IF(AND(ISBLANK(G828),ISBLANK(H828),ISBLANK(I828)),VLOOKUP(TEXT(D828,"TTT"),Stammdaten!$B$20:$F$26,5,FALSE),H828-G828-I828)-IF(ISERROR(VLOOKUP(D828,Stammdaten!$I$9:$J$26,2,FALSE)),0,VLOOKUP(D828,Stammdaten!$I$9:$J$26,2,FALSE)/24)</f>
        <v>0</v>
      </c>
    </row>
    <row r="829" spans="2:10" x14ac:dyDescent="0.3">
      <c r="B829" s="50" t="str">
        <f t="shared" si="26"/>
        <v/>
      </c>
      <c r="C829" s="42" t="str">
        <f t="shared" si="25"/>
        <v/>
      </c>
      <c r="D829" s="60"/>
      <c r="E829" s="63"/>
      <c r="F829" s="61"/>
      <c r="G829" s="62"/>
      <c r="H829" s="62"/>
      <c r="I829" s="62"/>
      <c r="J829" s="49">
        <f>IF(AND(ISBLANK(G829),ISBLANK(H829),ISBLANK(I829)),VLOOKUP(TEXT(D829,"TTT"),Stammdaten!$B$20:$F$26,5,FALSE),H829-G829-I829)-IF(ISERROR(VLOOKUP(D829,Stammdaten!$I$9:$J$26,2,FALSE)),0,VLOOKUP(D829,Stammdaten!$I$9:$J$26,2,FALSE)/24)</f>
        <v>0</v>
      </c>
    </row>
    <row r="830" spans="2:10" x14ac:dyDescent="0.3">
      <c r="B830" s="50" t="str">
        <f t="shared" si="26"/>
        <v/>
      </c>
      <c r="C830" s="42" t="str">
        <f t="shared" si="25"/>
        <v/>
      </c>
      <c r="D830" s="60"/>
      <c r="E830" s="63"/>
      <c r="F830" s="61"/>
      <c r="G830" s="62"/>
      <c r="H830" s="62"/>
      <c r="I830" s="62"/>
      <c r="J830" s="49">
        <f>IF(AND(ISBLANK(G830),ISBLANK(H830),ISBLANK(I830)),VLOOKUP(TEXT(D830,"TTT"),Stammdaten!$B$20:$F$26,5,FALSE),H830-G830-I830)-IF(ISERROR(VLOOKUP(D830,Stammdaten!$I$9:$J$26,2,FALSE)),0,VLOOKUP(D830,Stammdaten!$I$9:$J$26,2,FALSE)/24)</f>
        <v>0</v>
      </c>
    </row>
    <row r="831" spans="2:10" x14ac:dyDescent="0.3">
      <c r="B831" s="50" t="str">
        <f t="shared" si="26"/>
        <v/>
      </c>
      <c r="C831" s="42" t="str">
        <f t="shared" si="25"/>
        <v/>
      </c>
      <c r="D831" s="60"/>
      <c r="E831" s="63"/>
      <c r="F831" s="61"/>
      <c r="G831" s="62"/>
      <c r="H831" s="62"/>
      <c r="I831" s="62"/>
      <c r="J831" s="49">
        <f>IF(AND(ISBLANK(G831),ISBLANK(H831),ISBLANK(I831)),VLOOKUP(TEXT(D831,"TTT"),Stammdaten!$B$20:$F$26,5,FALSE),H831-G831-I831)-IF(ISERROR(VLOOKUP(D831,Stammdaten!$I$9:$J$26,2,FALSE)),0,VLOOKUP(D831,Stammdaten!$I$9:$J$26,2,FALSE)/24)</f>
        <v>0</v>
      </c>
    </row>
    <row r="832" spans="2:10" x14ac:dyDescent="0.3">
      <c r="B832" s="50" t="str">
        <f t="shared" si="26"/>
        <v/>
      </c>
      <c r="C832" s="42" t="str">
        <f t="shared" si="25"/>
        <v/>
      </c>
      <c r="D832" s="60"/>
      <c r="E832" s="63"/>
      <c r="F832" s="61"/>
      <c r="G832" s="62"/>
      <c r="H832" s="62"/>
      <c r="I832" s="62"/>
      <c r="J832" s="49">
        <f>IF(AND(ISBLANK(G832),ISBLANK(H832),ISBLANK(I832)),VLOOKUP(TEXT(D832,"TTT"),Stammdaten!$B$20:$F$26,5,FALSE),H832-G832-I832)-IF(ISERROR(VLOOKUP(D832,Stammdaten!$I$9:$J$26,2,FALSE)),0,VLOOKUP(D832,Stammdaten!$I$9:$J$26,2,FALSE)/24)</f>
        <v>0</v>
      </c>
    </row>
    <row r="833" spans="2:10" x14ac:dyDescent="0.3">
      <c r="B833" s="50" t="str">
        <f t="shared" si="26"/>
        <v/>
      </c>
      <c r="C833" s="42" t="str">
        <f t="shared" si="25"/>
        <v/>
      </c>
      <c r="D833" s="60"/>
      <c r="E833" s="63"/>
      <c r="F833" s="61"/>
      <c r="G833" s="62"/>
      <c r="H833" s="62"/>
      <c r="I833" s="62"/>
      <c r="J833" s="49">
        <f>IF(AND(ISBLANK(G833),ISBLANK(H833),ISBLANK(I833)),VLOOKUP(TEXT(D833,"TTT"),Stammdaten!$B$20:$F$26,5,FALSE),H833-G833-I833)-IF(ISERROR(VLOOKUP(D833,Stammdaten!$I$9:$J$26,2,FALSE)),0,VLOOKUP(D833,Stammdaten!$I$9:$J$26,2,FALSE)/24)</f>
        <v>0</v>
      </c>
    </row>
    <row r="834" spans="2:10" x14ac:dyDescent="0.3">
      <c r="B834" s="50" t="str">
        <f t="shared" si="26"/>
        <v/>
      </c>
      <c r="C834" s="42" t="str">
        <f t="shared" ref="C834:C897" si="27">IF(D834="","",D834)</f>
        <v/>
      </c>
      <c r="D834" s="60"/>
      <c r="E834" s="63"/>
      <c r="F834" s="61"/>
      <c r="G834" s="62"/>
      <c r="H834" s="62"/>
      <c r="I834" s="62"/>
      <c r="J834" s="49">
        <f>IF(AND(ISBLANK(G834),ISBLANK(H834),ISBLANK(I834)),VLOOKUP(TEXT(D834,"TTT"),Stammdaten!$B$20:$F$26,5,FALSE),H834-G834-I834)-IF(ISERROR(VLOOKUP(D834,Stammdaten!$I$9:$J$26,2,FALSE)),0,VLOOKUP(D834,Stammdaten!$I$9:$J$26,2,FALSE)/24)</f>
        <v>0</v>
      </c>
    </row>
    <row r="835" spans="2:10" x14ac:dyDescent="0.3">
      <c r="B835" s="50" t="str">
        <f t="shared" si="26"/>
        <v/>
      </c>
      <c r="C835" s="42" t="str">
        <f t="shared" si="27"/>
        <v/>
      </c>
      <c r="D835" s="60"/>
      <c r="E835" s="63"/>
      <c r="F835" s="61"/>
      <c r="G835" s="62"/>
      <c r="H835" s="62"/>
      <c r="I835" s="62"/>
      <c r="J835" s="49">
        <f>IF(AND(ISBLANK(G835),ISBLANK(H835),ISBLANK(I835)),VLOOKUP(TEXT(D835,"TTT"),Stammdaten!$B$20:$F$26,5,FALSE),H835-G835-I835)-IF(ISERROR(VLOOKUP(D835,Stammdaten!$I$9:$J$26,2,FALSE)),0,VLOOKUP(D835,Stammdaten!$I$9:$J$26,2,FALSE)/24)</f>
        <v>0</v>
      </c>
    </row>
    <row r="836" spans="2:10" x14ac:dyDescent="0.3">
      <c r="B836" s="50" t="str">
        <f t="shared" ref="B836:B899" si="28">IF(ISBLANK(E836),"",VLOOKUP(E836,$L$2:$M$11,2,FALSE))</f>
        <v/>
      </c>
      <c r="C836" s="42" t="str">
        <f t="shared" si="27"/>
        <v/>
      </c>
      <c r="D836" s="60"/>
      <c r="E836" s="63"/>
      <c r="F836" s="61"/>
      <c r="G836" s="62"/>
      <c r="H836" s="62"/>
      <c r="I836" s="62"/>
      <c r="J836" s="49">
        <f>IF(AND(ISBLANK(G836),ISBLANK(H836),ISBLANK(I836)),VLOOKUP(TEXT(D836,"TTT"),Stammdaten!$B$20:$F$26,5,FALSE),H836-G836-I836)-IF(ISERROR(VLOOKUP(D836,Stammdaten!$I$9:$J$26,2,FALSE)),0,VLOOKUP(D836,Stammdaten!$I$9:$J$26,2,FALSE)/24)</f>
        <v>0</v>
      </c>
    </row>
    <row r="837" spans="2:10" x14ac:dyDescent="0.3">
      <c r="B837" s="50" t="str">
        <f t="shared" si="28"/>
        <v/>
      </c>
      <c r="C837" s="42" t="str">
        <f t="shared" si="27"/>
        <v/>
      </c>
      <c r="D837" s="60"/>
      <c r="E837" s="63"/>
      <c r="F837" s="61"/>
      <c r="G837" s="62"/>
      <c r="H837" s="62"/>
      <c r="I837" s="62"/>
      <c r="J837" s="49">
        <f>IF(AND(ISBLANK(G837),ISBLANK(H837),ISBLANK(I837)),VLOOKUP(TEXT(D837,"TTT"),Stammdaten!$B$20:$F$26,5,FALSE),H837-G837-I837)-IF(ISERROR(VLOOKUP(D837,Stammdaten!$I$9:$J$26,2,FALSE)),0,VLOOKUP(D837,Stammdaten!$I$9:$J$26,2,FALSE)/24)</f>
        <v>0</v>
      </c>
    </row>
    <row r="838" spans="2:10" x14ac:dyDescent="0.3">
      <c r="B838" s="50" t="str">
        <f t="shared" si="28"/>
        <v/>
      </c>
      <c r="C838" s="42" t="str">
        <f t="shared" si="27"/>
        <v/>
      </c>
      <c r="D838" s="60"/>
      <c r="E838" s="63"/>
      <c r="F838" s="61"/>
      <c r="G838" s="62"/>
      <c r="H838" s="62"/>
      <c r="I838" s="62"/>
      <c r="J838" s="49">
        <f>IF(AND(ISBLANK(G838),ISBLANK(H838),ISBLANK(I838)),VLOOKUP(TEXT(D838,"TTT"),Stammdaten!$B$20:$F$26,5,FALSE),H838-G838-I838)-IF(ISERROR(VLOOKUP(D838,Stammdaten!$I$9:$J$26,2,FALSE)),0,VLOOKUP(D838,Stammdaten!$I$9:$J$26,2,FALSE)/24)</f>
        <v>0</v>
      </c>
    </row>
    <row r="839" spans="2:10" x14ac:dyDescent="0.3">
      <c r="B839" s="50" t="str">
        <f t="shared" si="28"/>
        <v/>
      </c>
      <c r="C839" s="42" t="str">
        <f t="shared" si="27"/>
        <v/>
      </c>
      <c r="D839" s="60"/>
      <c r="E839" s="63"/>
      <c r="F839" s="61"/>
      <c r="G839" s="62"/>
      <c r="H839" s="62"/>
      <c r="I839" s="62"/>
      <c r="J839" s="49">
        <f>IF(AND(ISBLANK(G839),ISBLANK(H839),ISBLANK(I839)),VLOOKUP(TEXT(D839,"TTT"),Stammdaten!$B$20:$F$26,5,FALSE),H839-G839-I839)-IF(ISERROR(VLOOKUP(D839,Stammdaten!$I$9:$J$26,2,FALSE)),0,VLOOKUP(D839,Stammdaten!$I$9:$J$26,2,FALSE)/24)</f>
        <v>0</v>
      </c>
    </row>
    <row r="840" spans="2:10" x14ac:dyDescent="0.3">
      <c r="B840" s="50" t="str">
        <f t="shared" si="28"/>
        <v/>
      </c>
      <c r="C840" s="42" t="str">
        <f t="shared" si="27"/>
        <v/>
      </c>
      <c r="D840" s="60"/>
      <c r="E840" s="63"/>
      <c r="F840" s="61"/>
      <c r="G840" s="62"/>
      <c r="H840" s="62"/>
      <c r="I840" s="62"/>
      <c r="J840" s="49">
        <f>IF(AND(ISBLANK(G840),ISBLANK(H840),ISBLANK(I840)),VLOOKUP(TEXT(D840,"TTT"),Stammdaten!$B$20:$F$26,5,FALSE),H840-G840-I840)-IF(ISERROR(VLOOKUP(D840,Stammdaten!$I$9:$J$26,2,FALSE)),0,VLOOKUP(D840,Stammdaten!$I$9:$J$26,2,FALSE)/24)</f>
        <v>0</v>
      </c>
    </row>
    <row r="841" spans="2:10" x14ac:dyDescent="0.3">
      <c r="B841" s="50" t="str">
        <f t="shared" si="28"/>
        <v/>
      </c>
      <c r="C841" s="42" t="str">
        <f t="shared" si="27"/>
        <v/>
      </c>
      <c r="D841" s="60"/>
      <c r="E841" s="63"/>
      <c r="F841" s="61"/>
      <c r="G841" s="62"/>
      <c r="H841" s="62"/>
      <c r="I841" s="62"/>
      <c r="J841" s="49">
        <f>IF(AND(ISBLANK(G841),ISBLANK(H841),ISBLANK(I841)),VLOOKUP(TEXT(D841,"TTT"),Stammdaten!$B$20:$F$26,5,FALSE),H841-G841-I841)-IF(ISERROR(VLOOKUP(D841,Stammdaten!$I$9:$J$26,2,FALSE)),0,VLOOKUP(D841,Stammdaten!$I$9:$J$26,2,FALSE)/24)</f>
        <v>0</v>
      </c>
    </row>
    <row r="842" spans="2:10" x14ac:dyDescent="0.3">
      <c r="B842" s="50" t="str">
        <f t="shared" si="28"/>
        <v/>
      </c>
      <c r="C842" s="42" t="str">
        <f t="shared" si="27"/>
        <v/>
      </c>
      <c r="D842" s="60"/>
      <c r="E842" s="63"/>
      <c r="F842" s="61"/>
      <c r="G842" s="62"/>
      <c r="H842" s="62"/>
      <c r="I842" s="62"/>
      <c r="J842" s="49">
        <f>IF(AND(ISBLANK(G842),ISBLANK(H842),ISBLANK(I842)),VLOOKUP(TEXT(D842,"TTT"),Stammdaten!$B$20:$F$26,5,FALSE),H842-G842-I842)-IF(ISERROR(VLOOKUP(D842,Stammdaten!$I$9:$J$26,2,FALSE)),0,VLOOKUP(D842,Stammdaten!$I$9:$J$26,2,FALSE)/24)</f>
        <v>0</v>
      </c>
    </row>
    <row r="843" spans="2:10" x14ac:dyDescent="0.3">
      <c r="B843" s="50" t="str">
        <f t="shared" si="28"/>
        <v/>
      </c>
      <c r="C843" s="42" t="str">
        <f t="shared" si="27"/>
        <v/>
      </c>
      <c r="D843" s="60"/>
      <c r="E843" s="63"/>
      <c r="F843" s="61"/>
      <c r="G843" s="62"/>
      <c r="H843" s="62"/>
      <c r="I843" s="62"/>
      <c r="J843" s="49">
        <f>IF(AND(ISBLANK(G843),ISBLANK(H843),ISBLANK(I843)),VLOOKUP(TEXT(D843,"TTT"),Stammdaten!$B$20:$F$26,5,FALSE),H843-G843-I843)-IF(ISERROR(VLOOKUP(D843,Stammdaten!$I$9:$J$26,2,FALSE)),0,VLOOKUP(D843,Stammdaten!$I$9:$J$26,2,FALSE)/24)</f>
        <v>0</v>
      </c>
    </row>
    <row r="844" spans="2:10" x14ac:dyDescent="0.3">
      <c r="B844" s="50" t="str">
        <f t="shared" si="28"/>
        <v/>
      </c>
      <c r="C844" s="42" t="str">
        <f t="shared" si="27"/>
        <v/>
      </c>
      <c r="D844" s="60"/>
      <c r="E844" s="63"/>
      <c r="F844" s="61"/>
      <c r="G844" s="62"/>
      <c r="H844" s="62"/>
      <c r="I844" s="62"/>
      <c r="J844" s="49">
        <f>IF(AND(ISBLANK(G844),ISBLANK(H844),ISBLANK(I844)),VLOOKUP(TEXT(D844,"TTT"),Stammdaten!$B$20:$F$26,5,FALSE),H844-G844-I844)-IF(ISERROR(VLOOKUP(D844,Stammdaten!$I$9:$J$26,2,FALSE)),0,VLOOKUP(D844,Stammdaten!$I$9:$J$26,2,FALSE)/24)</f>
        <v>0</v>
      </c>
    </row>
    <row r="845" spans="2:10" x14ac:dyDescent="0.3">
      <c r="B845" s="50" t="str">
        <f t="shared" si="28"/>
        <v/>
      </c>
      <c r="C845" s="42" t="str">
        <f t="shared" si="27"/>
        <v/>
      </c>
      <c r="D845" s="60"/>
      <c r="E845" s="63"/>
      <c r="F845" s="61"/>
      <c r="G845" s="62"/>
      <c r="H845" s="62"/>
      <c r="I845" s="62"/>
      <c r="J845" s="49">
        <f>IF(AND(ISBLANK(G845),ISBLANK(H845),ISBLANK(I845)),VLOOKUP(TEXT(D845,"TTT"),Stammdaten!$B$20:$F$26,5,FALSE),H845-G845-I845)-IF(ISERROR(VLOOKUP(D845,Stammdaten!$I$9:$J$26,2,FALSE)),0,VLOOKUP(D845,Stammdaten!$I$9:$J$26,2,FALSE)/24)</f>
        <v>0</v>
      </c>
    </row>
    <row r="846" spans="2:10" x14ac:dyDescent="0.3">
      <c r="B846" s="50" t="str">
        <f t="shared" si="28"/>
        <v/>
      </c>
      <c r="C846" s="42" t="str">
        <f t="shared" si="27"/>
        <v/>
      </c>
      <c r="D846" s="60"/>
      <c r="E846" s="63"/>
      <c r="F846" s="61"/>
      <c r="G846" s="62"/>
      <c r="H846" s="62"/>
      <c r="I846" s="62"/>
      <c r="J846" s="49">
        <f>IF(AND(ISBLANK(G846),ISBLANK(H846),ISBLANK(I846)),VLOOKUP(TEXT(D846,"TTT"),Stammdaten!$B$20:$F$26,5,FALSE),H846-G846-I846)-IF(ISERROR(VLOOKUP(D846,Stammdaten!$I$9:$J$26,2,FALSE)),0,VLOOKUP(D846,Stammdaten!$I$9:$J$26,2,FALSE)/24)</f>
        <v>0</v>
      </c>
    </row>
    <row r="847" spans="2:10" x14ac:dyDescent="0.3">
      <c r="B847" s="50" t="str">
        <f t="shared" si="28"/>
        <v/>
      </c>
      <c r="C847" s="42" t="str">
        <f t="shared" si="27"/>
        <v/>
      </c>
      <c r="D847" s="60"/>
      <c r="E847" s="63"/>
      <c r="F847" s="61"/>
      <c r="G847" s="62"/>
      <c r="H847" s="62"/>
      <c r="I847" s="62"/>
      <c r="J847" s="49">
        <f>IF(AND(ISBLANK(G847),ISBLANK(H847),ISBLANK(I847)),VLOOKUP(TEXT(D847,"TTT"),Stammdaten!$B$20:$F$26,5,FALSE),H847-G847-I847)-IF(ISERROR(VLOOKUP(D847,Stammdaten!$I$9:$J$26,2,FALSE)),0,VLOOKUP(D847,Stammdaten!$I$9:$J$26,2,FALSE)/24)</f>
        <v>0</v>
      </c>
    </row>
    <row r="848" spans="2:10" x14ac:dyDescent="0.3">
      <c r="B848" s="50" t="str">
        <f t="shared" si="28"/>
        <v/>
      </c>
      <c r="C848" s="42" t="str">
        <f t="shared" si="27"/>
        <v/>
      </c>
      <c r="D848" s="60"/>
      <c r="E848" s="63"/>
      <c r="F848" s="61"/>
      <c r="G848" s="62"/>
      <c r="H848" s="62"/>
      <c r="I848" s="62"/>
      <c r="J848" s="49">
        <f>IF(AND(ISBLANK(G848),ISBLANK(H848),ISBLANK(I848)),VLOOKUP(TEXT(D848,"TTT"),Stammdaten!$B$20:$F$26,5,FALSE),H848-G848-I848)-IF(ISERROR(VLOOKUP(D848,Stammdaten!$I$9:$J$26,2,FALSE)),0,VLOOKUP(D848,Stammdaten!$I$9:$J$26,2,FALSE)/24)</f>
        <v>0</v>
      </c>
    </row>
    <row r="849" spans="2:10" x14ac:dyDescent="0.3">
      <c r="B849" s="50" t="str">
        <f t="shared" si="28"/>
        <v/>
      </c>
      <c r="C849" s="42" t="str">
        <f t="shared" si="27"/>
        <v/>
      </c>
      <c r="D849" s="60"/>
      <c r="E849" s="63"/>
      <c r="F849" s="61"/>
      <c r="G849" s="62"/>
      <c r="H849" s="62"/>
      <c r="I849" s="62"/>
      <c r="J849" s="49">
        <f>IF(AND(ISBLANK(G849),ISBLANK(H849),ISBLANK(I849)),VLOOKUP(TEXT(D849,"TTT"),Stammdaten!$B$20:$F$26,5,FALSE),H849-G849-I849)-IF(ISERROR(VLOOKUP(D849,Stammdaten!$I$9:$J$26,2,FALSE)),0,VLOOKUP(D849,Stammdaten!$I$9:$J$26,2,FALSE)/24)</f>
        <v>0</v>
      </c>
    </row>
    <row r="850" spans="2:10" x14ac:dyDescent="0.3">
      <c r="B850" s="50" t="str">
        <f t="shared" si="28"/>
        <v/>
      </c>
      <c r="C850" s="42" t="str">
        <f t="shared" si="27"/>
        <v/>
      </c>
      <c r="D850" s="60"/>
      <c r="E850" s="63"/>
      <c r="F850" s="61"/>
      <c r="G850" s="62"/>
      <c r="H850" s="62"/>
      <c r="I850" s="62"/>
      <c r="J850" s="49">
        <f>IF(AND(ISBLANK(G850),ISBLANK(H850),ISBLANK(I850)),VLOOKUP(TEXT(D850,"TTT"),Stammdaten!$B$20:$F$26,5,FALSE),H850-G850-I850)-IF(ISERROR(VLOOKUP(D850,Stammdaten!$I$9:$J$26,2,FALSE)),0,VLOOKUP(D850,Stammdaten!$I$9:$J$26,2,FALSE)/24)</f>
        <v>0</v>
      </c>
    </row>
    <row r="851" spans="2:10" x14ac:dyDescent="0.3">
      <c r="B851" s="50" t="str">
        <f t="shared" si="28"/>
        <v/>
      </c>
      <c r="C851" s="42" t="str">
        <f t="shared" si="27"/>
        <v/>
      </c>
      <c r="D851" s="60"/>
      <c r="E851" s="63"/>
      <c r="F851" s="61"/>
      <c r="G851" s="62"/>
      <c r="H851" s="62"/>
      <c r="I851" s="62"/>
      <c r="J851" s="49">
        <f>IF(AND(ISBLANK(G851),ISBLANK(H851),ISBLANK(I851)),VLOOKUP(TEXT(D851,"TTT"),Stammdaten!$B$20:$F$26,5,FALSE),H851-G851-I851)-IF(ISERROR(VLOOKUP(D851,Stammdaten!$I$9:$J$26,2,FALSE)),0,VLOOKUP(D851,Stammdaten!$I$9:$J$26,2,FALSE)/24)</f>
        <v>0</v>
      </c>
    </row>
    <row r="852" spans="2:10" x14ac:dyDescent="0.3">
      <c r="B852" s="50" t="str">
        <f t="shared" si="28"/>
        <v/>
      </c>
      <c r="C852" s="42" t="str">
        <f t="shared" si="27"/>
        <v/>
      </c>
      <c r="D852" s="60"/>
      <c r="E852" s="63"/>
      <c r="F852" s="61"/>
      <c r="G852" s="62"/>
      <c r="H852" s="62"/>
      <c r="I852" s="62"/>
      <c r="J852" s="49">
        <f>IF(AND(ISBLANK(G852),ISBLANK(H852),ISBLANK(I852)),VLOOKUP(TEXT(D852,"TTT"),Stammdaten!$B$20:$F$26,5,FALSE),H852-G852-I852)-IF(ISERROR(VLOOKUP(D852,Stammdaten!$I$9:$J$26,2,FALSE)),0,VLOOKUP(D852,Stammdaten!$I$9:$J$26,2,FALSE)/24)</f>
        <v>0</v>
      </c>
    </row>
    <row r="853" spans="2:10" x14ac:dyDescent="0.3">
      <c r="B853" s="50" t="str">
        <f t="shared" si="28"/>
        <v/>
      </c>
      <c r="C853" s="42" t="str">
        <f t="shared" si="27"/>
        <v/>
      </c>
      <c r="D853" s="60"/>
      <c r="E853" s="63"/>
      <c r="F853" s="61"/>
      <c r="G853" s="62"/>
      <c r="H853" s="62"/>
      <c r="I853" s="62"/>
      <c r="J853" s="49">
        <f>IF(AND(ISBLANK(G853),ISBLANK(H853),ISBLANK(I853)),VLOOKUP(TEXT(D853,"TTT"),Stammdaten!$B$20:$F$26,5,FALSE),H853-G853-I853)-IF(ISERROR(VLOOKUP(D853,Stammdaten!$I$9:$J$26,2,FALSE)),0,VLOOKUP(D853,Stammdaten!$I$9:$J$26,2,FALSE)/24)</f>
        <v>0</v>
      </c>
    </row>
    <row r="854" spans="2:10" x14ac:dyDescent="0.3">
      <c r="B854" s="50" t="str">
        <f t="shared" si="28"/>
        <v/>
      </c>
      <c r="C854" s="42" t="str">
        <f t="shared" si="27"/>
        <v/>
      </c>
      <c r="D854" s="60"/>
      <c r="E854" s="63"/>
      <c r="F854" s="61"/>
      <c r="G854" s="62"/>
      <c r="H854" s="62"/>
      <c r="I854" s="62"/>
      <c r="J854" s="49">
        <f>IF(AND(ISBLANK(G854),ISBLANK(H854),ISBLANK(I854)),VLOOKUP(TEXT(D854,"TTT"),Stammdaten!$B$20:$F$26,5,FALSE),H854-G854-I854)-IF(ISERROR(VLOOKUP(D854,Stammdaten!$I$9:$J$26,2,FALSE)),0,VLOOKUP(D854,Stammdaten!$I$9:$J$26,2,FALSE)/24)</f>
        <v>0</v>
      </c>
    </row>
    <row r="855" spans="2:10" x14ac:dyDescent="0.3">
      <c r="B855" s="50" t="str">
        <f t="shared" si="28"/>
        <v/>
      </c>
      <c r="C855" s="42" t="str">
        <f t="shared" si="27"/>
        <v/>
      </c>
      <c r="D855" s="60"/>
      <c r="E855" s="63"/>
      <c r="F855" s="61"/>
      <c r="G855" s="62"/>
      <c r="H855" s="62"/>
      <c r="I855" s="62"/>
      <c r="J855" s="49">
        <f>IF(AND(ISBLANK(G855),ISBLANK(H855),ISBLANK(I855)),VLOOKUP(TEXT(D855,"TTT"),Stammdaten!$B$20:$F$26,5,FALSE),H855-G855-I855)-IF(ISERROR(VLOOKUP(D855,Stammdaten!$I$9:$J$26,2,FALSE)),0,VLOOKUP(D855,Stammdaten!$I$9:$J$26,2,FALSE)/24)</f>
        <v>0</v>
      </c>
    </row>
    <row r="856" spans="2:10" x14ac:dyDescent="0.3">
      <c r="B856" s="50" t="str">
        <f t="shared" si="28"/>
        <v/>
      </c>
      <c r="C856" s="42" t="str">
        <f t="shared" si="27"/>
        <v/>
      </c>
      <c r="D856" s="60"/>
      <c r="E856" s="63"/>
      <c r="F856" s="61"/>
      <c r="G856" s="62"/>
      <c r="H856" s="62"/>
      <c r="I856" s="62"/>
      <c r="J856" s="49">
        <f>IF(AND(ISBLANK(G856),ISBLANK(H856),ISBLANK(I856)),VLOOKUP(TEXT(D856,"TTT"),Stammdaten!$B$20:$F$26,5,FALSE),H856-G856-I856)-IF(ISERROR(VLOOKUP(D856,Stammdaten!$I$9:$J$26,2,FALSE)),0,VLOOKUP(D856,Stammdaten!$I$9:$J$26,2,FALSE)/24)</f>
        <v>0</v>
      </c>
    </row>
    <row r="857" spans="2:10" x14ac:dyDescent="0.3">
      <c r="B857" s="50" t="str">
        <f t="shared" si="28"/>
        <v/>
      </c>
      <c r="C857" s="42" t="str">
        <f t="shared" si="27"/>
        <v/>
      </c>
      <c r="D857" s="60"/>
      <c r="E857" s="63"/>
      <c r="F857" s="61"/>
      <c r="G857" s="62"/>
      <c r="H857" s="62"/>
      <c r="I857" s="62"/>
      <c r="J857" s="49">
        <f>IF(AND(ISBLANK(G857),ISBLANK(H857),ISBLANK(I857)),VLOOKUP(TEXT(D857,"TTT"),Stammdaten!$B$20:$F$26,5,FALSE),H857-G857-I857)-IF(ISERROR(VLOOKUP(D857,Stammdaten!$I$9:$J$26,2,FALSE)),0,VLOOKUP(D857,Stammdaten!$I$9:$J$26,2,FALSE)/24)</f>
        <v>0</v>
      </c>
    </row>
    <row r="858" spans="2:10" x14ac:dyDescent="0.3">
      <c r="B858" s="50" t="str">
        <f t="shared" si="28"/>
        <v/>
      </c>
      <c r="C858" s="42" t="str">
        <f t="shared" si="27"/>
        <v/>
      </c>
      <c r="D858" s="60"/>
      <c r="E858" s="63"/>
      <c r="F858" s="61"/>
      <c r="G858" s="62"/>
      <c r="H858" s="62"/>
      <c r="I858" s="62"/>
      <c r="J858" s="49">
        <f>IF(AND(ISBLANK(G858),ISBLANK(H858),ISBLANK(I858)),VLOOKUP(TEXT(D858,"TTT"),Stammdaten!$B$20:$F$26,5,FALSE),H858-G858-I858)-IF(ISERROR(VLOOKUP(D858,Stammdaten!$I$9:$J$26,2,FALSE)),0,VLOOKUP(D858,Stammdaten!$I$9:$J$26,2,FALSE)/24)</f>
        <v>0</v>
      </c>
    </row>
    <row r="859" spans="2:10" x14ac:dyDescent="0.3">
      <c r="B859" s="50" t="str">
        <f t="shared" si="28"/>
        <v/>
      </c>
      <c r="C859" s="42" t="str">
        <f t="shared" si="27"/>
        <v/>
      </c>
      <c r="D859" s="60"/>
      <c r="E859" s="63"/>
      <c r="F859" s="61"/>
      <c r="G859" s="62"/>
      <c r="H859" s="62"/>
      <c r="I859" s="62"/>
      <c r="J859" s="49">
        <f>IF(AND(ISBLANK(G859),ISBLANK(H859),ISBLANK(I859)),VLOOKUP(TEXT(D859,"TTT"),Stammdaten!$B$20:$F$26,5,FALSE),H859-G859-I859)-IF(ISERROR(VLOOKUP(D859,Stammdaten!$I$9:$J$26,2,FALSE)),0,VLOOKUP(D859,Stammdaten!$I$9:$J$26,2,FALSE)/24)</f>
        <v>0</v>
      </c>
    </row>
    <row r="860" spans="2:10" x14ac:dyDescent="0.3">
      <c r="B860" s="50" t="str">
        <f t="shared" si="28"/>
        <v/>
      </c>
      <c r="C860" s="42" t="str">
        <f t="shared" si="27"/>
        <v/>
      </c>
      <c r="D860" s="60"/>
      <c r="E860" s="63"/>
      <c r="F860" s="61"/>
      <c r="G860" s="62"/>
      <c r="H860" s="62"/>
      <c r="I860" s="62"/>
      <c r="J860" s="49">
        <f>IF(AND(ISBLANK(G860),ISBLANK(H860),ISBLANK(I860)),VLOOKUP(TEXT(D860,"TTT"),Stammdaten!$B$20:$F$26,5,FALSE),H860-G860-I860)-IF(ISERROR(VLOOKUP(D860,Stammdaten!$I$9:$J$26,2,FALSE)),0,VLOOKUP(D860,Stammdaten!$I$9:$J$26,2,FALSE)/24)</f>
        <v>0</v>
      </c>
    </row>
    <row r="861" spans="2:10" x14ac:dyDescent="0.3">
      <c r="B861" s="50" t="str">
        <f t="shared" si="28"/>
        <v/>
      </c>
      <c r="C861" s="42" t="str">
        <f t="shared" si="27"/>
        <v/>
      </c>
      <c r="D861" s="60"/>
      <c r="E861" s="63"/>
      <c r="F861" s="61"/>
      <c r="G861" s="62"/>
      <c r="H861" s="62"/>
      <c r="I861" s="62"/>
      <c r="J861" s="49">
        <f>IF(AND(ISBLANK(G861),ISBLANK(H861),ISBLANK(I861)),VLOOKUP(TEXT(D861,"TTT"),Stammdaten!$B$20:$F$26,5,FALSE),H861-G861-I861)-IF(ISERROR(VLOOKUP(D861,Stammdaten!$I$9:$J$26,2,FALSE)),0,VLOOKUP(D861,Stammdaten!$I$9:$J$26,2,FALSE)/24)</f>
        <v>0</v>
      </c>
    </row>
    <row r="862" spans="2:10" x14ac:dyDescent="0.3">
      <c r="B862" s="50" t="str">
        <f t="shared" si="28"/>
        <v/>
      </c>
      <c r="C862" s="42" t="str">
        <f t="shared" si="27"/>
        <v/>
      </c>
      <c r="D862" s="60"/>
      <c r="E862" s="63"/>
      <c r="F862" s="61"/>
      <c r="G862" s="62"/>
      <c r="H862" s="62"/>
      <c r="I862" s="62"/>
      <c r="J862" s="49">
        <f>IF(AND(ISBLANK(G862),ISBLANK(H862),ISBLANK(I862)),VLOOKUP(TEXT(D862,"TTT"),Stammdaten!$B$20:$F$26,5,FALSE),H862-G862-I862)-IF(ISERROR(VLOOKUP(D862,Stammdaten!$I$9:$J$26,2,FALSE)),0,VLOOKUP(D862,Stammdaten!$I$9:$J$26,2,FALSE)/24)</f>
        <v>0</v>
      </c>
    </row>
    <row r="863" spans="2:10" x14ac:dyDescent="0.3">
      <c r="B863" s="50" t="str">
        <f t="shared" si="28"/>
        <v/>
      </c>
      <c r="C863" s="42" t="str">
        <f t="shared" si="27"/>
        <v/>
      </c>
      <c r="D863" s="60"/>
      <c r="E863" s="63"/>
      <c r="F863" s="61"/>
      <c r="G863" s="62"/>
      <c r="H863" s="62"/>
      <c r="I863" s="62"/>
      <c r="J863" s="49">
        <f>IF(AND(ISBLANK(G863),ISBLANK(H863),ISBLANK(I863)),VLOOKUP(TEXT(D863,"TTT"),Stammdaten!$B$20:$F$26,5,FALSE),H863-G863-I863)-IF(ISERROR(VLOOKUP(D863,Stammdaten!$I$9:$J$26,2,FALSE)),0,VLOOKUP(D863,Stammdaten!$I$9:$J$26,2,FALSE)/24)</f>
        <v>0</v>
      </c>
    </row>
    <row r="864" spans="2:10" x14ac:dyDescent="0.3">
      <c r="B864" s="50" t="str">
        <f t="shared" si="28"/>
        <v/>
      </c>
      <c r="C864" s="42" t="str">
        <f t="shared" si="27"/>
        <v/>
      </c>
      <c r="D864" s="60"/>
      <c r="E864" s="63"/>
      <c r="F864" s="61"/>
      <c r="G864" s="62"/>
      <c r="H864" s="62"/>
      <c r="I864" s="62"/>
      <c r="J864" s="49">
        <f>IF(AND(ISBLANK(G864),ISBLANK(H864),ISBLANK(I864)),VLOOKUP(TEXT(D864,"TTT"),Stammdaten!$B$20:$F$26,5,FALSE),H864-G864-I864)-IF(ISERROR(VLOOKUP(D864,Stammdaten!$I$9:$J$26,2,FALSE)),0,VLOOKUP(D864,Stammdaten!$I$9:$J$26,2,FALSE)/24)</f>
        <v>0</v>
      </c>
    </row>
    <row r="865" spans="2:10" x14ac:dyDescent="0.3">
      <c r="B865" s="50" t="str">
        <f t="shared" si="28"/>
        <v/>
      </c>
      <c r="C865" s="42" t="str">
        <f t="shared" si="27"/>
        <v/>
      </c>
      <c r="D865" s="60"/>
      <c r="E865" s="63"/>
      <c r="F865" s="61"/>
      <c r="G865" s="62"/>
      <c r="H865" s="62"/>
      <c r="I865" s="62"/>
      <c r="J865" s="49">
        <f>IF(AND(ISBLANK(G865),ISBLANK(H865),ISBLANK(I865)),VLOOKUP(TEXT(D865,"TTT"),Stammdaten!$B$20:$F$26,5,FALSE),H865-G865-I865)-IF(ISERROR(VLOOKUP(D865,Stammdaten!$I$9:$J$26,2,FALSE)),0,VLOOKUP(D865,Stammdaten!$I$9:$J$26,2,FALSE)/24)</f>
        <v>0</v>
      </c>
    </row>
    <row r="866" spans="2:10" x14ac:dyDescent="0.3">
      <c r="B866" s="50" t="str">
        <f t="shared" si="28"/>
        <v/>
      </c>
      <c r="C866" s="42" t="str">
        <f t="shared" si="27"/>
        <v/>
      </c>
      <c r="D866" s="60"/>
      <c r="E866" s="63"/>
      <c r="F866" s="61"/>
      <c r="G866" s="62"/>
      <c r="H866" s="62"/>
      <c r="I866" s="62"/>
      <c r="J866" s="49">
        <f>IF(AND(ISBLANK(G866),ISBLANK(H866),ISBLANK(I866)),VLOOKUP(TEXT(D866,"TTT"),Stammdaten!$B$20:$F$26,5,FALSE),H866-G866-I866)-IF(ISERROR(VLOOKUP(D866,Stammdaten!$I$9:$J$26,2,FALSE)),0,VLOOKUP(D866,Stammdaten!$I$9:$J$26,2,FALSE)/24)</f>
        <v>0</v>
      </c>
    </row>
    <row r="867" spans="2:10" x14ac:dyDescent="0.3">
      <c r="B867" s="50" t="str">
        <f t="shared" si="28"/>
        <v/>
      </c>
      <c r="C867" s="42" t="str">
        <f t="shared" si="27"/>
        <v/>
      </c>
      <c r="D867" s="60"/>
      <c r="E867" s="63"/>
      <c r="F867" s="61"/>
      <c r="G867" s="62"/>
      <c r="H867" s="62"/>
      <c r="I867" s="62"/>
      <c r="J867" s="49">
        <f>IF(AND(ISBLANK(G867),ISBLANK(H867),ISBLANK(I867)),VLOOKUP(TEXT(D867,"TTT"),Stammdaten!$B$20:$F$26,5,FALSE),H867-G867-I867)-IF(ISERROR(VLOOKUP(D867,Stammdaten!$I$9:$J$26,2,FALSE)),0,VLOOKUP(D867,Stammdaten!$I$9:$J$26,2,FALSE)/24)</f>
        <v>0</v>
      </c>
    </row>
    <row r="868" spans="2:10" x14ac:dyDescent="0.3">
      <c r="B868" s="50" t="str">
        <f t="shared" si="28"/>
        <v/>
      </c>
      <c r="C868" s="42" t="str">
        <f t="shared" si="27"/>
        <v/>
      </c>
      <c r="D868" s="60"/>
      <c r="E868" s="63"/>
      <c r="F868" s="61"/>
      <c r="G868" s="62"/>
      <c r="H868" s="62"/>
      <c r="I868" s="62"/>
      <c r="J868" s="49">
        <f>IF(AND(ISBLANK(G868),ISBLANK(H868),ISBLANK(I868)),VLOOKUP(TEXT(D868,"TTT"),Stammdaten!$B$20:$F$26,5,FALSE),H868-G868-I868)-IF(ISERROR(VLOOKUP(D868,Stammdaten!$I$9:$J$26,2,FALSE)),0,VLOOKUP(D868,Stammdaten!$I$9:$J$26,2,FALSE)/24)</f>
        <v>0</v>
      </c>
    </row>
    <row r="869" spans="2:10" x14ac:dyDescent="0.3">
      <c r="B869" s="50" t="str">
        <f t="shared" si="28"/>
        <v/>
      </c>
      <c r="C869" s="42" t="str">
        <f t="shared" si="27"/>
        <v/>
      </c>
      <c r="D869" s="60"/>
      <c r="E869" s="63"/>
      <c r="F869" s="61"/>
      <c r="G869" s="62"/>
      <c r="H869" s="62"/>
      <c r="I869" s="62"/>
      <c r="J869" s="49">
        <f>IF(AND(ISBLANK(G869),ISBLANK(H869),ISBLANK(I869)),VLOOKUP(TEXT(D869,"TTT"),Stammdaten!$B$20:$F$26,5,FALSE),H869-G869-I869)-IF(ISERROR(VLOOKUP(D869,Stammdaten!$I$9:$J$26,2,FALSE)),0,VLOOKUP(D869,Stammdaten!$I$9:$J$26,2,FALSE)/24)</f>
        <v>0</v>
      </c>
    </row>
    <row r="870" spans="2:10" x14ac:dyDescent="0.3">
      <c r="B870" s="50" t="str">
        <f t="shared" si="28"/>
        <v/>
      </c>
      <c r="C870" s="42" t="str">
        <f t="shared" si="27"/>
        <v/>
      </c>
      <c r="D870" s="60"/>
      <c r="E870" s="63"/>
      <c r="F870" s="61"/>
      <c r="G870" s="62"/>
      <c r="H870" s="62"/>
      <c r="I870" s="62"/>
      <c r="J870" s="49">
        <f>IF(AND(ISBLANK(G870),ISBLANK(H870),ISBLANK(I870)),VLOOKUP(TEXT(D870,"TTT"),Stammdaten!$B$20:$F$26,5,FALSE),H870-G870-I870)-IF(ISERROR(VLOOKUP(D870,Stammdaten!$I$9:$J$26,2,FALSE)),0,VLOOKUP(D870,Stammdaten!$I$9:$J$26,2,FALSE)/24)</f>
        <v>0</v>
      </c>
    </row>
    <row r="871" spans="2:10" x14ac:dyDescent="0.3">
      <c r="B871" s="50" t="str">
        <f t="shared" si="28"/>
        <v/>
      </c>
      <c r="C871" s="42" t="str">
        <f t="shared" si="27"/>
        <v/>
      </c>
      <c r="D871" s="60"/>
      <c r="E871" s="63"/>
      <c r="F871" s="61"/>
      <c r="G871" s="62"/>
      <c r="H871" s="62"/>
      <c r="I871" s="62"/>
      <c r="J871" s="49">
        <f>IF(AND(ISBLANK(G871),ISBLANK(H871),ISBLANK(I871)),VLOOKUP(TEXT(D871,"TTT"),Stammdaten!$B$20:$F$26,5,FALSE),H871-G871-I871)-IF(ISERROR(VLOOKUP(D871,Stammdaten!$I$9:$J$26,2,FALSE)),0,VLOOKUP(D871,Stammdaten!$I$9:$J$26,2,FALSE)/24)</f>
        <v>0</v>
      </c>
    </row>
    <row r="872" spans="2:10" x14ac:dyDescent="0.3">
      <c r="B872" s="50" t="str">
        <f t="shared" si="28"/>
        <v/>
      </c>
      <c r="C872" s="42" t="str">
        <f t="shared" si="27"/>
        <v/>
      </c>
      <c r="D872" s="60"/>
      <c r="E872" s="63"/>
      <c r="F872" s="61"/>
      <c r="G872" s="62"/>
      <c r="H872" s="62"/>
      <c r="I872" s="62"/>
      <c r="J872" s="49">
        <f>IF(AND(ISBLANK(G872),ISBLANK(H872),ISBLANK(I872)),VLOOKUP(TEXT(D872,"TTT"),Stammdaten!$B$20:$F$26,5,FALSE),H872-G872-I872)-IF(ISERROR(VLOOKUP(D872,Stammdaten!$I$9:$J$26,2,FALSE)),0,VLOOKUP(D872,Stammdaten!$I$9:$J$26,2,FALSE)/24)</f>
        <v>0</v>
      </c>
    </row>
    <row r="873" spans="2:10" x14ac:dyDescent="0.3">
      <c r="B873" s="50" t="str">
        <f t="shared" si="28"/>
        <v/>
      </c>
      <c r="C873" s="42" t="str">
        <f t="shared" si="27"/>
        <v/>
      </c>
      <c r="D873" s="60"/>
      <c r="E873" s="63"/>
      <c r="F873" s="61"/>
      <c r="G873" s="62"/>
      <c r="H873" s="62"/>
      <c r="I873" s="62"/>
      <c r="J873" s="49">
        <f>IF(AND(ISBLANK(G873),ISBLANK(H873),ISBLANK(I873)),VLOOKUP(TEXT(D873,"TTT"),Stammdaten!$B$20:$F$26,5,FALSE),H873-G873-I873)-IF(ISERROR(VLOOKUP(D873,Stammdaten!$I$9:$J$26,2,FALSE)),0,VLOOKUP(D873,Stammdaten!$I$9:$J$26,2,FALSE)/24)</f>
        <v>0</v>
      </c>
    </row>
    <row r="874" spans="2:10" x14ac:dyDescent="0.3">
      <c r="B874" s="50" t="str">
        <f t="shared" si="28"/>
        <v/>
      </c>
      <c r="C874" s="42" t="str">
        <f t="shared" si="27"/>
        <v/>
      </c>
      <c r="D874" s="60"/>
      <c r="E874" s="63"/>
      <c r="F874" s="61"/>
      <c r="G874" s="62"/>
      <c r="H874" s="62"/>
      <c r="I874" s="62"/>
      <c r="J874" s="49">
        <f>IF(AND(ISBLANK(G874),ISBLANK(H874),ISBLANK(I874)),VLOOKUP(TEXT(D874,"TTT"),Stammdaten!$B$20:$F$26,5,FALSE),H874-G874-I874)-IF(ISERROR(VLOOKUP(D874,Stammdaten!$I$9:$J$26,2,FALSE)),0,VLOOKUP(D874,Stammdaten!$I$9:$J$26,2,FALSE)/24)</f>
        <v>0</v>
      </c>
    </row>
    <row r="875" spans="2:10" x14ac:dyDescent="0.3">
      <c r="B875" s="50" t="str">
        <f t="shared" si="28"/>
        <v/>
      </c>
      <c r="C875" s="42" t="str">
        <f t="shared" si="27"/>
        <v/>
      </c>
      <c r="D875" s="60"/>
      <c r="E875" s="63"/>
      <c r="F875" s="61"/>
      <c r="G875" s="62"/>
      <c r="H875" s="62"/>
      <c r="I875" s="62"/>
      <c r="J875" s="49">
        <f>IF(AND(ISBLANK(G875),ISBLANK(H875),ISBLANK(I875)),VLOOKUP(TEXT(D875,"TTT"),Stammdaten!$B$20:$F$26,5,FALSE),H875-G875-I875)-IF(ISERROR(VLOOKUP(D875,Stammdaten!$I$9:$J$26,2,FALSE)),0,VLOOKUP(D875,Stammdaten!$I$9:$J$26,2,FALSE)/24)</f>
        <v>0</v>
      </c>
    </row>
    <row r="876" spans="2:10" x14ac:dyDescent="0.3">
      <c r="B876" s="50" t="str">
        <f t="shared" si="28"/>
        <v/>
      </c>
      <c r="C876" s="42" t="str">
        <f t="shared" si="27"/>
        <v/>
      </c>
      <c r="D876" s="60"/>
      <c r="E876" s="63"/>
      <c r="F876" s="61"/>
      <c r="G876" s="62"/>
      <c r="H876" s="62"/>
      <c r="I876" s="62"/>
      <c r="J876" s="49">
        <f>IF(AND(ISBLANK(G876),ISBLANK(H876),ISBLANK(I876)),VLOOKUP(TEXT(D876,"TTT"),Stammdaten!$B$20:$F$26,5,FALSE),H876-G876-I876)-IF(ISERROR(VLOOKUP(D876,Stammdaten!$I$9:$J$26,2,FALSE)),0,VLOOKUP(D876,Stammdaten!$I$9:$J$26,2,FALSE)/24)</f>
        <v>0</v>
      </c>
    </row>
    <row r="877" spans="2:10" x14ac:dyDescent="0.3">
      <c r="B877" s="50" t="str">
        <f t="shared" si="28"/>
        <v/>
      </c>
      <c r="C877" s="42" t="str">
        <f t="shared" si="27"/>
        <v/>
      </c>
      <c r="D877" s="60"/>
      <c r="E877" s="63"/>
      <c r="F877" s="61"/>
      <c r="G877" s="62"/>
      <c r="H877" s="62"/>
      <c r="I877" s="62"/>
      <c r="J877" s="49">
        <f>IF(AND(ISBLANK(G877),ISBLANK(H877),ISBLANK(I877)),VLOOKUP(TEXT(D877,"TTT"),Stammdaten!$B$20:$F$26,5,FALSE),H877-G877-I877)-IF(ISERROR(VLOOKUP(D877,Stammdaten!$I$9:$J$26,2,FALSE)),0,VLOOKUP(D877,Stammdaten!$I$9:$J$26,2,FALSE)/24)</f>
        <v>0</v>
      </c>
    </row>
    <row r="878" spans="2:10" x14ac:dyDescent="0.3">
      <c r="B878" s="50" t="str">
        <f t="shared" si="28"/>
        <v/>
      </c>
      <c r="C878" s="42" t="str">
        <f t="shared" si="27"/>
        <v/>
      </c>
      <c r="D878" s="60"/>
      <c r="E878" s="63"/>
      <c r="F878" s="61"/>
      <c r="G878" s="62"/>
      <c r="H878" s="62"/>
      <c r="I878" s="62"/>
      <c r="J878" s="49">
        <f>IF(AND(ISBLANK(G878),ISBLANK(H878),ISBLANK(I878)),VLOOKUP(TEXT(D878,"TTT"),Stammdaten!$B$20:$F$26,5,FALSE),H878-G878-I878)-IF(ISERROR(VLOOKUP(D878,Stammdaten!$I$9:$J$26,2,FALSE)),0,VLOOKUP(D878,Stammdaten!$I$9:$J$26,2,FALSE)/24)</f>
        <v>0</v>
      </c>
    </row>
    <row r="879" spans="2:10" x14ac:dyDescent="0.3">
      <c r="B879" s="50" t="str">
        <f t="shared" si="28"/>
        <v/>
      </c>
      <c r="C879" s="42" t="str">
        <f t="shared" si="27"/>
        <v/>
      </c>
      <c r="D879" s="60"/>
      <c r="E879" s="63"/>
      <c r="F879" s="61"/>
      <c r="G879" s="62"/>
      <c r="H879" s="62"/>
      <c r="I879" s="62"/>
      <c r="J879" s="49">
        <f>IF(AND(ISBLANK(G879),ISBLANK(H879),ISBLANK(I879)),VLOOKUP(TEXT(D879,"TTT"),Stammdaten!$B$20:$F$26,5,FALSE),H879-G879-I879)-IF(ISERROR(VLOOKUP(D879,Stammdaten!$I$9:$J$26,2,FALSE)),0,VLOOKUP(D879,Stammdaten!$I$9:$J$26,2,FALSE)/24)</f>
        <v>0</v>
      </c>
    </row>
    <row r="880" spans="2:10" x14ac:dyDescent="0.3">
      <c r="B880" s="50" t="str">
        <f t="shared" si="28"/>
        <v/>
      </c>
      <c r="C880" s="42" t="str">
        <f t="shared" si="27"/>
        <v/>
      </c>
      <c r="D880" s="60"/>
      <c r="E880" s="63"/>
      <c r="F880" s="61"/>
      <c r="G880" s="62"/>
      <c r="H880" s="62"/>
      <c r="I880" s="62"/>
      <c r="J880" s="49">
        <f>IF(AND(ISBLANK(G880),ISBLANK(H880),ISBLANK(I880)),VLOOKUP(TEXT(D880,"TTT"),Stammdaten!$B$20:$F$26,5,FALSE),H880-G880-I880)-IF(ISERROR(VLOOKUP(D880,Stammdaten!$I$9:$J$26,2,FALSE)),0,VLOOKUP(D880,Stammdaten!$I$9:$J$26,2,FALSE)/24)</f>
        <v>0</v>
      </c>
    </row>
    <row r="881" spans="2:10" x14ac:dyDescent="0.3">
      <c r="B881" s="50" t="str">
        <f t="shared" si="28"/>
        <v/>
      </c>
      <c r="C881" s="42" t="str">
        <f t="shared" si="27"/>
        <v/>
      </c>
      <c r="D881" s="60"/>
      <c r="E881" s="63"/>
      <c r="F881" s="61"/>
      <c r="G881" s="62"/>
      <c r="H881" s="62"/>
      <c r="I881" s="62"/>
      <c r="J881" s="49">
        <f>IF(AND(ISBLANK(G881),ISBLANK(H881),ISBLANK(I881)),VLOOKUP(TEXT(D881,"TTT"),Stammdaten!$B$20:$F$26,5,FALSE),H881-G881-I881)-IF(ISERROR(VLOOKUP(D881,Stammdaten!$I$9:$J$26,2,FALSE)),0,VLOOKUP(D881,Stammdaten!$I$9:$J$26,2,FALSE)/24)</f>
        <v>0</v>
      </c>
    </row>
    <row r="882" spans="2:10" x14ac:dyDescent="0.3">
      <c r="B882" s="50" t="str">
        <f t="shared" si="28"/>
        <v/>
      </c>
      <c r="C882" s="42" t="str">
        <f t="shared" si="27"/>
        <v/>
      </c>
      <c r="D882" s="60"/>
      <c r="E882" s="63"/>
      <c r="F882" s="61"/>
      <c r="G882" s="62"/>
      <c r="H882" s="62"/>
      <c r="I882" s="62"/>
      <c r="J882" s="49">
        <f>IF(AND(ISBLANK(G882),ISBLANK(H882),ISBLANK(I882)),VLOOKUP(TEXT(D882,"TTT"),Stammdaten!$B$20:$F$26,5,FALSE),H882-G882-I882)-IF(ISERROR(VLOOKUP(D882,Stammdaten!$I$9:$J$26,2,FALSE)),0,VLOOKUP(D882,Stammdaten!$I$9:$J$26,2,FALSE)/24)</f>
        <v>0</v>
      </c>
    </row>
    <row r="883" spans="2:10" x14ac:dyDescent="0.3">
      <c r="B883" s="50" t="str">
        <f t="shared" si="28"/>
        <v/>
      </c>
      <c r="C883" s="42" t="str">
        <f t="shared" si="27"/>
        <v/>
      </c>
      <c r="D883" s="60"/>
      <c r="E883" s="63"/>
      <c r="F883" s="61"/>
      <c r="G883" s="62"/>
      <c r="H883" s="62"/>
      <c r="I883" s="62"/>
      <c r="J883" s="49">
        <f>IF(AND(ISBLANK(G883),ISBLANK(H883),ISBLANK(I883)),VLOOKUP(TEXT(D883,"TTT"),Stammdaten!$B$20:$F$26,5,FALSE),H883-G883-I883)-IF(ISERROR(VLOOKUP(D883,Stammdaten!$I$9:$J$26,2,FALSE)),0,VLOOKUP(D883,Stammdaten!$I$9:$J$26,2,FALSE)/24)</f>
        <v>0</v>
      </c>
    </row>
    <row r="884" spans="2:10" x14ac:dyDescent="0.3">
      <c r="B884" s="50" t="str">
        <f t="shared" si="28"/>
        <v/>
      </c>
      <c r="C884" s="42" t="str">
        <f t="shared" si="27"/>
        <v/>
      </c>
      <c r="D884" s="60"/>
      <c r="E884" s="63"/>
      <c r="F884" s="61"/>
      <c r="G884" s="62"/>
      <c r="H884" s="62"/>
      <c r="I884" s="62"/>
      <c r="J884" s="49">
        <f>IF(AND(ISBLANK(G884),ISBLANK(H884),ISBLANK(I884)),VLOOKUP(TEXT(D884,"TTT"),Stammdaten!$B$20:$F$26,5,FALSE),H884-G884-I884)-IF(ISERROR(VLOOKUP(D884,Stammdaten!$I$9:$J$26,2,FALSE)),0,VLOOKUP(D884,Stammdaten!$I$9:$J$26,2,FALSE)/24)</f>
        <v>0</v>
      </c>
    </row>
    <row r="885" spans="2:10" x14ac:dyDescent="0.3">
      <c r="B885" s="50" t="str">
        <f t="shared" si="28"/>
        <v/>
      </c>
      <c r="C885" s="42" t="str">
        <f t="shared" si="27"/>
        <v/>
      </c>
      <c r="D885" s="60"/>
      <c r="E885" s="63"/>
      <c r="F885" s="61"/>
      <c r="G885" s="62"/>
      <c r="H885" s="62"/>
      <c r="I885" s="62"/>
      <c r="J885" s="49">
        <f>IF(AND(ISBLANK(G885),ISBLANK(H885),ISBLANK(I885)),VLOOKUP(TEXT(D885,"TTT"),Stammdaten!$B$20:$F$26,5,FALSE),H885-G885-I885)-IF(ISERROR(VLOOKUP(D885,Stammdaten!$I$9:$J$26,2,FALSE)),0,VLOOKUP(D885,Stammdaten!$I$9:$J$26,2,FALSE)/24)</f>
        <v>0</v>
      </c>
    </row>
    <row r="886" spans="2:10" x14ac:dyDescent="0.3">
      <c r="B886" s="50" t="str">
        <f t="shared" si="28"/>
        <v/>
      </c>
      <c r="C886" s="42" t="str">
        <f t="shared" si="27"/>
        <v/>
      </c>
      <c r="D886" s="60"/>
      <c r="E886" s="63"/>
      <c r="F886" s="61"/>
      <c r="G886" s="62"/>
      <c r="H886" s="62"/>
      <c r="I886" s="62"/>
      <c r="J886" s="49">
        <f>IF(AND(ISBLANK(G886),ISBLANK(H886),ISBLANK(I886)),VLOOKUP(TEXT(D886,"TTT"),Stammdaten!$B$20:$F$26,5,FALSE),H886-G886-I886)-IF(ISERROR(VLOOKUP(D886,Stammdaten!$I$9:$J$26,2,FALSE)),0,VLOOKUP(D886,Stammdaten!$I$9:$J$26,2,FALSE)/24)</f>
        <v>0</v>
      </c>
    </row>
    <row r="887" spans="2:10" x14ac:dyDescent="0.3">
      <c r="B887" s="50" t="str">
        <f t="shared" si="28"/>
        <v/>
      </c>
      <c r="C887" s="42" t="str">
        <f t="shared" si="27"/>
        <v/>
      </c>
      <c r="D887" s="60"/>
      <c r="E887" s="63"/>
      <c r="F887" s="61"/>
      <c r="G887" s="62"/>
      <c r="H887" s="62"/>
      <c r="I887" s="62"/>
      <c r="J887" s="49">
        <f>IF(AND(ISBLANK(G887),ISBLANK(H887),ISBLANK(I887)),VLOOKUP(TEXT(D887,"TTT"),Stammdaten!$B$20:$F$26,5,FALSE),H887-G887-I887)-IF(ISERROR(VLOOKUP(D887,Stammdaten!$I$9:$J$26,2,FALSE)),0,VLOOKUP(D887,Stammdaten!$I$9:$J$26,2,FALSE)/24)</f>
        <v>0</v>
      </c>
    </row>
    <row r="888" spans="2:10" x14ac:dyDescent="0.3">
      <c r="B888" s="50" t="str">
        <f t="shared" si="28"/>
        <v/>
      </c>
      <c r="C888" s="42" t="str">
        <f t="shared" si="27"/>
        <v/>
      </c>
      <c r="D888" s="60"/>
      <c r="E888" s="63"/>
      <c r="F888" s="61"/>
      <c r="G888" s="62"/>
      <c r="H888" s="62"/>
      <c r="I888" s="62"/>
      <c r="J888" s="49">
        <f>IF(AND(ISBLANK(G888),ISBLANK(H888),ISBLANK(I888)),VLOOKUP(TEXT(D888,"TTT"),Stammdaten!$B$20:$F$26,5,FALSE),H888-G888-I888)-IF(ISERROR(VLOOKUP(D888,Stammdaten!$I$9:$J$26,2,FALSE)),0,VLOOKUP(D888,Stammdaten!$I$9:$J$26,2,FALSE)/24)</f>
        <v>0</v>
      </c>
    </row>
    <row r="889" spans="2:10" x14ac:dyDescent="0.3">
      <c r="B889" s="50" t="str">
        <f t="shared" si="28"/>
        <v/>
      </c>
      <c r="C889" s="42" t="str">
        <f t="shared" si="27"/>
        <v/>
      </c>
      <c r="D889" s="60"/>
      <c r="E889" s="63"/>
      <c r="F889" s="61"/>
      <c r="G889" s="62"/>
      <c r="H889" s="62"/>
      <c r="I889" s="62"/>
      <c r="J889" s="49">
        <f>IF(AND(ISBLANK(G889),ISBLANK(H889),ISBLANK(I889)),VLOOKUP(TEXT(D889,"TTT"),Stammdaten!$B$20:$F$26,5,FALSE),H889-G889-I889)-IF(ISERROR(VLOOKUP(D889,Stammdaten!$I$9:$J$26,2,FALSE)),0,VLOOKUP(D889,Stammdaten!$I$9:$J$26,2,FALSE)/24)</f>
        <v>0</v>
      </c>
    </row>
    <row r="890" spans="2:10" x14ac:dyDescent="0.3">
      <c r="B890" s="50" t="str">
        <f t="shared" si="28"/>
        <v/>
      </c>
      <c r="C890" s="42" t="str">
        <f t="shared" si="27"/>
        <v/>
      </c>
      <c r="D890" s="60"/>
      <c r="E890" s="63"/>
      <c r="F890" s="61"/>
      <c r="G890" s="62"/>
      <c r="H890" s="62"/>
      <c r="I890" s="62"/>
      <c r="J890" s="49">
        <f>IF(AND(ISBLANK(G890),ISBLANK(H890),ISBLANK(I890)),VLOOKUP(TEXT(D890,"TTT"),Stammdaten!$B$20:$F$26,5,FALSE),H890-G890-I890)-IF(ISERROR(VLOOKUP(D890,Stammdaten!$I$9:$J$26,2,FALSE)),0,VLOOKUP(D890,Stammdaten!$I$9:$J$26,2,FALSE)/24)</f>
        <v>0</v>
      </c>
    </row>
    <row r="891" spans="2:10" x14ac:dyDescent="0.3">
      <c r="B891" s="50" t="str">
        <f t="shared" si="28"/>
        <v/>
      </c>
      <c r="C891" s="42" t="str">
        <f t="shared" si="27"/>
        <v/>
      </c>
      <c r="D891" s="60"/>
      <c r="E891" s="63"/>
      <c r="F891" s="61"/>
      <c r="G891" s="62"/>
      <c r="H891" s="62"/>
      <c r="I891" s="62"/>
      <c r="J891" s="49">
        <f>IF(AND(ISBLANK(G891),ISBLANK(H891),ISBLANK(I891)),VLOOKUP(TEXT(D891,"TTT"),Stammdaten!$B$20:$F$26,5,FALSE),H891-G891-I891)-IF(ISERROR(VLOOKUP(D891,Stammdaten!$I$9:$J$26,2,FALSE)),0,VLOOKUP(D891,Stammdaten!$I$9:$J$26,2,FALSE)/24)</f>
        <v>0</v>
      </c>
    </row>
    <row r="892" spans="2:10" x14ac:dyDescent="0.3">
      <c r="B892" s="50" t="str">
        <f t="shared" si="28"/>
        <v/>
      </c>
      <c r="C892" s="42" t="str">
        <f t="shared" si="27"/>
        <v/>
      </c>
      <c r="D892" s="60"/>
      <c r="E892" s="63"/>
      <c r="F892" s="61"/>
      <c r="G892" s="62"/>
      <c r="H892" s="62"/>
      <c r="I892" s="62"/>
      <c r="J892" s="49">
        <f>IF(AND(ISBLANK(G892),ISBLANK(H892),ISBLANK(I892)),VLOOKUP(TEXT(D892,"TTT"),Stammdaten!$B$20:$F$26,5,FALSE),H892-G892-I892)-IF(ISERROR(VLOOKUP(D892,Stammdaten!$I$9:$J$26,2,FALSE)),0,VLOOKUP(D892,Stammdaten!$I$9:$J$26,2,FALSE)/24)</f>
        <v>0</v>
      </c>
    </row>
    <row r="893" spans="2:10" x14ac:dyDescent="0.3">
      <c r="B893" s="50" t="str">
        <f t="shared" si="28"/>
        <v/>
      </c>
      <c r="C893" s="42" t="str">
        <f t="shared" si="27"/>
        <v/>
      </c>
      <c r="D893" s="60"/>
      <c r="E893" s="63"/>
      <c r="F893" s="61"/>
      <c r="G893" s="62"/>
      <c r="H893" s="62"/>
      <c r="I893" s="62"/>
      <c r="J893" s="49">
        <f>IF(AND(ISBLANK(G893),ISBLANK(H893),ISBLANK(I893)),VLOOKUP(TEXT(D893,"TTT"),Stammdaten!$B$20:$F$26,5,FALSE),H893-G893-I893)-IF(ISERROR(VLOOKUP(D893,Stammdaten!$I$9:$J$26,2,FALSE)),0,VLOOKUP(D893,Stammdaten!$I$9:$J$26,2,FALSE)/24)</f>
        <v>0</v>
      </c>
    </row>
    <row r="894" spans="2:10" x14ac:dyDescent="0.3">
      <c r="B894" s="50" t="str">
        <f t="shared" si="28"/>
        <v/>
      </c>
      <c r="C894" s="42" t="str">
        <f t="shared" si="27"/>
        <v/>
      </c>
      <c r="D894" s="60"/>
      <c r="E894" s="63"/>
      <c r="F894" s="61"/>
      <c r="G894" s="62"/>
      <c r="H894" s="62"/>
      <c r="I894" s="62"/>
      <c r="J894" s="49">
        <f>IF(AND(ISBLANK(G894),ISBLANK(H894),ISBLANK(I894)),VLOOKUP(TEXT(D894,"TTT"),Stammdaten!$B$20:$F$26,5,FALSE),H894-G894-I894)-IF(ISERROR(VLOOKUP(D894,Stammdaten!$I$9:$J$26,2,FALSE)),0,VLOOKUP(D894,Stammdaten!$I$9:$J$26,2,FALSE)/24)</f>
        <v>0</v>
      </c>
    </row>
    <row r="895" spans="2:10" x14ac:dyDescent="0.3">
      <c r="B895" s="50" t="str">
        <f t="shared" si="28"/>
        <v/>
      </c>
      <c r="C895" s="42" t="str">
        <f t="shared" si="27"/>
        <v/>
      </c>
      <c r="D895" s="60"/>
      <c r="E895" s="63"/>
      <c r="F895" s="61"/>
      <c r="G895" s="62"/>
      <c r="H895" s="62"/>
      <c r="I895" s="62"/>
      <c r="J895" s="49">
        <f>IF(AND(ISBLANK(G895),ISBLANK(H895),ISBLANK(I895)),VLOOKUP(TEXT(D895,"TTT"),Stammdaten!$B$20:$F$26,5,FALSE),H895-G895-I895)-IF(ISERROR(VLOOKUP(D895,Stammdaten!$I$9:$J$26,2,FALSE)),0,VLOOKUP(D895,Stammdaten!$I$9:$J$26,2,FALSE)/24)</f>
        <v>0</v>
      </c>
    </row>
    <row r="896" spans="2:10" x14ac:dyDescent="0.3">
      <c r="B896" s="50" t="str">
        <f t="shared" si="28"/>
        <v/>
      </c>
      <c r="C896" s="42" t="str">
        <f t="shared" si="27"/>
        <v/>
      </c>
      <c r="D896" s="60"/>
      <c r="E896" s="63"/>
      <c r="F896" s="61"/>
      <c r="G896" s="62"/>
      <c r="H896" s="62"/>
      <c r="I896" s="62"/>
      <c r="J896" s="49">
        <f>IF(AND(ISBLANK(G896),ISBLANK(H896),ISBLANK(I896)),VLOOKUP(TEXT(D896,"TTT"),Stammdaten!$B$20:$F$26,5,FALSE),H896-G896-I896)-IF(ISERROR(VLOOKUP(D896,Stammdaten!$I$9:$J$26,2,FALSE)),0,VLOOKUP(D896,Stammdaten!$I$9:$J$26,2,FALSE)/24)</f>
        <v>0</v>
      </c>
    </row>
    <row r="897" spans="2:10" x14ac:dyDescent="0.3">
      <c r="B897" s="50" t="str">
        <f t="shared" si="28"/>
        <v/>
      </c>
      <c r="C897" s="42" t="str">
        <f t="shared" si="27"/>
        <v/>
      </c>
      <c r="D897" s="60"/>
      <c r="E897" s="63"/>
      <c r="F897" s="61"/>
      <c r="G897" s="62"/>
      <c r="H897" s="62"/>
      <c r="I897" s="62"/>
      <c r="J897" s="49">
        <f>IF(AND(ISBLANK(G897),ISBLANK(H897),ISBLANK(I897)),VLOOKUP(TEXT(D897,"TTT"),Stammdaten!$B$20:$F$26,5,FALSE),H897-G897-I897)-IF(ISERROR(VLOOKUP(D897,Stammdaten!$I$9:$J$26,2,FALSE)),0,VLOOKUP(D897,Stammdaten!$I$9:$J$26,2,FALSE)/24)</f>
        <v>0</v>
      </c>
    </row>
    <row r="898" spans="2:10" x14ac:dyDescent="0.3">
      <c r="B898" s="50" t="str">
        <f t="shared" si="28"/>
        <v/>
      </c>
      <c r="C898" s="42" t="str">
        <f t="shared" ref="C898:C961" si="29">IF(D898="","",D898)</f>
        <v/>
      </c>
      <c r="D898" s="60"/>
      <c r="E898" s="63"/>
      <c r="F898" s="61"/>
      <c r="G898" s="62"/>
      <c r="H898" s="62"/>
      <c r="I898" s="62"/>
      <c r="J898" s="49">
        <f>IF(AND(ISBLANK(G898),ISBLANK(H898),ISBLANK(I898)),VLOOKUP(TEXT(D898,"TTT"),Stammdaten!$B$20:$F$26,5,FALSE),H898-G898-I898)-IF(ISERROR(VLOOKUP(D898,Stammdaten!$I$9:$J$26,2,FALSE)),0,VLOOKUP(D898,Stammdaten!$I$9:$J$26,2,FALSE)/24)</f>
        <v>0</v>
      </c>
    </row>
    <row r="899" spans="2:10" x14ac:dyDescent="0.3">
      <c r="B899" s="50" t="str">
        <f t="shared" si="28"/>
        <v/>
      </c>
      <c r="C899" s="42" t="str">
        <f t="shared" si="29"/>
        <v/>
      </c>
      <c r="D899" s="60"/>
      <c r="E899" s="63"/>
      <c r="F899" s="61"/>
      <c r="G899" s="62"/>
      <c r="H899" s="62"/>
      <c r="I899" s="62"/>
      <c r="J899" s="49">
        <f>IF(AND(ISBLANK(G899),ISBLANK(H899),ISBLANK(I899)),VLOOKUP(TEXT(D899,"TTT"),Stammdaten!$B$20:$F$26,5,FALSE),H899-G899-I899)-IF(ISERROR(VLOOKUP(D899,Stammdaten!$I$9:$J$26,2,FALSE)),0,VLOOKUP(D899,Stammdaten!$I$9:$J$26,2,FALSE)/24)</f>
        <v>0</v>
      </c>
    </row>
    <row r="900" spans="2:10" x14ac:dyDescent="0.3">
      <c r="B900" s="50" t="str">
        <f t="shared" ref="B900:B963" si="30">IF(ISBLANK(E900),"",VLOOKUP(E900,$L$2:$M$11,2,FALSE))</f>
        <v/>
      </c>
      <c r="C900" s="42" t="str">
        <f t="shared" si="29"/>
        <v/>
      </c>
      <c r="D900" s="60"/>
      <c r="E900" s="63"/>
      <c r="F900" s="61"/>
      <c r="G900" s="62"/>
      <c r="H900" s="62"/>
      <c r="I900" s="62"/>
      <c r="J900" s="49">
        <f>IF(AND(ISBLANK(G900),ISBLANK(H900),ISBLANK(I900)),VLOOKUP(TEXT(D900,"TTT"),Stammdaten!$B$20:$F$26,5,FALSE),H900-G900-I900)-IF(ISERROR(VLOOKUP(D900,Stammdaten!$I$9:$J$26,2,FALSE)),0,VLOOKUP(D900,Stammdaten!$I$9:$J$26,2,FALSE)/24)</f>
        <v>0</v>
      </c>
    </row>
    <row r="901" spans="2:10" x14ac:dyDescent="0.3">
      <c r="B901" s="50" t="str">
        <f t="shared" si="30"/>
        <v/>
      </c>
      <c r="C901" s="42" t="str">
        <f t="shared" si="29"/>
        <v/>
      </c>
      <c r="D901" s="60"/>
      <c r="E901" s="63"/>
      <c r="F901" s="61"/>
      <c r="G901" s="62"/>
      <c r="H901" s="62"/>
      <c r="I901" s="62"/>
      <c r="J901" s="49">
        <f>IF(AND(ISBLANK(G901),ISBLANK(H901),ISBLANK(I901)),VLOOKUP(TEXT(D901,"TTT"),Stammdaten!$B$20:$F$26,5,FALSE),H901-G901-I901)-IF(ISERROR(VLOOKUP(D901,Stammdaten!$I$9:$J$26,2,FALSE)),0,VLOOKUP(D901,Stammdaten!$I$9:$J$26,2,FALSE)/24)</f>
        <v>0</v>
      </c>
    </row>
    <row r="902" spans="2:10" x14ac:dyDescent="0.3">
      <c r="B902" s="50" t="str">
        <f t="shared" si="30"/>
        <v/>
      </c>
      <c r="C902" s="42" t="str">
        <f t="shared" si="29"/>
        <v/>
      </c>
      <c r="D902" s="60"/>
      <c r="E902" s="63"/>
      <c r="F902" s="61"/>
      <c r="G902" s="62"/>
      <c r="H902" s="62"/>
      <c r="I902" s="62"/>
      <c r="J902" s="49">
        <f>IF(AND(ISBLANK(G902),ISBLANK(H902),ISBLANK(I902)),VLOOKUP(TEXT(D902,"TTT"),Stammdaten!$B$20:$F$26,5,FALSE),H902-G902-I902)-IF(ISERROR(VLOOKUP(D902,Stammdaten!$I$9:$J$26,2,FALSE)),0,VLOOKUP(D902,Stammdaten!$I$9:$J$26,2,FALSE)/24)</f>
        <v>0</v>
      </c>
    </row>
    <row r="903" spans="2:10" x14ac:dyDescent="0.3">
      <c r="B903" s="50" t="str">
        <f t="shared" si="30"/>
        <v/>
      </c>
      <c r="C903" s="42" t="str">
        <f t="shared" si="29"/>
        <v/>
      </c>
      <c r="D903" s="60"/>
      <c r="E903" s="63"/>
      <c r="F903" s="61"/>
      <c r="G903" s="62"/>
      <c r="H903" s="62"/>
      <c r="I903" s="62"/>
      <c r="J903" s="49">
        <f>IF(AND(ISBLANK(G903),ISBLANK(H903),ISBLANK(I903)),VLOOKUP(TEXT(D903,"TTT"),Stammdaten!$B$20:$F$26,5,FALSE),H903-G903-I903)-IF(ISERROR(VLOOKUP(D903,Stammdaten!$I$9:$J$26,2,FALSE)),0,VLOOKUP(D903,Stammdaten!$I$9:$J$26,2,FALSE)/24)</f>
        <v>0</v>
      </c>
    </row>
    <row r="904" spans="2:10" x14ac:dyDescent="0.3">
      <c r="B904" s="50" t="str">
        <f t="shared" si="30"/>
        <v/>
      </c>
      <c r="C904" s="42" t="str">
        <f t="shared" si="29"/>
        <v/>
      </c>
      <c r="D904" s="60"/>
      <c r="E904" s="63"/>
      <c r="F904" s="61"/>
      <c r="G904" s="62"/>
      <c r="H904" s="62"/>
      <c r="I904" s="62"/>
      <c r="J904" s="49">
        <f>IF(AND(ISBLANK(G904),ISBLANK(H904),ISBLANK(I904)),VLOOKUP(TEXT(D904,"TTT"),Stammdaten!$B$20:$F$26,5,FALSE),H904-G904-I904)-IF(ISERROR(VLOOKUP(D904,Stammdaten!$I$9:$J$26,2,FALSE)),0,VLOOKUP(D904,Stammdaten!$I$9:$J$26,2,FALSE)/24)</f>
        <v>0</v>
      </c>
    </row>
    <row r="905" spans="2:10" x14ac:dyDescent="0.3">
      <c r="B905" s="50" t="str">
        <f t="shared" si="30"/>
        <v/>
      </c>
      <c r="C905" s="42" t="str">
        <f t="shared" si="29"/>
        <v/>
      </c>
      <c r="D905" s="60"/>
      <c r="E905" s="63"/>
      <c r="F905" s="61"/>
      <c r="G905" s="62"/>
      <c r="H905" s="62"/>
      <c r="I905" s="62"/>
      <c r="J905" s="49">
        <f>IF(AND(ISBLANK(G905),ISBLANK(H905),ISBLANK(I905)),VLOOKUP(TEXT(D905,"TTT"),Stammdaten!$B$20:$F$26,5,FALSE),H905-G905-I905)-IF(ISERROR(VLOOKUP(D905,Stammdaten!$I$9:$J$26,2,FALSE)),0,VLOOKUP(D905,Stammdaten!$I$9:$J$26,2,FALSE)/24)</f>
        <v>0</v>
      </c>
    </row>
    <row r="906" spans="2:10" x14ac:dyDescent="0.3">
      <c r="B906" s="50" t="str">
        <f t="shared" si="30"/>
        <v/>
      </c>
      <c r="C906" s="42" t="str">
        <f t="shared" si="29"/>
        <v/>
      </c>
      <c r="D906" s="60"/>
      <c r="E906" s="63"/>
      <c r="F906" s="61"/>
      <c r="G906" s="62"/>
      <c r="H906" s="62"/>
      <c r="I906" s="62"/>
      <c r="J906" s="49">
        <f>IF(AND(ISBLANK(G906),ISBLANK(H906),ISBLANK(I906)),VLOOKUP(TEXT(D906,"TTT"),Stammdaten!$B$20:$F$26,5,FALSE),H906-G906-I906)-IF(ISERROR(VLOOKUP(D906,Stammdaten!$I$9:$J$26,2,FALSE)),0,VLOOKUP(D906,Stammdaten!$I$9:$J$26,2,FALSE)/24)</f>
        <v>0</v>
      </c>
    </row>
    <row r="907" spans="2:10" x14ac:dyDescent="0.3">
      <c r="B907" s="50" t="str">
        <f t="shared" si="30"/>
        <v/>
      </c>
      <c r="C907" s="42" t="str">
        <f t="shared" si="29"/>
        <v/>
      </c>
      <c r="D907" s="60"/>
      <c r="E907" s="63"/>
      <c r="F907" s="61"/>
      <c r="G907" s="62"/>
      <c r="H907" s="62"/>
      <c r="I907" s="62"/>
      <c r="J907" s="49">
        <f>IF(AND(ISBLANK(G907),ISBLANK(H907),ISBLANK(I907)),VLOOKUP(TEXT(D907,"TTT"),Stammdaten!$B$20:$F$26,5,FALSE),H907-G907-I907)-IF(ISERROR(VLOOKUP(D907,Stammdaten!$I$9:$J$26,2,FALSE)),0,VLOOKUP(D907,Stammdaten!$I$9:$J$26,2,FALSE)/24)</f>
        <v>0</v>
      </c>
    </row>
    <row r="908" spans="2:10" x14ac:dyDescent="0.3">
      <c r="B908" s="50" t="str">
        <f t="shared" si="30"/>
        <v/>
      </c>
      <c r="C908" s="42" t="str">
        <f t="shared" si="29"/>
        <v/>
      </c>
      <c r="D908" s="60"/>
      <c r="E908" s="63"/>
      <c r="F908" s="61"/>
      <c r="G908" s="62"/>
      <c r="H908" s="62"/>
      <c r="I908" s="62"/>
      <c r="J908" s="49">
        <f>IF(AND(ISBLANK(G908),ISBLANK(H908),ISBLANK(I908)),VLOOKUP(TEXT(D908,"TTT"),Stammdaten!$B$20:$F$26,5,FALSE),H908-G908-I908)-IF(ISERROR(VLOOKUP(D908,Stammdaten!$I$9:$J$26,2,FALSE)),0,VLOOKUP(D908,Stammdaten!$I$9:$J$26,2,FALSE)/24)</f>
        <v>0</v>
      </c>
    </row>
    <row r="909" spans="2:10" x14ac:dyDescent="0.3">
      <c r="B909" s="50" t="str">
        <f t="shared" si="30"/>
        <v/>
      </c>
      <c r="C909" s="42" t="str">
        <f t="shared" si="29"/>
        <v/>
      </c>
      <c r="D909" s="60"/>
      <c r="E909" s="63"/>
      <c r="F909" s="61"/>
      <c r="G909" s="62"/>
      <c r="H909" s="62"/>
      <c r="I909" s="62"/>
      <c r="J909" s="49">
        <f>IF(AND(ISBLANK(G909),ISBLANK(H909),ISBLANK(I909)),VLOOKUP(TEXT(D909,"TTT"),Stammdaten!$B$20:$F$26,5,FALSE),H909-G909-I909)-IF(ISERROR(VLOOKUP(D909,Stammdaten!$I$9:$J$26,2,FALSE)),0,VLOOKUP(D909,Stammdaten!$I$9:$J$26,2,FALSE)/24)</f>
        <v>0</v>
      </c>
    </row>
    <row r="910" spans="2:10" x14ac:dyDescent="0.3">
      <c r="B910" s="50" t="str">
        <f t="shared" si="30"/>
        <v/>
      </c>
      <c r="C910" s="42" t="str">
        <f t="shared" si="29"/>
        <v/>
      </c>
      <c r="D910" s="60"/>
      <c r="E910" s="63"/>
      <c r="F910" s="61"/>
      <c r="G910" s="62"/>
      <c r="H910" s="62"/>
      <c r="I910" s="62"/>
      <c r="J910" s="49">
        <f>IF(AND(ISBLANK(G910),ISBLANK(H910),ISBLANK(I910)),VLOOKUP(TEXT(D910,"TTT"),Stammdaten!$B$20:$F$26,5,FALSE),H910-G910-I910)-IF(ISERROR(VLOOKUP(D910,Stammdaten!$I$9:$J$26,2,FALSE)),0,VLOOKUP(D910,Stammdaten!$I$9:$J$26,2,FALSE)/24)</f>
        <v>0</v>
      </c>
    </row>
    <row r="911" spans="2:10" x14ac:dyDescent="0.3">
      <c r="B911" s="50" t="str">
        <f t="shared" si="30"/>
        <v/>
      </c>
      <c r="C911" s="42" t="str">
        <f t="shared" si="29"/>
        <v/>
      </c>
      <c r="D911" s="60"/>
      <c r="E911" s="63"/>
      <c r="F911" s="61"/>
      <c r="G911" s="62"/>
      <c r="H911" s="62"/>
      <c r="I911" s="62"/>
      <c r="J911" s="49">
        <f>IF(AND(ISBLANK(G911),ISBLANK(H911),ISBLANK(I911)),VLOOKUP(TEXT(D911,"TTT"),Stammdaten!$B$20:$F$26,5,FALSE),H911-G911-I911)-IF(ISERROR(VLOOKUP(D911,Stammdaten!$I$9:$J$26,2,FALSE)),0,VLOOKUP(D911,Stammdaten!$I$9:$J$26,2,FALSE)/24)</f>
        <v>0</v>
      </c>
    </row>
    <row r="912" spans="2:10" x14ac:dyDescent="0.3">
      <c r="B912" s="50" t="str">
        <f t="shared" si="30"/>
        <v/>
      </c>
      <c r="C912" s="42" t="str">
        <f t="shared" si="29"/>
        <v/>
      </c>
      <c r="D912" s="60"/>
      <c r="E912" s="63"/>
      <c r="F912" s="61"/>
      <c r="G912" s="62"/>
      <c r="H912" s="62"/>
      <c r="I912" s="62"/>
      <c r="J912" s="49">
        <f>IF(AND(ISBLANK(G912),ISBLANK(H912),ISBLANK(I912)),VLOOKUP(TEXT(D912,"TTT"),Stammdaten!$B$20:$F$26,5,FALSE),H912-G912-I912)-IF(ISERROR(VLOOKUP(D912,Stammdaten!$I$9:$J$26,2,FALSE)),0,VLOOKUP(D912,Stammdaten!$I$9:$J$26,2,FALSE)/24)</f>
        <v>0</v>
      </c>
    </row>
    <row r="913" spans="2:10" x14ac:dyDescent="0.3">
      <c r="B913" s="50" t="str">
        <f t="shared" si="30"/>
        <v/>
      </c>
      <c r="C913" s="42" t="str">
        <f t="shared" si="29"/>
        <v/>
      </c>
      <c r="D913" s="60"/>
      <c r="E913" s="63"/>
      <c r="F913" s="61"/>
      <c r="G913" s="62"/>
      <c r="H913" s="62"/>
      <c r="I913" s="62"/>
      <c r="J913" s="49">
        <f>IF(AND(ISBLANK(G913),ISBLANK(H913),ISBLANK(I913)),VLOOKUP(TEXT(D913,"TTT"),Stammdaten!$B$20:$F$26,5,FALSE),H913-G913-I913)-IF(ISERROR(VLOOKUP(D913,Stammdaten!$I$9:$J$26,2,FALSE)),0,VLOOKUP(D913,Stammdaten!$I$9:$J$26,2,FALSE)/24)</f>
        <v>0</v>
      </c>
    </row>
    <row r="914" spans="2:10" x14ac:dyDescent="0.3">
      <c r="B914" s="50" t="str">
        <f t="shared" si="30"/>
        <v/>
      </c>
      <c r="C914" s="42" t="str">
        <f t="shared" si="29"/>
        <v/>
      </c>
      <c r="D914" s="60"/>
      <c r="E914" s="63"/>
      <c r="F914" s="61"/>
      <c r="G914" s="62"/>
      <c r="H914" s="62"/>
      <c r="I914" s="62"/>
      <c r="J914" s="49">
        <f>IF(AND(ISBLANK(G914),ISBLANK(H914),ISBLANK(I914)),VLOOKUP(TEXT(D914,"TTT"),Stammdaten!$B$20:$F$26,5,FALSE),H914-G914-I914)-IF(ISERROR(VLOOKUP(D914,Stammdaten!$I$9:$J$26,2,FALSE)),0,VLOOKUP(D914,Stammdaten!$I$9:$J$26,2,FALSE)/24)</f>
        <v>0</v>
      </c>
    </row>
    <row r="915" spans="2:10" x14ac:dyDescent="0.3">
      <c r="B915" s="50" t="str">
        <f t="shared" si="30"/>
        <v/>
      </c>
      <c r="C915" s="42" t="str">
        <f t="shared" si="29"/>
        <v/>
      </c>
      <c r="D915" s="60"/>
      <c r="E915" s="63"/>
      <c r="F915" s="61"/>
      <c r="G915" s="62"/>
      <c r="H915" s="62"/>
      <c r="I915" s="62"/>
      <c r="J915" s="49">
        <f>IF(AND(ISBLANK(G915),ISBLANK(H915),ISBLANK(I915)),VLOOKUP(TEXT(D915,"TTT"),Stammdaten!$B$20:$F$26,5,FALSE),H915-G915-I915)-IF(ISERROR(VLOOKUP(D915,Stammdaten!$I$9:$J$26,2,FALSE)),0,VLOOKUP(D915,Stammdaten!$I$9:$J$26,2,FALSE)/24)</f>
        <v>0</v>
      </c>
    </row>
    <row r="916" spans="2:10" x14ac:dyDescent="0.3">
      <c r="B916" s="50" t="str">
        <f t="shared" si="30"/>
        <v/>
      </c>
      <c r="C916" s="42" t="str">
        <f t="shared" si="29"/>
        <v/>
      </c>
      <c r="D916" s="60"/>
      <c r="E916" s="63"/>
      <c r="F916" s="61"/>
      <c r="G916" s="62"/>
      <c r="H916" s="62"/>
      <c r="I916" s="62"/>
      <c r="J916" s="49">
        <f>IF(AND(ISBLANK(G916),ISBLANK(H916),ISBLANK(I916)),VLOOKUP(TEXT(D916,"TTT"),Stammdaten!$B$20:$F$26,5,FALSE),H916-G916-I916)-IF(ISERROR(VLOOKUP(D916,Stammdaten!$I$9:$J$26,2,FALSE)),0,VLOOKUP(D916,Stammdaten!$I$9:$J$26,2,FALSE)/24)</f>
        <v>0</v>
      </c>
    </row>
    <row r="917" spans="2:10" x14ac:dyDescent="0.3">
      <c r="B917" s="50" t="str">
        <f t="shared" si="30"/>
        <v/>
      </c>
      <c r="C917" s="42" t="str">
        <f t="shared" si="29"/>
        <v/>
      </c>
      <c r="D917" s="60"/>
      <c r="E917" s="63"/>
      <c r="F917" s="61"/>
      <c r="G917" s="62"/>
      <c r="H917" s="62"/>
      <c r="I917" s="62"/>
      <c r="J917" s="49">
        <f>IF(AND(ISBLANK(G917),ISBLANK(H917),ISBLANK(I917)),VLOOKUP(TEXT(D917,"TTT"),Stammdaten!$B$20:$F$26,5,FALSE),H917-G917-I917)-IF(ISERROR(VLOOKUP(D917,Stammdaten!$I$9:$J$26,2,FALSE)),0,VLOOKUP(D917,Stammdaten!$I$9:$J$26,2,FALSE)/24)</f>
        <v>0</v>
      </c>
    </row>
    <row r="918" spans="2:10" x14ac:dyDescent="0.3">
      <c r="B918" s="50" t="str">
        <f t="shared" si="30"/>
        <v/>
      </c>
      <c r="C918" s="42" t="str">
        <f t="shared" si="29"/>
        <v/>
      </c>
      <c r="D918" s="60"/>
      <c r="E918" s="63"/>
      <c r="F918" s="61"/>
      <c r="G918" s="62"/>
      <c r="H918" s="62"/>
      <c r="I918" s="62"/>
      <c r="J918" s="49">
        <f>IF(AND(ISBLANK(G918),ISBLANK(H918),ISBLANK(I918)),VLOOKUP(TEXT(D918,"TTT"),Stammdaten!$B$20:$F$26,5,FALSE),H918-G918-I918)-IF(ISERROR(VLOOKUP(D918,Stammdaten!$I$9:$J$26,2,FALSE)),0,VLOOKUP(D918,Stammdaten!$I$9:$J$26,2,FALSE)/24)</f>
        <v>0</v>
      </c>
    </row>
    <row r="919" spans="2:10" x14ac:dyDescent="0.3">
      <c r="B919" s="50" t="str">
        <f t="shared" si="30"/>
        <v/>
      </c>
      <c r="C919" s="42" t="str">
        <f t="shared" si="29"/>
        <v/>
      </c>
      <c r="D919" s="60"/>
      <c r="E919" s="63"/>
      <c r="F919" s="61"/>
      <c r="G919" s="62"/>
      <c r="H919" s="62"/>
      <c r="I919" s="62"/>
      <c r="J919" s="49">
        <f>IF(AND(ISBLANK(G919),ISBLANK(H919),ISBLANK(I919)),VLOOKUP(TEXT(D919,"TTT"),Stammdaten!$B$20:$F$26,5,FALSE),H919-G919-I919)-IF(ISERROR(VLOOKUP(D919,Stammdaten!$I$9:$J$26,2,FALSE)),0,VLOOKUP(D919,Stammdaten!$I$9:$J$26,2,FALSE)/24)</f>
        <v>0</v>
      </c>
    </row>
    <row r="920" spans="2:10" x14ac:dyDescent="0.3">
      <c r="B920" s="50" t="str">
        <f t="shared" si="30"/>
        <v/>
      </c>
      <c r="C920" s="42" t="str">
        <f t="shared" si="29"/>
        <v/>
      </c>
      <c r="D920" s="60"/>
      <c r="E920" s="63"/>
      <c r="F920" s="61"/>
      <c r="G920" s="62"/>
      <c r="H920" s="62"/>
      <c r="I920" s="62"/>
      <c r="J920" s="49">
        <f>IF(AND(ISBLANK(G920),ISBLANK(H920),ISBLANK(I920)),VLOOKUP(TEXT(D920,"TTT"),Stammdaten!$B$20:$F$26,5,FALSE),H920-G920-I920)-IF(ISERROR(VLOOKUP(D920,Stammdaten!$I$9:$J$26,2,FALSE)),0,VLOOKUP(D920,Stammdaten!$I$9:$J$26,2,FALSE)/24)</f>
        <v>0</v>
      </c>
    </row>
    <row r="921" spans="2:10" x14ac:dyDescent="0.3">
      <c r="B921" s="50" t="str">
        <f t="shared" si="30"/>
        <v/>
      </c>
      <c r="C921" s="42" t="str">
        <f t="shared" si="29"/>
        <v/>
      </c>
      <c r="D921" s="60"/>
      <c r="E921" s="63"/>
      <c r="F921" s="61"/>
      <c r="G921" s="62"/>
      <c r="H921" s="62"/>
      <c r="I921" s="62"/>
      <c r="J921" s="49">
        <f>IF(AND(ISBLANK(G921),ISBLANK(H921),ISBLANK(I921)),VLOOKUP(TEXT(D921,"TTT"),Stammdaten!$B$20:$F$26,5,FALSE),H921-G921-I921)-IF(ISERROR(VLOOKUP(D921,Stammdaten!$I$9:$J$26,2,FALSE)),0,VLOOKUP(D921,Stammdaten!$I$9:$J$26,2,FALSE)/24)</f>
        <v>0</v>
      </c>
    </row>
    <row r="922" spans="2:10" x14ac:dyDescent="0.3">
      <c r="B922" s="50" t="str">
        <f t="shared" si="30"/>
        <v/>
      </c>
      <c r="C922" s="42" t="str">
        <f t="shared" si="29"/>
        <v/>
      </c>
      <c r="D922" s="60"/>
      <c r="E922" s="63"/>
      <c r="F922" s="61"/>
      <c r="G922" s="62"/>
      <c r="H922" s="62"/>
      <c r="I922" s="62"/>
      <c r="J922" s="49">
        <f>IF(AND(ISBLANK(G922),ISBLANK(H922),ISBLANK(I922)),VLOOKUP(TEXT(D922,"TTT"),Stammdaten!$B$20:$F$26,5,FALSE),H922-G922-I922)-IF(ISERROR(VLOOKUP(D922,Stammdaten!$I$9:$J$26,2,FALSE)),0,VLOOKUP(D922,Stammdaten!$I$9:$J$26,2,FALSE)/24)</f>
        <v>0</v>
      </c>
    </row>
    <row r="923" spans="2:10" x14ac:dyDescent="0.3">
      <c r="B923" s="50" t="str">
        <f t="shared" si="30"/>
        <v/>
      </c>
      <c r="C923" s="42" t="str">
        <f t="shared" si="29"/>
        <v/>
      </c>
      <c r="D923" s="60"/>
      <c r="E923" s="63"/>
      <c r="F923" s="61"/>
      <c r="G923" s="62"/>
      <c r="H923" s="62"/>
      <c r="I923" s="62"/>
      <c r="J923" s="49">
        <f>IF(AND(ISBLANK(G923),ISBLANK(H923),ISBLANK(I923)),VLOOKUP(TEXT(D923,"TTT"),Stammdaten!$B$20:$F$26,5,FALSE),H923-G923-I923)-IF(ISERROR(VLOOKUP(D923,Stammdaten!$I$9:$J$26,2,FALSE)),0,VLOOKUP(D923,Stammdaten!$I$9:$J$26,2,FALSE)/24)</f>
        <v>0</v>
      </c>
    </row>
    <row r="924" spans="2:10" x14ac:dyDescent="0.3">
      <c r="B924" s="50" t="str">
        <f t="shared" si="30"/>
        <v/>
      </c>
      <c r="C924" s="42" t="str">
        <f t="shared" si="29"/>
        <v/>
      </c>
      <c r="D924" s="60"/>
      <c r="E924" s="63"/>
      <c r="F924" s="61"/>
      <c r="G924" s="62"/>
      <c r="H924" s="62"/>
      <c r="I924" s="62"/>
      <c r="J924" s="49">
        <f>IF(AND(ISBLANK(G924),ISBLANK(H924),ISBLANK(I924)),VLOOKUP(TEXT(D924,"TTT"),Stammdaten!$B$20:$F$26,5,FALSE),H924-G924-I924)-IF(ISERROR(VLOOKUP(D924,Stammdaten!$I$9:$J$26,2,FALSE)),0,VLOOKUP(D924,Stammdaten!$I$9:$J$26,2,FALSE)/24)</f>
        <v>0</v>
      </c>
    </row>
    <row r="925" spans="2:10" x14ac:dyDescent="0.3">
      <c r="B925" s="50" t="str">
        <f t="shared" si="30"/>
        <v/>
      </c>
      <c r="C925" s="42" t="str">
        <f t="shared" si="29"/>
        <v/>
      </c>
      <c r="D925" s="60"/>
      <c r="E925" s="63"/>
      <c r="F925" s="61"/>
      <c r="G925" s="62"/>
      <c r="H925" s="62"/>
      <c r="I925" s="62"/>
      <c r="J925" s="49">
        <f>IF(AND(ISBLANK(G925),ISBLANK(H925),ISBLANK(I925)),VLOOKUP(TEXT(D925,"TTT"),Stammdaten!$B$20:$F$26,5,FALSE),H925-G925-I925)-IF(ISERROR(VLOOKUP(D925,Stammdaten!$I$9:$J$26,2,FALSE)),0,VLOOKUP(D925,Stammdaten!$I$9:$J$26,2,FALSE)/24)</f>
        <v>0</v>
      </c>
    </row>
    <row r="926" spans="2:10" x14ac:dyDescent="0.3">
      <c r="B926" s="50" t="str">
        <f t="shared" si="30"/>
        <v/>
      </c>
      <c r="C926" s="42" t="str">
        <f t="shared" si="29"/>
        <v/>
      </c>
      <c r="D926" s="60"/>
      <c r="E926" s="63"/>
      <c r="F926" s="61"/>
      <c r="G926" s="62"/>
      <c r="H926" s="62"/>
      <c r="I926" s="62"/>
      <c r="J926" s="49">
        <f>IF(AND(ISBLANK(G926),ISBLANK(H926),ISBLANK(I926)),VLOOKUP(TEXT(D926,"TTT"),Stammdaten!$B$20:$F$26,5,FALSE),H926-G926-I926)-IF(ISERROR(VLOOKUP(D926,Stammdaten!$I$9:$J$26,2,FALSE)),0,VLOOKUP(D926,Stammdaten!$I$9:$J$26,2,FALSE)/24)</f>
        <v>0</v>
      </c>
    </row>
    <row r="927" spans="2:10" x14ac:dyDescent="0.3">
      <c r="B927" s="50" t="str">
        <f t="shared" si="30"/>
        <v/>
      </c>
      <c r="C927" s="42" t="str">
        <f t="shared" si="29"/>
        <v/>
      </c>
      <c r="D927" s="60"/>
      <c r="E927" s="63"/>
      <c r="F927" s="61"/>
      <c r="G927" s="62"/>
      <c r="H927" s="62"/>
      <c r="I927" s="62"/>
      <c r="J927" s="49">
        <f>IF(AND(ISBLANK(G927),ISBLANK(H927),ISBLANK(I927)),VLOOKUP(TEXT(D927,"TTT"),Stammdaten!$B$20:$F$26,5,FALSE),H927-G927-I927)-IF(ISERROR(VLOOKUP(D927,Stammdaten!$I$9:$J$26,2,FALSE)),0,VLOOKUP(D927,Stammdaten!$I$9:$J$26,2,FALSE)/24)</f>
        <v>0</v>
      </c>
    </row>
    <row r="928" spans="2:10" x14ac:dyDescent="0.3">
      <c r="B928" s="50" t="str">
        <f t="shared" si="30"/>
        <v/>
      </c>
      <c r="C928" s="42" t="str">
        <f t="shared" si="29"/>
        <v/>
      </c>
      <c r="D928" s="60"/>
      <c r="E928" s="63"/>
      <c r="F928" s="61"/>
      <c r="G928" s="62"/>
      <c r="H928" s="62"/>
      <c r="I928" s="62"/>
      <c r="J928" s="49">
        <f>IF(AND(ISBLANK(G928),ISBLANK(H928),ISBLANK(I928)),VLOOKUP(TEXT(D928,"TTT"),Stammdaten!$B$20:$F$26,5,FALSE),H928-G928-I928)-IF(ISERROR(VLOOKUP(D928,Stammdaten!$I$9:$J$26,2,FALSE)),0,VLOOKUP(D928,Stammdaten!$I$9:$J$26,2,FALSE)/24)</f>
        <v>0</v>
      </c>
    </row>
    <row r="929" spans="2:10" x14ac:dyDescent="0.3">
      <c r="B929" s="50" t="str">
        <f t="shared" si="30"/>
        <v/>
      </c>
      <c r="C929" s="42" t="str">
        <f t="shared" si="29"/>
        <v/>
      </c>
      <c r="D929" s="60"/>
      <c r="E929" s="63"/>
      <c r="F929" s="61"/>
      <c r="G929" s="62"/>
      <c r="H929" s="62"/>
      <c r="I929" s="62"/>
      <c r="J929" s="49">
        <f>IF(AND(ISBLANK(G929),ISBLANK(H929),ISBLANK(I929)),VLOOKUP(TEXT(D929,"TTT"),Stammdaten!$B$20:$F$26,5,FALSE),H929-G929-I929)-IF(ISERROR(VLOOKUP(D929,Stammdaten!$I$9:$J$26,2,FALSE)),0,VLOOKUP(D929,Stammdaten!$I$9:$J$26,2,FALSE)/24)</f>
        <v>0</v>
      </c>
    </row>
    <row r="930" spans="2:10" x14ac:dyDescent="0.3">
      <c r="B930" s="50" t="str">
        <f t="shared" si="30"/>
        <v/>
      </c>
      <c r="C930" s="42" t="str">
        <f t="shared" si="29"/>
        <v/>
      </c>
      <c r="D930" s="60"/>
      <c r="E930" s="63"/>
      <c r="F930" s="61"/>
      <c r="G930" s="62"/>
      <c r="H930" s="62"/>
      <c r="I930" s="62"/>
      <c r="J930" s="49">
        <f>IF(AND(ISBLANK(G930),ISBLANK(H930),ISBLANK(I930)),VLOOKUP(TEXT(D930,"TTT"),Stammdaten!$B$20:$F$26,5,FALSE),H930-G930-I930)-IF(ISERROR(VLOOKUP(D930,Stammdaten!$I$9:$J$26,2,FALSE)),0,VLOOKUP(D930,Stammdaten!$I$9:$J$26,2,FALSE)/24)</f>
        <v>0</v>
      </c>
    </row>
    <row r="931" spans="2:10" x14ac:dyDescent="0.3">
      <c r="B931" s="50" t="str">
        <f t="shared" si="30"/>
        <v/>
      </c>
      <c r="C931" s="42" t="str">
        <f t="shared" si="29"/>
        <v/>
      </c>
      <c r="D931" s="60"/>
      <c r="E931" s="63"/>
      <c r="F931" s="61"/>
      <c r="G931" s="62"/>
      <c r="H931" s="62"/>
      <c r="I931" s="62"/>
      <c r="J931" s="49">
        <f>IF(AND(ISBLANK(G931),ISBLANK(H931),ISBLANK(I931)),VLOOKUP(TEXT(D931,"TTT"),Stammdaten!$B$20:$F$26,5,FALSE),H931-G931-I931)-IF(ISERROR(VLOOKUP(D931,Stammdaten!$I$9:$J$26,2,FALSE)),0,VLOOKUP(D931,Stammdaten!$I$9:$J$26,2,FALSE)/24)</f>
        <v>0</v>
      </c>
    </row>
    <row r="932" spans="2:10" x14ac:dyDescent="0.3">
      <c r="B932" s="50" t="str">
        <f t="shared" si="30"/>
        <v/>
      </c>
      <c r="C932" s="42" t="str">
        <f t="shared" si="29"/>
        <v/>
      </c>
      <c r="D932" s="60"/>
      <c r="E932" s="63"/>
      <c r="F932" s="61"/>
      <c r="G932" s="62"/>
      <c r="H932" s="62"/>
      <c r="I932" s="62"/>
      <c r="J932" s="49">
        <f>IF(AND(ISBLANK(G932),ISBLANK(H932),ISBLANK(I932)),VLOOKUP(TEXT(D932,"TTT"),Stammdaten!$B$20:$F$26,5,FALSE),H932-G932-I932)-IF(ISERROR(VLOOKUP(D932,Stammdaten!$I$9:$J$26,2,FALSE)),0,VLOOKUP(D932,Stammdaten!$I$9:$J$26,2,FALSE)/24)</f>
        <v>0</v>
      </c>
    </row>
    <row r="933" spans="2:10" x14ac:dyDescent="0.3">
      <c r="B933" s="50" t="str">
        <f t="shared" si="30"/>
        <v/>
      </c>
      <c r="C933" s="42" t="str">
        <f t="shared" si="29"/>
        <v/>
      </c>
      <c r="D933" s="60"/>
      <c r="E933" s="63"/>
      <c r="F933" s="61"/>
      <c r="G933" s="62"/>
      <c r="H933" s="62"/>
      <c r="I933" s="62"/>
      <c r="J933" s="49">
        <f>IF(AND(ISBLANK(G933),ISBLANK(H933),ISBLANK(I933)),VLOOKUP(TEXT(D933,"TTT"),Stammdaten!$B$20:$F$26,5,FALSE),H933-G933-I933)-IF(ISERROR(VLOOKUP(D933,Stammdaten!$I$9:$J$26,2,FALSE)),0,VLOOKUP(D933,Stammdaten!$I$9:$J$26,2,FALSE)/24)</f>
        <v>0</v>
      </c>
    </row>
    <row r="934" spans="2:10" x14ac:dyDescent="0.3">
      <c r="B934" s="50" t="str">
        <f t="shared" si="30"/>
        <v/>
      </c>
      <c r="C934" s="42" t="str">
        <f t="shared" si="29"/>
        <v/>
      </c>
      <c r="D934" s="60"/>
      <c r="E934" s="63"/>
      <c r="F934" s="61"/>
      <c r="G934" s="62"/>
      <c r="H934" s="62"/>
      <c r="I934" s="62"/>
      <c r="J934" s="49">
        <f>IF(AND(ISBLANK(G934),ISBLANK(H934),ISBLANK(I934)),VLOOKUP(TEXT(D934,"TTT"),Stammdaten!$B$20:$F$26,5,FALSE),H934-G934-I934)-IF(ISERROR(VLOOKUP(D934,Stammdaten!$I$9:$J$26,2,FALSE)),0,VLOOKUP(D934,Stammdaten!$I$9:$J$26,2,FALSE)/24)</f>
        <v>0</v>
      </c>
    </row>
    <row r="935" spans="2:10" x14ac:dyDescent="0.3">
      <c r="B935" s="50" t="str">
        <f t="shared" si="30"/>
        <v/>
      </c>
      <c r="C935" s="42" t="str">
        <f t="shared" si="29"/>
        <v/>
      </c>
      <c r="D935" s="60"/>
      <c r="E935" s="63"/>
      <c r="F935" s="61"/>
      <c r="G935" s="62"/>
      <c r="H935" s="62"/>
      <c r="I935" s="62"/>
      <c r="J935" s="49">
        <f>IF(AND(ISBLANK(G935),ISBLANK(H935),ISBLANK(I935)),VLOOKUP(TEXT(D935,"TTT"),Stammdaten!$B$20:$F$26,5,FALSE),H935-G935-I935)-IF(ISERROR(VLOOKUP(D935,Stammdaten!$I$9:$J$26,2,FALSE)),0,VLOOKUP(D935,Stammdaten!$I$9:$J$26,2,FALSE)/24)</f>
        <v>0</v>
      </c>
    </row>
    <row r="936" spans="2:10" x14ac:dyDescent="0.3">
      <c r="B936" s="50" t="str">
        <f t="shared" si="30"/>
        <v/>
      </c>
      <c r="C936" s="42" t="str">
        <f t="shared" si="29"/>
        <v/>
      </c>
      <c r="D936" s="60"/>
      <c r="E936" s="63"/>
      <c r="F936" s="61"/>
      <c r="G936" s="62"/>
      <c r="H936" s="62"/>
      <c r="I936" s="62"/>
      <c r="J936" s="49">
        <f>IF(AND(ISBLANK(G936),ISBLANK(H936),ISBLANK(I936)),VLOOKUP(TEXT(D936,"TTT"),Stammdaten!$B$20:$F$26,5,FALSE),H936-G936-I936)-IF(ISERROR(VLOOKUP(D936,Stammdaten!$I$9:$J$26,2,FALSE)),0,VLOOKUP(D936,Stammdaten!$I$9:$J$26,2,FALSE)/24)</f>
        <v>0</v>
      </c>
    </row>
    <row r="937" spans="2:10" x14ac:dyDescent="0.3">
      <c r="B937" s="50" t="str">
        <f t="shared" si="30"/>
        <v/>
      </c>
      <c r="C937" s="42" t="str">
        <f t="shared" si="29"/>
        <v/>
      </c>
      <c r="D937" s="60"/>
      <c r="E937" s="63"/>
      <c r="F937" s="61"/>
      <c r="G937" s="62"/>
      <c r="H937" s="62"/>
      <c r="I937" s="62"/>
      <c r="J937" s="49">
        <f>IF(AND(ISBLANK(G937),ISBLANK(H937),ISBLANK(I937)),VLOOKUP(TEXT(D937,"TTT"),Stammdaten!$B$20:$F$26,5,FALSE),H937-G937-I937)-IF(ISERROR(VLOOKUP(D937,Stammdaten!$I$9:$J$26,2,FALSE)),0,VLOOKUP(D937,Stammdaten!$I$9:$J$26,2,FALSE)/24)</f>
        <v>0</v>
      </c>
    </row>
    <row r="938" spans="2:10" x14ac:dyDescent="0.3">
      <c r="B938" s="50" t="str">
        <f t="shared" si="30"/>
        <v/>
      </c>
      <c r="C938" s="42" t="str">
        <f t="shared" si="29"/>
        <v/>
      </c>
      <c r="D938" s="60"/>
      <c r="E938" s="63"/>
      <c r="F938" s="61"/>
      <c r="G938" s="62"/>
      <c r="H938" s="62"/>
      <c r="I938" s="62"/>
      <c r="J938" s="49">
        <f>IF(AND(ISBLANK(G938),ISBLANK(H938),ISBLANK(I938)),VLOOKUP(TEXT(D938,"TTT"),Stammdaten!$B$20:$F$26,5,FALSE),H938-G938-I938)-IF(ISERROR(VLOOKUP(D938,Stammdaten!$I$9:$J$26,2,FALSE)),0,VLOOKUP(D938,Stammdaten!$I$9:$J$26,2,FALSE)/24)</f>
        <v>0</v>
      </c>
    </row>
    <row r="939" spans="2:10" x14ac:dyDescent="0.3">
      <c r="B939" s="50" t="str">
        <f t="shared" si="30"/>
        <v/>
      </c>
      <c r="C939" s="42" t="str">
        <f t="shared" si="29"/>
        <v/>
      </c>
      <c r="D939" s="60"/>
      <c r="E939" s="63"/>
      <c r="F939" s="61"/>
      <c r="G939" s="62"/>
      <c r="H939" s="62"/>
      <c r="I939" s="62"/>
      <c r="J939" s="49">
        <f>IF(AND(ISBLANK(G939),ISBLANK(H939),ISBLANK(I939)),VLOOKUP(TEXT(D939,"TTT"),Stammdaten!$B$20:$F$26,5,FALSE),H939-G939-I939)-IF(ISERROR(VLOOKUP(D939,Stammdaten!$I$9:$J$26,2,FALSE)),0,VLOOKUP(D939,Stammdaten!$I$9:$J$26,2,FALSE)/24)</f>
        <v>0</v>
      </c>
    </row>
    <row r="940" spans="2:10" x14ac:dyDescent="0.3">
      <c r="B940" s="50" t="str">
        <f t="shared" si="30"/>
        <v/>
      </c>
      <c r="C940" s="42" t="str">
        <f t="shared" si="29"/>
        <v/>
      </c>
      <c r="D940" s="60"/>
      <c r="E940" s="63"/>
      <c r="F940" s="61"/>
      <c r="G940" s="62"/>
      <c r="H940" s="62"/>
      <c r="I940" s="62"/>
      <c r="J940" s="49">
        <f>IF(AND(ISBLANK(G940),ISBLANK(H940),ISBLANK(I940)),VLOOKUP(TEXT(D940,"TTT"),Stammdaten!$B$20:$F$26,5,FALSE),H940-G940-I940)-IF(ISERROR(VLOOKUP(D940,Stammdaten!$I$9:$J$26,2,FALSE)),0,VLOOKUP(D940,Stammdaten!$I$9:$J$26,2,FALSE)/24)</f>
        <v>0</v>
      </c>
    </row>
    <row r="941" spans="2:10" x14ac:dyDescent="0.3">
      <c r="B941" s="50" t="str">
        <f t="shared" si="30"/>
        <v/>
      </c>
      <c r="C941" s="42" t="str">
        <f t="shared" si="29"/>
        <v/>
      </c>
      <c r="D941" s="60"/>
      <c r="E941" s="63"/>
      <c r="F941" s="61"/>
      <c r="G941" s="62"/>
      <c r="H941" s="62"/>
      <c r="I941" s="62"/>
      <c r="J941" s="49">
        <f>IF(AND(ISBLANK(G941),ISBLANK(H941),ISBLANK(I941)),VLOOKUP(TEXT(D941,"TTT"),Stammdaten!$B$20:$F$26,5,FALSE),H941-G941-I941)-IF(ISERROR(VLOOKUP(D941,Stammdaten!$I$9:$J$26,2,FALSE)),0,VLOOKUP(D941,Stammdaten!$I$9:$J$26,2,FALSE)/24)</f>
        <v>0</v>
      </c>
    </row>
    <row r="942" spans="2:10" x14ac:dyDescent="0.3">
      <c r="B942" s="50" t="str">
        <f t="shared" si="30"/>
        <v/>
      </c>
      <c r="C942" s="42" t="str">
        <f t="shared" si="29"/>
        <v/>
      </c>
      <c r="D942" s="60"/>
      <c r="E942" s="63"/>
      <c r="F942" s="61"/>
      <c r="G942" s="62"/>
      <c r="H942" s="62"/>
      <c r="I942" s="62"/>
      <c r="J942" s="49">
        <f>IF(AND(ISBLANK(G942),ISBLANK(H942),ISBLANK(I942)),VLOOKUP(TEXT(D942,"TTT"),Stammdaten!$B$20:$F$26,5,FALSE),H942-G942-I942)-IF(ISERROR(VLOOKUP(D942,Stammdaten!$I$9:$J$26,2,FALSE)),0,VLOOKUP(D942,Stammdaten!$I$9:$J$26,2,FALSE)/24)</f>
        <v>0</v>
      </c>
    </row>
    <row r="943" spans="2:10" x14ac:dyDescent="0.3">
      <c r="B943" s="50" t="str">
        <f t="shared" si="30"/>
        <v/>
      </c>
      <c r="C943" s="42" t="str">
        <f t="shared" si="29"/>
        <v/>
      </c>
      <c r="D943" s="60"/>
      <c r="E943" s="63"/>
      <c r="F943" s="61"/>
      <c r="G943" s="62"/>
      <c r="H943" s="62"/>
      <c r="I943" s="62"/>
      <c r="J943" s="49">
        <f>IF(AND(ISBLANK(G943),ISBLANK(H943),ISBLANK(I943)),VLOOKUP(TEXT(D943,"TTT"),Stammdaten!$B$20:$F$26,5,FALSE),H943-G943-I943)-IF(ISERROR(VLOOKUP(D943,Stammdaten!$I$9:$J$26,2,FALSE)),0,VLOOKUP(D943,Stammdaten!$I$9:$J$26,2,FALSE)/24)</f>
        <v>0</v>
      </c>
    </row>
    <row r="944" spans="2:10" x14ac:dyDescent="0.3">
      <c r="B944" s="50" t="str">
        <f t="shared" si="30"/>
        <v/>
      </c>
      <c r="C944" s="42" t="str">
        <f t="shared" si="29"/>
        <v/>
      </c>
      <c r="D944" s="60"/>
      <c r="E944" s="63"/>
      <c r="F944" s="61"/>
      <c r="G944" s="62"/>
      <c r="H944" s="62"/>
      <c r="I944" s="62"/>
      <c r="J944" s="49">
        <f>IF(AND(ISBLANK(G944),ISBLANK(H944),ISBLANK(I944)),VLOOKUP(TEXT(D944,"TTT"),Stammdaten!$B$20:$F$26,5,FALSE),H944-G944-I944)-IF(ISERROR(VLOOKUP(D944,Stammdaten!$I$9:$J$26,2,FALSE)),0,VLOOKUP(D944,Stammdaten!$I$9:$J$26,2,FALSE)/24)</f>
        <v>0</v>
      </c>
    </row>
    <row r="945" spans="2:10" x14ac:dyDescent="0.3">
      <c r="B945" s="50" t="str">
        <f t="shared" si="30"/>
        <v/>
      </c>
      <c r="C945" s="42" t="str">
        <f t="shared" si="29"/>
        <v/>
      </c>
      <c r="D945" s="60"/>
      <c r="E945" s="63"/>
      <c r="F945" s="61"/>
      <c r="G945" s="62"/>
      <c r="H945" s="62"/>
      <c r="I945" s="62"/>
      <c r="J945" s="49">
        <f>IF(AND(ISBLANK(G945),ISBLANK(H945),ISBLANK(I945)),VLOOKUP(TEXT(D945,"TTT"),Stammdaten!$B$20:$F$26,5,FALSE),H945-G945-I945)-IF(ISERROR(VLOOKUP(D945,Stammdaten!$I$9:$J$26,2,FALSE)),0,VLOOKUP(D945,Stammdaten!$I$9:$J$26,2,FALSE)/24)</f>
        <v>0</v>
      </c>
    </row>
    <row r="946" spans="2:10" x14ac:dyDescent="0.3">
      <c r="B946" s="50" t="str">
        <f t="shared" si="30"/>
        <v/>
      </c>
      <c r="C946" s="42" t="str">
        <f t="shared" si="29"/>
        <v/>
      </c>
      <c r="D946" s="60"/>
      <c r="E946" s="63"/>
      <c r="F946" s="61"/>
      <c r="G946" s="62"/>
      <c r="H946" s="62"/>
      <c r="I946" s="62"/>
      <c r="J946" s="49">
        <f>IF(AND(ISBLANK(G946),ISBLANK(H946),ISBLANK(I946)),VLOOKUP(TEXT(D946,"TTT"),Stammdaten!$B$20:$F$26,5,FALSE),H946-G946-I946)-IF(ISERROR(VLOOKUP(D946,Stammdaten!$I$9:$J$26,2,FALSE)),0,VLOOKUP(D946,Stammdaten!$I$9:$J$26,2,FALSE)/24)</f>
        <v>0</v>
      </c>
    </row>
    <row r="947" spans="2:10" x14ac:dyDescent="0.3">
      <c r="B947" s="50" t="str">
        <f t="shared" si="30"/>
        <v/>
      </c>
      <c r="C947" s="42" t="str">
        <f t="shared" si="29"/>
        <v/>
      </c>
      <c r="D947" s="60"/>
      <c r="E947" s="63"/>
      <c r="F947" s="61"/>
      <c r="G947" s="62"/>
      <c r="H947" s="62"/>
      <c r="I947" s="62"/>
      <c r="J947" s="49">
        <f>IF(AND(ISBLANK(G947),ISBLANK(H947),ISBLANK(I947)),VLOOKUP(TEXT(D947,"TTT"),Stammdaten!$B$20:$F$26,5,FALSE),H947-G947-I947)-IF(ISERROR(VLOOKUP(D947,Stammdaten!$I$9:$J$26,2,FALSE)),0,VLOOKUP(D947,Stammdaten!$I$9:$J$26,2,FALSE)/24)</f>
        <v>0</v>
      </c>
    </row>
    <row r="948" spans="2:10" x14ac:dyDescent="0.3">
      <c r="B948" s="50" t="str">
        <f t="shared" si="30"/>
        <v/>
      </c>
      <c r="C948" s="42" t="str">
        <f t="shared" si="29"/>
        <v/>
      </c>
      <c r="D948" s="60"/>
      <c r="E948" s="63"/>
      <c r="F948" s="61"/>
      <c r="G948" s="62"/>
      <c r="H948" s="62"/>
      <c r="I948" s="62"/>
      <c r="J948" s="49">
        <f>IF(AND(ISBLANK(G948),ISBLANK(H948),ISBLANK(I948)),VLOOKUP(TEXT(D948,"TTT"),Stammdaten!$B$20:$F$26,5,FALSE),H948-G948-I948)-IF(ISERROR(VLOOKUP(D948,Stammdaten!$I$9:$J$26,2,FALSE)),0,VLOOKUP(D948,Stammdaten!$I$9:$J$26,2,FALSE)/24)</f>
        <v>0</v>
      </c>
    </row>
    <row r="949" spans="2:10" x14ac:dyDescent="0.3">
      <c r="B949" s="50" t="str">
        <f t="shared" si="30"/>
        <v/>
      </c>
      <c r="C949" s="42" t="str">
        <f t="shared" si="29"/>
        <v/>
      </c>
      <c r="D949" s="60"/>
      <c r="E949" s="63"/>
      <c r="F949" s="61"/>
      <c r="G949" s="62"/>
      <c r="H949" s="62"/>
      <c r="I949" s="62"/>
      <c r="J949" s="49">
        <f>IF(AND(ISBLANK(G949),ISBLANK(H949),ISBLANK(I949)),VLOOKUP(TEXT(D949,"TTT"),Stammdaten!$B$20:$F$26,5,FALSE),H949-G949-I949)-IF(ISERROR(VLOOKUP(D949,Stammdaten!$I$9:$J$26,2,FALSE)),0,VLOOKUP(D949,Stammdaten!$I$9:$J$26,2,FALSE)/24)</f>
        <v>0</v>
      </c>
    </row>
    <row r="950" spans="2:10" x14ac:dyDescent="0.3">
      <c r="B950" s="50" t="str">
        <f t="shared" si="30"/>
        <v/>
      </c>
      <c r="C950" s="42" t="str">
        <f t="shared" si="29"/>
        <v/>
      </c>
      <c r="D950" s="60"/>
      <c r="E950" s="63"/>
      <c r="F950" s="61"/>
      <c r="G950" s="62"/>
      <c r="H950" s="62"/>
      <c r="I950" s="62"/>
      <c r="J950" s="49">
        <f>IF(AND(ISBLANK(G950),ISBLANK(H950),ISBLANK(I950)),VLOOKUP(TEXT(D950,"TTT"),Stammdaten!$B$20:$F$26,5,FALSE),H950-G950-I950)-IF(ISERROR(VLOOKUP(D950,Stammdaten!$I$9:$J$26,2,FALSE)),0,VLOOKUP(D950,Stammdaten!$I$9:$J$26,2,FALSE)/24)</f>
        <v>0</v>
      </c>
    </row>
    <row r="951" spans="2:10" x14ac:dyDescent="0.3">
      <c r="B951" s="50" t="str">
        <f t="shared" si="30"/>
        <v/>
      </c>
      <c r="C951" s="42" t="str">
        <f t="shared" si="29"/>
        <v/>
      </c>
      <c r="D951" s="60"/>
      <c r="E951" s="63"/>
      <c r="F951" s="61"/>
      <c r="G951" s="62"/>
      <c r="H951" s="62"/>
      <c r="I951" s="62"/>
      <c r="J951" s="49">
        <f>IF(AND(ISBLANK(G951),ISBLANK(H951),ISBLANK(I951)),VLOOKUP(TEXT(D951,"TTT"),Stammdaten!$B$20:$F$26,5,FALSE),H951-G951-I951)-IF(ISERROR(VLOOKUP(D951,Stammdaten!$I$9:$J$26,2,FALSE)),0,VLOOKUP(D951,Stammdaten!$I$9:$J$26,2,FALSE)/24)</f>
        <v>0</v>
      </c>
    </row>
    <row r="952" spans="2:10" x14ac:dyDescent="0.3">
      <c r="B952" s="50" t="str">
        <f t="shared" si="30"/>
        <v/>
      </c>
      <c r="C952" s="42" t="str">
        <f t="shared" si="29"/>
        <v/>
      </c>
      <c r="D952" s="60"/>
      <c r="E952" s="63"/>
      <c r="F952" s="61"/>
      <c r="G952" s="62"/>
      <c r="H952" s="62"/>
      <c r="I952" s="62"/>
      <c r="J952" s="49">
        <f>IF(AND(ISBLANK(G952),ISBLANK(H952),ISBLANK(I952)),VLOOKUP(TEXT(D952,"TTT"),Stammdaten!$B$20:$F$26,5,FALSE),H952-G952-I952)-IF(ISERROR(VLOOKUP(D952,Stammdaten!$I$9:$J$26,2,FALSE)),0,VLOOKUP(D952,Stammdaten!$I$9:$J$26,2,FALSE)/24)</f>
        <v>0</v>
      </c>
    </row>
    <row r="953" spans="2:10" x14ac:dyDescent="0.3">
      <c r="B953" s="50" t="str">
        <f t="shared" si="30"/>
        <v/>
      </c>
      <c r="C953" s="42" t="str">
        <f t="shared" si="29"/>
        <v/>
      </c>
      <c r="D953" s="60"/>
      <c r="E953" s="63"/>
      <c r="F953" s="61"/>
      <c r="G953" s="62"/>
      <c r="H953" s="62"/>
      <c r="I953" s="62"/>
      <c r="J953" s="49">
        <f>IF(AND(ISBLANK(G953),ISBLANK(H953),ISBLANK(I953)),VLOOKUP(TEXT(D953,"TTT"),Stammdaten!$B$20:$F$26,5,FALSE),H953-G953-I953)-IF(ISERROR(VLOOKUP(D953,Stammdaten!$I$9:$J$26,2,FALSE)),0,VLOOKUP(D953,Stammdaten!$I$9:$J$26,2,FALSE)/24)</f>
        <v>0</v>
      </c>
    </row>
    <row r="954" spans="2:10" x14ac:dyDescent="0.3">
      <c r="B954" s="50" t="str">
        <f t="shared" si="30"/>
        <v/>
      </c>
      <c r="C954" s="42" t="str">
        <f t="shared" si="29"/>
        <v/>
      </c>
      <c r="D954" s="60"/>
      <c r="E954" s="63"/>
      <c r="F954" s="61"/>
      <c r="G954" s="62"/>
      <c r="H954" s="62"/>
      <c r="I954" s="62"/>
      <c r="J954" s="49">
        <f>IF(AND(ISBLANK(G954),ISBLANK(H954),ISBLANK(I954)),VLOOKUP(TEXT(D954,"TTT"),Stammdaten!$B$20:$F$26,5,FALSE),H954-G954-I954)-IF(ISERROR(VLOOKUP(D954,Stammdaten!$I$9:$J$26,2,FALSE)),0,VLOOKUP(D954,Stammdaten!$I$9:$J$26,2,FALSE)/24)</f>
        <v>0</v>
      </c>
    </row>
    <row r="955" spans="2:10" x14ac:dyDescent="0.3">
      <c r="B955" s="50" t="str">
        <f t="shared" si="30"/>
        <v/>
      </c>
      <c r="C955" s="42" t="str">
        <f t="shared" si="29"/>
        <v/>
      </c>
      <c r="D955" s="60"/>
      <c r="E955" s="63"/>
      <c r="F955" s="61"/>
      <c r="G955" s="62"/>
      <c r="H955" s="62"/>
      <c r="I955" s="62"/>
      <c r="J955" s="49">
        <f>IF(AND(ISBLANK(G955),ISBLANK(H955),ISBLANK(I955)),VLOOKUP(TEXT(D955,"TTT"),Stammdaten!$B$20:$F$26,5,FALSE),H955-G955-I955)-IF(ISERROR(VLOOKUP(D955,Stammdaten!$I$9:$J$26,2,FALSE)),0,VLOOKUP(D955,Stammdaten!$I$9:$J$26,2,FALSE)/24)</f>
        <v>0</v>
      </c>
    </row>
    <row r="956" spans="2:10" x14ac:dyDescent="0.3">
      <c r="B956" s="50" t="str">
        <f t="shared" si="30"/>
        <v/>
      </c>
      <c r="C956" s="42" t="str">
        <f t="shared" si="29"/>
        <v/>
      </c>
      <c r="D956" s="60"/>
      <c r="E956" s="63"/>
      <c r="F956" s="61"/>
      <c r="G956" s="62"/>
      <c r="H956" s="62"/>
      <c r="I956" s="62"/>
      <c r="J956" s="49">
        <f>IF(AND(ISBLANK(G956),ISBLANK(H956),ISBLANK(I956)),VLOOKUP(TEXT(D956,"TTT"),Stammdaten!$B$20:$F$26,5,FALSE),H956-G956-I956)-IF(ISERROR(VLOOKUP(D956,Stammdaten!$I$9:$J$26,2,FALSE)),0,VLOOKUP(D956,Stammdaten!$I$9:$J$26,2,FALSE)/24)</f>
        <v>0</v>
      </c>
    </row>
    <row r="957" spans="2:10" x14ac:dyDescent="0.3">
      <c r="B957" s="50" t="str">
        <f t="shared" si="30"/>
        <v/>
      </c>
      <c r="C957" s="42" t="str">
        <f t="shared" si="29"/>
        <v/>
      </c>
      <c r="D957" s="60"/>
      <c r="E957" s="63"/>
      <c r="F957" s="61"/>
      <c r="G957" s="62"/>
      <c r="H957" s="62"/>
      <c r="I957" s="62"/>
      <c r="J957" s="49">
        <f>IF(AND(ISBLANK(G957),ISBLANK(H957),ISBLANK(I957)),VLOOKUP(TEXT(D957,"TTT"),Stammdaten!$B$20:$F$26,5,FALSE),H957-G957-I957)-IF(ISERROR(VLOOKUP(D957,Stammdaten!$I$9:$J$26,2,FALSE)),0,VLOOKUP(D957,Stammdaten!$I$9:$J$26,2,FALSE)/24)</f>
        <v>0</v>
      </c>
    </row>
    <row r="958" spans="2:10" x14ac:dyDescent="0.3">
      <c r="B958" s="50" t="str">
        <f t="shared" si="30"/>
        <v/>
      </c>
      <c r="C958" s="42" t="str">
        <f t="shared" si="29"/>
        <v/>
      </c>
      <c r="D958" s="60"/>
      <c r="E958" s="63"/>
      <c r="F958" s="61"/>
      <c r="G958" s="62"/>
      <c r="H958" s="62"/>
      <c r="I958" s="62"/>
      <c r="J958" s="49">
        <f>IF(AND(ISBLANK(G958),ISBLANK(H958),ISBLANK(I958)),VLOOKUP(TEXT(D958,"TTT"),Stammdaten!$B$20:$F$26,5,FALSE),H958-G958-I958)-IF(ISERROR(VLOOKUP(D958,Stammdaten!$I$9:$J$26,2,FALSE)),0,VLOOKUP(D958,Stammdaten!$I$9:$J$26,2,FALSE)/24)</f>
        <v>0</v>
      </c>
    </row>
    <row r="959" spans="2:10" x14ac:dyDescent="0.3">
      <c r="B959" s="50" t="str">
        <f t="shared" si="30"/>
        <v/>
      </c>
      <c r="C959" s="42" t="str">
        <f t="shared" si="29"/>
        <v/>
      </c>
      <c r="D959" s="60"/>
      <c r="E959" s="63"/>
      <c r="F959" s="61"/>
      <c r="G959" s="62"/>
      <c r="H959" s="62"/>
      <c r="I959" s="62"/>
      <c r="J959" s="49">
        <f>IF(AND(ISBLANK(G959),ISBLANK(H959),ISBLANK(I959)),VLOOKUP(TEXT(D959,"TTT"),Stammdaten!$B$20:$F$26,5,FALSE),H959-G959-I959)-IF(ISERROR(VLOOKUP(D959,Stammdaten!$I$9:$J$26,2,FALSE)),0,VLOOKUP(D959,Stammdaten!$I$9:$J$26,2,FALSE)/24)</f>
        <v>0</v>
      </c>
    </row>
    <row r="960" spans="2:10" x14ac:dyDescent="0.3">
      <c r="B960" s="50" t="str">
        <f t="shared" si="30"/>
        <v/>
      </c>
      <c r="C960" s="42" t="str">
        <f t="shared" si="29"/>
        <v/>
      </c>
      <c r="D960" s="60"/>
      <c r="E960" s="63"/>
      <c r="F960" s="61"/>
      <c r="G960" s="62"/>
      <c r="H960" s="62"/>
      <c r="I960" s="62"/>
      <c r="J960" s="49">
        <f>IF(AND(ISBLANK(G960),ISBLANK(H960),ISBLANK(I960)),VLOOKUP(TEXT(D960,"TTT"),Stammdaten!$B$20:$F$26,5,FALSE),H960-G960-I960)-IF(ISERROR(VLOOKUP(D960,Stammdaten!$I$9:$J$26,2,FALSE)),0,VLOOKUP(D960,Stammdaten!$I$9:$J$26,2,FALSE)/24)</f>
        <v>0</v>
      </c>
    </row>
    <row r="961" spans="2:10" x14ac:dyDescent="0.3">
      <c r="B961" s="50" t="str">
        <f t="shared" si="30"/>
        <v/>
      </c>
      <c r="C961" s="42" t="str">
        <f t="shared" si="29"/>
        <v/>
      </c>
      <c r="D961" s="60"/>
      <c r="E961" s="63"/>
      <c r="F961" s="61"/>
      <c r="G961" s="62"/>
      <c r="H961" s="62"/>
      <c r="I961" s="62"/>
      <c r="J961" s="49">
        <f>IF(AND(ISBLANK(G961),ISBLANK(H961),ISBLANK(I961)),VLOOKUP(TEXT(D961,"TTT"),Stammdaten!$B$20:$F$26,5,FALSE),H961-G961-I961)-IF(ISERROR(VLOOKUP(D961,Stammdaten!$I$9:$J$26,2,FALSE)),0,VLOOKUP(D961,Stammdaten!$I$9:$J$26,2,FALSE)/24)</f>
        <v>0</v>
      </c>
    </row>
    <row r="962" spans="2:10" x14ac:dyDescent="0.3">
      <c r="B962" s="50" t="str">
        <f t="shared" si="30"/>
        <v/>
      </c>
      <c r="C962" s="42" t="str">
        <f t="shared" ref="C962:C997" si="31">IF(D962="","",D962)</f>
        <v/>
      </c>
      <c r="D962" s="60"/>
      <c r="E962" s="63"/>
      <c r="F962" s="61"/>
      <c r="G962" s="62"/>
      <c r="H962" s="62"/>
      <c r="I962" s="62"/>
      <c r="J962" s="49">
        <f>IF(AND(ISBLANK(G962),ISBLANK(H962),ISBLANK(I962)),VLOOKUP(TEXT(D962,"TTT"),Stammdaten!$B$20:$F$26,5,FALSE),H962-G962-I962)-IF(ISERROR(VLOOKUP(D962,Stammdaten!$I$9:$J$26,2,FALSE)),0,VLOOKUP(D962,Stammdaten!$I$9:$J$26,2,FALSE)/24)</f>
        <v>0</v>
      </c>
    </row>
    <row r="963" spans="2:10" x14ac:dyDescent="0.3">
      <c r="B963" s="50" t="str">
        <f t="shared" si="30"/>
        <v/>
      </c>
      <c r="C963" s="42" t="str">
        <f t="shared" si="31"/>
        <v/>
      </c>
      <c r="D963" s="60"/>
      <c r="E963" s="63"/>
      <c r="F963" s="61"/>
      <c r="G963" s="62"/>
      <c r="H963" s="62"/>
      <c r="I963" s="62"/>
      <c r="J963" s="49">
        <f>IF(AND(ISBLANK(G963),ISBLANK(H963),ISBLANK(I963)),VLOOKUP(TEXT(D963,"TTT"),Stammdaten!$B$20:$F$26,5,FALSE),H963-G963-I963)-IF(ISERROR(VLOOKUP(D963,Stammdaten!$I$9:$J$26,2,FALSE)),0,VLOOKUP(D963,Stammdaten!$I$9:$J$26,2,FALSE)/24)</f>
        <v>0</v>
      </c>
    </row>
    <row r="964" spans="2:10" x14ac:dyDescent="0.3">
      <c r="B964" s="50" t="str">
        <f t="shared" ref="B964:B997" si="32">IF(ISBLANK(E964),"",VLOOKUP(E964,$L$2:$M$11,2,FALSE))</f>
        <v/>
      </c>
      <c r="C964" s="42" t="str">
        <f t="shared" si="31"/>
        <v/>
      </c>
      <c r="D964" s="60"/>
      <c r="E964" s="63"/>
      <c r="F964" s="61"/>
      <c r="G964" s="62"/>
      <c r="H964" s="62"/>
      <c r="I964" s="62"/>
      <c r="J964" s="49">
        <f>IF(AND(ISBLANK(G964),ISBLANK(H964),ISBLANK(I964)),VLOOKUP(TEXT(D964,"TTT"),Stammdaten!$B$20:$F$26,5,FALSE),H964-G964-I964)-IF(ISERROR(VLOOKUP(D964,Stammdaten!$I$9:$J$26,2,FALSE)),0,VLOOKUP(D964,Stammdaten!$I$9:$J$26,2,FALSE)/24)</f>
        <v>0</v>
      </c>
    </row>
    <row r="965" spans="2:10" x14ac:dyDescent="0.3">
      <c r="B965" s="50" t="str">
        <f t="shared" si="32"/>
        <v/>
      </c>
      <c r="C965" s="42" t="str">
        <f t="shared" si="31"/>
        <v/>
      </c>
      <c r="D965" s="60"/>
      <c r="E965" s="63"/>
      <c r="F965" s="61"/>
      <c r="G965" s="62"/>
      <c r="H965" s="62"/>
      <c r="I965" s="62"/>
      <c r="J965" s="49">
        <f>IF(AND(ISBLANK(G965),ISBLANK(H965),ISBLANK(I965)),VLOOKUP(TEXT(D965,"TTT"),Stammdaten!$B$20:$F$26,5,FALSE),H965-G965-I965)-IF(ISERROR(VLOOKUP(D965,Stammdaten!$I$9:$J$26,2,FALSE)),0,VLOOKUP(D965,Stammdaten!$I$9:$J$26,2,FALSE)/24)</f>
        <v>0</v>
      </c>
    </row>
    <row r="966" spans="2:10" x14ac:dyDescent="0.3">
      <c r="B966" s="50" t="str">
        <f t="shared" si="32"/>
        <v/>
      </c>
      <c r="C966" s="42" t="str">
        <f t="shared" si="31"/>
        <v/>
      </c>
      <c r="D966" s="60"/>
      <c r="E966" s="63"/>
      <c r="F966" s="61"/>
      <c r="G966" s="62"/>
      <c r="H966" s="62"/>
      <c r="I966" s="62"/>
      <c r="J966" s="49">
        <f>IF(AND(ISBLANK(G966),ISBLANK(H966),ISBLANK(I966)),VLOOKUP(TEXT(D966,"TTT"),Stammdaten!$B$20:$F$26,5,FALSE),H966-G966-I966)-IF(ISERROR(VLOOKUP(D966,Stammdaten!$I$9:$J$26,2,FALSE)),0,VLOOKUP(D966,Stammdaten!$I$9:$J$26,2,FALSE)/24)</f>
        <v>0</v>
      </c>
    </row>
    <row r="967" spans="2:10" x14ac:dyDescent="0.3">
      <c r="B967" s="50" t="str">
        <f t="shared" si="32"/>
        <v/>
      </c>
      <c r="C967" s="42" t="str">
        <f t="shared" si="31"/>
        <v/>
      </c>
      <c r="D967" s="60"/>
      <c r="E967" s="63"/>
      <c r="F967" s="61"/>
      <c r="G967" s="62"/>
      <c r="H967" s="62"/>
      <c r="I967" s="62"/>
      <c r="J967" s="49">
        <f>IF(AND(ISBLANK(G967),ISBLANK(H967),ISBLANK(I967)),VLOOKUP(TEXT(D967,"TTT"),Stammdaten!$B$20:$F$26,5,FALSE),H967-G967-I967)-IF(ISERROR(VLOOKUP(D967,Stammdaten!$I$9:$J$26,2,FALSE)),0,VLOOKUP(D967,Stammdaten!$I$9:$J$26,2,FALSE)/24)</f>
        <v>0</v>
      </c>
    </row>
    <row r="968" spans="2:10" x14ac:dyDescent="0.3">
      <c r="B968" s="50" t="str">
        <f t="shared" si="32"/>
        <v/>
      </c>
      <c r="C968" s="42" t="str">
        <f t="shared" si="31"/>
        <v/>
      </c>
      <c r="D968" s="60"/>
      <c r="E968" s="63"/>
      <c r="F968" s="61"/>
      <c r="G968" s="62"/>
      <c r="H968" s="62"/>
      <c r="I968" s="62"/>
      <c r="J968" s="49">
        <f>IF(AND(ISBLANK(G968),ISBLANK(H968),ISBLANK(I968)),VLOOKUP(TEXT(D968,"TTT"),Stammdaten!$B$20:$F$26,5,FALSE),H968-G968-I968)-IF(ISERROR(VLOOKUP(D968,Stammdaten!$I$9:$J$26,2,FALSE)),0,VLOOKUP(D968,Stammdaten!$I$9:$J$26,2,FALSE)/24)</f>
        <v>0</v>
      </c>
    </row>
    <row r="969" spans="2:10" x14ac:dyDescent="0.3">
      <c r="B969" s="50" t="str">
        <f t="shared" si="32"/>
        <v/>
      </c>
      <c r="C969" s="42" t="str">
        <f t="shared" si="31"/>
        <v/>
      </c>
      <c r="D969" s="60"/>
      <c r="E969" s="63"/>
      <c r="F969" s="61"/>
      <c r="G969" s="62"/>
      <c r="H969" s="62"/>
      <c r="I969" s="62"/>
      <c r="J969" s="49">
        <f>IF(AND(ISBLANK(G969),ISBLANK(H969),ISBLANK(I969)),VLOOKUP(TEXT(D969,"TTT"),Stammdaten!$B$20:$F$26,5,FALSE),H969-G969-I969)-IF(ISERROR(VLOOKUP(D969,Stammdaten!$I$9:$J$26,2,FALSE)),0,VLOOKUP(D969,Stammdaten!$I$9:$J$26,2,FALSE)/24)</f>
        <v>0</v>
      </c>
    </row>
    <row r="970" spans="2:10" x14ac:dyDescent="0.3">
      <c r="B970" s="50" t="str">
        <f t="shared" si="32"/>
        <v/>
      </c>
      <c r="C970" s="42" t="str">
        <f t="shared" si="31"/>
        <v/>
      </c>
      <c r="D970" s="60"/>
      <c r="E970" s="63"/>
      <c r="F970" s="61"/>
      <c r="G970" s="62"/>
      <c r="H970" s="62"/>
      <c r="I970" s="62"/>
      <c r="J970" s="49">
        <f>IF(AND(ISBLANK(G970),ISBLANK(H970),ISBLANK(I970)),VLOOKUP(TEXT(D970,"TTT"),Stammdaten!$B$20:$F$26,5,FALSE),H970-G970-I970)-IF(ISERROR(VLOOKUP(D970,Stammdaten!$I$9:$J$26,2,FALSE)),0,VLOOKUP(D970,Stammdaten!$I$9:$J$26,2,FALSE)/24)</f>
        <v>0</v>
      </c>
    </row>
    <row r="971" spans="2:10" x14ac:dyDescent="0.3">
      <c r="B971" s="50" t="str">
        <f t="shared" si="32"/>
        <v/>
      </c>
      <c r="C971" s="42" t="str">
        <f t="shared" si="31"/>
        <v/>
      </c>
      <c r="D971" s="60"/>
      <c r="E971" s="63"/>
      <c r="F971" s="61"/>
      <c r="G971" s="62"/>
      <c r="H971" s="62"/>
      <c r="I971" s="62"/>
      <c r="J971" s="49">
        <f>IF(AND(ISBLANK(G971),ISBLANK(H971),ISBLANK(I971)),VLOOKUP(TEXT(D971,"TTT"),Stammdaten!$B$20:$F$26,5,FALSE),H971-G971-I971)-IF(ISERROR(VLOOKUP(D971,Stammdaten!$I$9:$J$26,2,FALSE)),0,VLOOKUP(D971,Stammdaten!$I$9:$J$26,2,FALSE)/24)</f>
        <v>0</v>
      </c>
    </row>
    <row r="972" spans="2:10" x14ac:dyDescent="0.3">
      <c r="B972" s="50" t="str">
        <f t="shared" si="32"/>
        <v/>
      </c>
      <c r="C972" s="42" t="str">
        <f t="shared" si="31"/>
        <v/>
      </c>
      <c r="D972" s="60"/>
      <c r="E972" s="63"/>
      <c r="F972" s="61"/>
      <c r="G972" s="62"/>
      <c r="H972" s="62"/>
      <c r="I972" s="62"/>
      <c r="J972" s="49">
        <f>IF(AND(ISBLANK(G972),ISBLANK(H972),ISBLANK(I972)),VLOOKUP(TEXT(D972,"TTT"),Stammdaten!$B$20:$F$26,5,FALSE),H972-G972-I972)-IF(ISERROR(VLOOKUP(D972,Stammdaten!$I$9:$J$26,2,FALSE)),0,VLOOKUP(D972,Stammdaten!$I$9:$J$26,2,FALSE)/24)</f>
        <v>0</v>
      </c>
    </row>
    <row r="973" spans="2:10" x14ac:dyDescent="0.3">
      <c r="B973" s="50" t="str">
        <f t="shared" si="32"/>
        <v/>
      </c>
      <c r="C973" s="42" t="str">
        <f t="shared" si="31"/>
        <v/>
      </c>
      <c r="D973" s="60"/>
      <c r="E973" s="63"/>
      <c r="F973" s="61"/>
      <c r="G973" s="62"/>
      <c r="H973" s="62"/>
      <c r="I973" s="62"/>
      <c r="J973" s="49">
        <f>IF(AND(ISBLANK(G973),ISBLANK(H973),ISBLANK(I973)),VLOOKUP(TEXT(D973,"TTT"),Stammdaten!$B$20:$F$26,5,FALSE),H973-G973-I973)-IF(ISERROR(VLOOKUP(D973,Stammdaten!$I$9:$J$26,2,FALSE)),0,VLOOKUP(D973,Stammdaten!$I$9:$J$26,2,FALSE)/24)</f>
        <v>0</v>
      </c>
    </row>
    <row r="974" spans="2:10" x14ac:dyDescent="0.3">
      <c r="B974" s="50" t="str">
        <f t="shared" si="32"/>
        <v/>
      </c>
      <c r="C974" s="42" t="str">
        <f t="shared" si="31"/>
        <v/>
      </c>
      <c r="D974" s="60"/>
      <c r="E974" s="63"/>
      <c r="F974" s="61"/>
      <c r="G974" s="62"/>
      <c r="H974" s="62"/>
      <c r="I974" s="62"/>
      <c r="J974" s="49">
        <f>IF(AND(ISBLANK(G974),ISBLANK(H974),ISBLANK(I974)),VLOOKUP(TEXT(D974,"TTT"),Stammdaten!$B$20:$F$26,5,FALSE),H974-G974-I974)-IF(ISERROR(VLOOKUP(D974,Stammdaten!$I$9:$J$26,2,FALSE)),0,VLOOKUP(D974,Stammdaten!$I$9:$J$26,2,FALSE)/24)</f>
        <v>0</v>
      </c>
    </row>
    <row r="975" spans="2:10" x14ac:dyDescent="0.3">
      <c r="B975" s="50" t="str">
        <f t="shared" si="32"/>
        <v/>
      </c>
      <c r="C975" s="42" t="str">
        <f t="shared" si="31"/>
        <v/>
      </c>
      <c r="D975" s="60"/>
      <c r="E975" s="63"/>
      <c r="F975" s="61"/>
      <c r="G975" s="62"/>
      <c r="H975" s="62"/>
      <c r="I975" s="62"/>
      <c r="J975" s="49">
        <f>IF(AND(ISBLANK(G975),ISBLANK(H975),ISBLANK(I975)),VLOOKUP(TEXT(D975,"TTT"),Stammdaten!$B$20:$F$26,5,FALSE),H975-G975-I975)-IF(ISERROR(VLOOKUP(D975,Stammdaten!$I$9:$J$26,2,FALSE)),0,VLOOKUP(D975,Stammdaten!$I$9:$J$26,2,FALSE)/24)</f>
        <v>0</v>
      </c>
    </row>
    <row r="976" spans="2:10" x14ac:dyDescent="0.3">
      <c r="B976" s="50" t="str">
        <f t="shared" si="32"/>
        <v/>
      </c>
      <c r="C976" s="42" t="str">
        <f t="shared" si="31"/>
        <v/>
      </c>
      <c r="D976" s="60"/>
      <c r="E976" s="63"/>
      <c r="F976" s="61"/>
      <c r="G976" s="62"/>
      <c r="H976" s="62"/>
      <c r="I976" s="62"/>
      <c r="J976" s="49">
        <f>IF(AND(ISBLANK(G976),ISBLANK(H976),ISBLANK(I976)),VLOOKUP(TEXT(D976,"TTT"),Stammdaten!$B$20:$F$26,5,FALSE),H976-G976-I976)-IF(ISERROR(VLOOKUP(D976,Stammdaten!$I$9:$J$26,2,FALSE)),0,VLOOKUP(D976,Stammdaten!$I$9:$J$26,2,FALSE)/24)</f>
        <v>0</v>
      </c>
    </row>
    <row r="977" spans="2:10" x14ac:dyDescent="0.3">
      <c r="B977" s="50" t="str">
        <f t="shared" si="32"/>
        <v/>
      </c>
      <c r="C977" s="42" t="str">
        <f t="shared" si="31"/>
        <v/>
      </c>
      <c r="D977" s="60"/>
      <c r="E977" s="63"/>
      <c r="F977" s="61"/>
      <c r="G977" s="62"/>
      <c r="H977" s="62"/>
      <c r="I977" s="62"/>
      <c r="J977" s="49">
        <f>IF(AND(ISBLANK(G977),ISBLANK(H977),ISBLANK(I977)),VLOOKUP(TEXT(D977,"TTT"),Stammdaten!$B$20:$F$26,5,FALSE),H977-G977-I977)-IF(ISERROR(VLOOKUP(D977,Stammdaten!$I$9:$J$26,2,FALSE)),0,VLOOKUP(D977,Stammdaten!$I$9:$J$26,2,FALSE)/24)</f>
        <v>0</v>
      </c>
    </row>
    <row r="978" spans="2:10" x14ac:dyDescent="0.3">
      <c r="B978" s="50" t="str">
        <f t="shared" si="32"/>
        <v/>
      </c>
      <c r="C978" s="42" t="str">
        <f t="shared" si="31"/>
        <v/>
      </c>
      <c r="D978" s="60"/>
      <c r="E978" s="63"/>
      <c r="F978" s="61"/>
      <c r="G978" s="62"/>
      <c r="H978" s="62"/>
      <c r="I978" s="62"/>
      <c r="J978" s="49">
        <f>IF(AND(ISBLANK(G978),ISBLANK(H978),ISBLANK(I978)),VLOOKUP(TEXT(D978,"TTT"),Stammdaten!$B$20:$F$26,5,FALSE),H978-G978-I978)-IF(ISERROR(VLOOKUP(D978,Stammdaten!$I$9:$J$26,2,FALSE)),0,VLOOKUP(D978,Stammdaten!$I$9:$J$26,2,FALSE)/24)</f>
        <v>0</v>
      </c>
    </row>
    <row r="979" spans="2:10" x14ac:dyDescent="0.3">
      <c r="B979" s="50" t="str">
        <f t="shared" si="32"/>
        <v/>
      </c>
      <c r="C979" s="42" t="str">
        <f t="shared" si="31"/>
        <v/>
      </c>
      <c r="D979" s="60"/>
      <c r="E979" s="63"/>
      <c r="F979" s="61"/>
      <c r="G979" s="62"/>
      <c r="H979" s="62"/>
      <c r="I979" s="62"/>
      <c r="J979" s="49">
        <f>IF(AND(ISBLANK(G979),ISBLANK(H979),ISBLANK(I979)),VLOOKUP(TEXT(D979,"TTT"),Stammdaten!$B$20:$F$26,5,FALSE),H979-G979-I979)-IF(ISERROR(VLOOKUP(D979,Stammdaten!$I$9:$J$26,2,FALSE)),0,VLOOKUP(D979,Stammdaten!$I$9:$J$26,2,FALSE)/24)</f>
        <v>0</v>
      </c>
    </row>
    <row r="980" spans="2:10" x14ac:dyDescent="0.3">
      <c r="B980" s="50" t="str">
        <f t="shared" si="32"/>
        <v/>
      </c>
      <c r="C980" s="42" t="str">
        <f t="shared" si="31"/>
        <v/>
      </c>
      <c r="D980" s="60"/>
      <c r="E980" s="63"/>
      <c r="F980" s="61"/>
      <c r="G980" s="62"/>
      <c r="H980" s="62"/>
      <c r="I980" s="62"/>
      <c r="J980" s="49">
        <f>IF(AND(ISBLANK(G980),ISBLANK(H980),ISBLANK(I980)),VLOOKUP(TEXT(D980,"TTT"),Stammdaten!$B$20:$F$26,5,FALSE),H980-G980-I980)-IF(ISERROR(VLOOKUP(D980,Stammdaten!$I$9:$J$26,2,FALSE)),0,VLOOKUP(D980,Stammdaten!$I$9:$J$26,2,FALSE)/24)</f>
        <v>0</v>
      </c>
    </row>
    <row r="981" spans="2:10" x14ac:dyDescent="0.3">
      <c r="B981" s="50" t="str">
        <f t="shared" si="32"/>
        <v/>
      </c>
      <c r="C981" s="42" t="str">
        <f t="shared" si="31"/>
        <v/>
      </c>
      <c r="D981" s="60"/>
      <c r="E981" s="63"/>
      <c r="F981" s="61"/>
      <c r="G981" s="62"/>
      <c r="H981" s="62"/>
      <c r="I981" s="62"/>
      <c r="J981" s="49">
        <f>IF(AND(ISBLANK(G981),ISBLANK(H981),ISBLANK(I981)),VLOOKUP(TEXT(D981,"TTT"),Stammdaten!$B$20:$F$26,5,FALSE),H981-G981-I981)-IF(ISERROR(VLOOKUP(D981,Stammdaten!$I$9:$J$26,2,FALSE)),0,VLOOKUP(D981,Stammdaten!$I$9:$J$26,2,FALSE)/24)</f>
        <v>0</v>
      </c>
    </row>
    <row r="982" spans="2:10" x14ac:dyDescent="0.3">
      <c r="B982" s="50" t="str">
        <f t="shared" si="32"/>
        <v/>
      </c>
      <c r="C982" s="42" t="str">
        <f t="shared" si="31"/>
        <v/>
      </c>
      <c r="D982" s="60"/>
      <c r="E982" s="63"/>
      <c r="F982" s="61"/>
      <c r="G982" s="62"/>
      <c r="H982" s="62"/>
      <c r="I982" s="62"/>
      <c r="J982" s="49">
        <f>IF(AND(ISBLANK(G982),ISBLANK(H982),ISBLANK(I982)),VLOOKUP(TEXT(D982,"TTT"),Stammdaten!$B$20:$F$26,5,FALSE),H982-G982-I982)-IF(ISERROR(VLOOKUP(D982,Stammdaten!$I$9:$J$26,2,FALSE)),0,VLOOKUP(D982,Stammdaten!$I$9:$J$26,2,FALSE)/24)</f>
        <v>0</v>
      </c>
    </row>
    <row r="983" spans="2:10" x14ac:dyDescent="0.3">
      <c r="B983" s="50" t="str">
        <f t="shared" si="32"/>
        <v/>
      </c>
      <c r="C983" s="42" t="str">
        <f t="shared" si="31"/>
        <v/>
      </c>
      <c r="D983" s="60"/>
      <c r="E983" s="63"/>
      <c r="F983" s="61"/>
      <c r="G983" s="62"/>
      <c r="H983" s="62"/>
      <c r="I983" s="62"/>
      <c r="J983" s="49">
        <f>IF(AND(ISBLANK(G983),ISBLANK(H983),ISBLANK(I983)),VLOOKUP(TEXT(D983,"TTT"),Stammdaten!$B$20:$F$26,5,FALSE),H983-G983-I983)-IF(ISERROR(VLOOKUP(D983,Stammdaten!$I$9:$J$26,2,FALSE)),0,VLOOKUP(D983,Stammdaten!$I$9:$J$26,2,FALSE)/24)</f>
        <v>0</v>
      </c>
    </row>
    <row r="984" spans="2:10" x14ac:dyDescent="0.3">
      <c r="B984" s="50" t="str">
        <f t="shared" si="32"/>
        <v/>
      </c>
      <c r="C984" s="42" t="str">
        <f t="shared" si="31"/>
        <v/>
      </c>
      <c r="D984" s="60"/>
      <c r="E984" s="63"/>
      <c r="F984" s="61"/>
      <c r="G984" s="62"/>
      <c r="H984" s="62"/>
      <c r="I984" s="62"/>
      <c r="J984" s="49">
        <f>IF(AND(ISBLANK(G984),ISBLANK(H984),ISBLANK(I984)),VLOOKUP(TEXT(D984,"TTT"),Stammdaten!$B$20:$F$26,5,FALSE),H984-G984-I984)-IF(ISERROR(VLOOKUP(D984,Stammdaten!$I$9:$J$26,2,FALSE)),0,VLOOKUP(D984,Stammdaten!$I$9:$J$26,2,FALSE)/24)</f>
        <v>0</v>
      </c>
    </row>
    <row r="985" spans="2:10" x14ac:dyDescent="0.3">
      <c r="B985" s="50" t="str">
        <f t="shared" si="32"/>
        <v/>
      </c>
      <c r="C985" s="42" t="str">
        <f t="shared" si="31"/>
        <v/>
      </c>
      <c r="D985" s="60"/>
      <c r="E985" s="63"/>
      <c r="F985" s="61"/>
      <c r="G985" s="62"/>
      <c r="H985" s="62"/>
      <c r="I985" s="62"/>
      <c r="J985" s="49">
        <f>IF(AND(ISBLANK(G985),ISBLANK(H985),ISBLANK(I985)),VLOOKUP(TEXT(D985,"TTT"),Stammdaten!$B$20:$F$26,5,FALSE),H985-G985-I985)-IF(ISERROR(VLOOKUP(D985,Stammdaten!$I$9:$J$26,2,FALSE)),0,VLOOKUP(D985,Stammdaten!$I$9:$J$26,2,FALSE)/24)</f>
        <v>0</v>
      </c>
    </row>
    <row r="986" spans="2:10" x14ac:dyDescent="0.3">
      <c r="B986" s="50" t="str">
        <f t="shared" si="32"/>
        <v/>
      </c>
      <c r="C986" s="42" t="str">
        <f t="shared" si="31"/>
        <v/>
      </c>
      <c r="D986" s="60"/>
      <c r="E986" s="63"/>
      <c r="F986" s="61"/>
      <c r="G986" s="62"/>
      <c r="H986" s="62"/>
      <c r="I986" s="62"/>
      <c r="J986" s="49">
        <f>IF(AND(ISBLANK(G986),ISBLANK(H986),ISBLANK(I986)),VLOOKUP(TEXT(D986,"TTT"),Stammdaten!$B$20:$F$26,5,FALSE),H986-G986-I986)-IF(ISERROR(VLOOKUP(D986,Stammdaten!$I$9:$J$26,2,FALSE)),0,VLOOKUP(D986,Stammdaten!$I$9:$J$26,2,FALSE)/24)</f>
        <v>0</v>
      </c>
    </row>
    <row r="987" spans="2:10" x14ac:dyDescent="0.3">
      <c r="B987" s="50" t="str">
        <f t="shared" si="32"/>
        <v/>
      </c>
      <c r="C987" s="42" t="str">
        <f t="shared" si="31"/>
        <v/>
      </c>
      <c r="D987" s="60"/>
      <c r="E987" s="63"/>
      <c r="F987" s="61"/>
      <c r="G987" s="62"/>
      <c r="H987" s="62"/>
      <c r="I987" s="62"/>
      <c r="J987" s="49">
        <f>IF(AND(ISBLANK(G987),ISBLANK(H987),ISBLANK(I987)),VLOOKUP(TEXT(D987,"TTT"),Stammdaten!$B$20:$F$26,5,FALSE),H987-G987-I987)-IF(ISERROR(VLOOKUP(D987,Stammdaten!$I$9:$J$26,2,FALSE)),0,VLOOKUP(D987,Stammdaten!$I$9:$J$26,2,FALSE)/24)</f>
        <v>0</v>
      </c>
    </row>
    <row r="988" spans="2:10" x14ac:dyDescent="0.3">
      <c r="B988" s="50" t="str">
        <f t="shared" si="32"/>
        <v/>
      </c>
      <c r="C988" s="42" t="str">
        <f t="shared" si="31"/>
        <v/>
      </c>
      <c r="D988" s="60"/>
      <c r="E988" s="63"/>
      <c r="F988" s="61"/>
      <c r="G988" s="62"/>
      <c r="H988" s="62"/>
      <c r="I988" s="62"/>
      <c r="J988" s="49">
        <f>IF(AND(ISBLANK(G988),ISBLANK(H988),ISBLANK(I988)),VLOOKUP(TEXT(D988,"TTT"),Stammdaten!$B$20:$F$26,5,FALSE),H988-G988-I988)-IF(ISERROR(VLOOKUP(D988,Stammdaten!$I$9:$J$26,2,FALSE)),0,VLOOKUP(D988,Stammdaten!$I$9:$J$26,2,FALSE)/24)</f>
        <v>0</v>
      </c>
    </row>
    <row r="989" spans="2:10" x14ac:dyDescent="0.3">
      <c r="B989" s="50" t="str">
        <f t="shared" si="32"/>
        <v/>
      </c>
      <c r="C989" s="42" t="str">
        <f t="shared" si="31"/>
        <v/>
      </c>
      <c r="D989" s="60"/>
      <c r="E989" s="63"/>
      <c r="F989" s="61"/>
      <c r="G989" s="62"/>
      <c r="H989" s="62"/>
      <c r="I989" s="62"/>
      <c r="J989" s="49">
        <f>IF(AND(ISBLANK(G989),ISBLANK(H989),ISBLANK(I989)),VLOOKUP(TEXT(D989,"TTT"),Stammdaten!$B$20:$F$26,5,FALSE),H989-G989-I989)-IF(ISERROR(VLOOKUP(D989,Stammdaten!$I$9:$J$26,2,FALSE)),0,VLOOKUP(D989,Stammdaten!$I$9:$J$26,2,FALSE)/24)</f>
        <v>0</v>
      </c>
    </row>
    <row r="990" spans="2:10" x14ac:dyDescent="0.3">
      <c r="B990" s="50" t="str">
        <f t="shared" si="32"/>
        <v/>
      </c>
      <c r="C990" s="42" t="str">
        <f t="shared" si="31"/>
        <v/>
      </c>
      <c r="D990" s="60"/>
      <c r="E990" s="63"/>
      <c r="F990" s="61"/>
      <c r="G990" s="62"/>
      <c r="H990" s="62"/>
      <c r="I990" s="62"/>
      <c r="J990" s="49">
        <f>IF(AND(ISBLANK(G990),ISBLANK(H990),ISBLANK(I990)),VLOOKUP(TEXT(D990,"TTT"),Stammdaten!$B$20:$F$26,5,FALSE),H990-G990-I990)-IF(ISERROR(VLOOKUP(D990,Stammdaten!$I$9:$J$26,2,FALSE)),0,VLOOKUP(D990,Stammdaten!$I$9:$J$26,2,FALSE)/24)</f>
        <v>0</v>
      </c>
    </row>
    <row r="991" spans="2:10" x14ac:dyDescent="0.3">
      <c r="B991" s="50" t="str">
        <f t="shared" si="32"/>
        <v/>
      </c>
      <c r="C991" s="42" t="str">
        <f t="shared" si="31"/>
        <v/>
      </c>
      <c r="D991" s="60"/>
      <c r="E991" s="63"/>
      <c r="F991" s="61"/>
      <c r="G991" s="62"/>
      <c r="H991" s="62"/>
      <c r="I991" s="62"/>
      <c r="J991" s="49">
        <f>IF(AND(ISBLANK(G991),ISBLANK(H991),ISBLANK(I991)),VLOOKUP(TEXT(D991,"TTT"),Stammdaten!$B$20:$F$26,5,FALSE),H991-G991-I991)-IF(ISERROR(VLOOKUP(D991,Stammdaten!$I$9:$J$26,2,FALSE)),0,VLOOKUP(D991,Stammdaten!$I$9:$J$26,2,FALSE)/24)</f>
        <v>0</v>
      </c>
    </row>
    <row r="992" spans="2:10" x14ac:dyDescent="0.3">
      <c r="B992" s="50" t="str">
        <f t="shared" si="32"/>
        <v/>
      </c>
      <c r="C992" s="42" t="str">
        <f t="shared" si="31"/>
        <v/>
      </c>
      <c r="D992" s="60"/>
      <c r="E992" s="63"/>
      <c r="F992" s="61"/>
      <c r="G992" s="62"/>
      <c r="H992" s="62"/>
      <c r="I992" s="62"/>
      <c r="J992" s="49">
        <f>IF(AND(ISBLANK(G992),ISBLANK(H992),ISBLANK(I992)),VLOOKUP(TEXT(D992,"TTT"),Stammdaten!$B$20:$F$26,5,FALSE),H992-G992-I992)-IF(ISERROR(VLOOKUP(D992,Stammdaten!$I$9:$J$26,2,FALSE)),0,VLOOKUP(D992,Stammdaten!$I$9:$J$26,2,FALSE)/24)</f>
        <v>0</v>
      </c>
    </row>
    <row r="993" spans="2:10" x14ac:dyDescent="0.3">
      <c r="B993" s="50" t="str">
        <f t="shared" si="32"/>
        <v/>
      </c>
      <c r="C993" s="42" t="str">
        <f t="shared" si="31"/>
        <v/>
      </c>
      <c r="D993" s="60"/>
      <c r="E993" s="63"/>
      <c r="F993" s="61"/>
      <c r="G993" s="62"/>
      <c r="H993" s="62"/>
      <c r="I993" s="62"/>
      <c r="J993" s="49">
        <f>IF(AND(ISBLANK(G993),ISBLANK(H993),ISBLANK(I993)),VLOOKUP(TEXT(D993,"TTT"),Stammdaten!$B$20:$F$26,5,FALSE),H993-G993-I993)-IF(ISERROR(VLOOKUP(D993,Stammdaten!$I$9:$J$26,2,FALSE)),0,VLOOKUP(D993,Stammdaten!$I$9:$J$26,2,FALSE)/24)</f>
        <v>0</v>
      </c>
    </row>
    <row r="994" spans="2:10" x14ac:dyDescent="0.3">
      <c r="B994" s="50" t="str">
        <f t="shared" si="32"/>
        <v/>
      </c>
      <c r="C994" s="42" t="str">
        <f t="shared" si="31"/>
        <v/>
      </c>
      <c r="D994" s="60"/>
      <c r="E994" s="63"/>
      <c r="F994" s="61"/>
      <c r="G994" s="62"/>
      <c r="H994" s="62"/>
      <c r="I994" s="62"/>
      <c r="J994" s="49">
        <f>IF(AND(ISBLANK(G994),ISBLANK(H994),ISBLANK(I994)),VLOOKUP(TEXT(D994,"TTT"),Stammdaten!$B$20:$F$26,5,FALSE),H994-G994-I994)-IF(ISERROR(VLOOKUP(D994,Stammdaten!$I$9:$J$26,2,FALSE)),0,VLOOKUP(D994,Stammdaten!$I$9:$J$26,2,FALSE)/24)</f>
        <v>0</v>
      </c>
    </row>
    <row r="995" spans="2:10" x14ac:dyDescent="0.3">
      <c r="B995" s="50" t="str">
        <f t="shared" si="32"/>
        <v/>
      </c>
      <c r="C995" s="42" t="str">
        <f t="shared" si="31"/>
        <v/>
      </c>
      <c r="D995" s="60"/>
      <c r="E995" s="63"/>
      <c r="F995" s="61"/>
      <c r="G995" s="62"/>
      <c r="H995" s="62"/>
      <c r="I995" s="62"/>
      <c r="J995" s="49">
        <f>IF(AND(ISBLANK(G995),ISBLANK(H995),ISBLANK(I995)),VLOOKUP(TEXT(D995,"TTT"),Stammdaten!$B$20:$F$26,5,FALSE),H995-G995-I995)-IF(ISERROR(VLOOKUP(D995,Stammdaten!$I$9:$J$26,2,FALSE)),0,VLOOKUP(D995,Stammdaten!$I$9:$J$26,2,FALSE)/24)</f>
        <v>0</v>
      </c>
    </row>
    <row r="996" spans="2:10" x14ac:dyDescent="0.3">
      <c r="B996" s="50" t="str">
        <f t="shared" si="32"/>
        <v/>
      </c>
      <c r="C996" s="42" t="str">
        <f t="shared" si="31"/>
        <v/>
      </c>
      <c r="D996" s="60"/>
      <c r="E996" s="63"/>
      <c r="F996" s="61"/>
      <c r="G996" s="62"/>
      <c r="H996" s="62"/>
      <c r="I996" s="62"/>
      <c r="J996" s="49">
        <f>IF(AND(ISBLANK(G996),ISBLANK(H996),ISBLANK(I996)),VLOOKUP(TEXT(D996,"TTT"),Stammdaten!$B$20:$F$26,5,FALSE),H996-G996-I996)-IF(ISERROR(VLOOKUP(D996,Stammdaten!$I$9:$J$26,2,FALSE)),0,VLOOKUP(D996,Stammdaten!$I$9:$J$26,2,FALSE)/24)</f>
        <v>0</v>
      </c>
    </row>
    <row r="997" spans="2:10" x14ac:dyDescent="0.3">
      <c r="B997" s="50" t="str">
        <f t="shared" si="32"/>
        <v/>
      </c>
      <c r="C997" s="42" t="str">
        <f t="shared" si="31"/>
        <v/>
      </c>
      <c r="D997" s="60"/>
      <c r="E997" s="63"/>
      <c r="F997" s="61"/>
      <c r="G997" s="62"/>
      <c r="H997" s="62"/>
      <c r="I997" s="62"/>
      <c r="J997" s="49">
        <f>IF(AND(ISBLANK(G997),ISBLANK(H997),ISBLANK(I997)),VLOOKUP(TEXT(D997,"TTT"),Stammdaten!$B$20:$F$26,5,FALSE),H997-G997-I997)-IF(ISERROR(VLOOKUP(D997,Stammdaten!$I$9:$J$26,2,FALSE)),0,VLOOKUP(D997,Stammdaten!$I$9:$J$26,2,FALSE)/24)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D3:I997" name="Abwesenheit"/>
  </protectedRanges>
  <autoFilter ref="B2:J58" xr:uid="{00000000-0009-0000-0000-00000E000000}"/>
  <conditionalFormatting sqref="D3:D997">
    <cfRule type="expression" dxfId="3" priority="4">
      <formula>AND(D3&lt;&gt;"",YEAR(D3)&lt;&gt;Jahr)</formula>
    </cfRule>
  </conditionalFormatting>
  <dataValidations count="1">
    <dataValidation type="list" allowBlank="1" showInputMessage="1" showErrorMessage="1" sqref="E3:E997" xr:uid="{00000000-0002-0000-0E00-000000000000}">
      <formula1>Grund</formula1>
    </dataValidation>
  </dataValidations>
  <pageMargins left="0.70000000000000007" right="0.70000000000000007" top="0.78740157500000008" bottom="0.78740157500000008" header="0.30000000000000004" footer="0.3000000000000000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AE999"/>
  <sheetViews>
    <sheetView showGridLines="0" workbookViewId="0">
      <selection activeCell="G15" sqref="G15"/>
    </sheetView>
  </sheetViews>
  <sheetFormatPr baseColWidth="10" defaultRowHeight="14.4" x14ac:dyDescent="0.3"/>
  <cols>
    <col min="1" max="1" width="2.5546875" customWidth="1"/>
    <col min="2" max="2" width="10.33203125" customWidth="1"/>
    <col min="3" max="3" width="13.109375" customWidth="1"/>
    <col min="4" max="4" width="4.33203125" customWidth="1"/>
    <col min="5" max="5" width="5.33203125" customWidth="1"/>
    <col min="6" max="6" width="5.5546875" customWidth="1"/>
    <col min="7" max="7" width="24.44140625" customWidth="1"/>
    <col min="8" max="8" width="13.33203125" customWidth="1"/>
    <col min="9" max="9" width="8" customWidth="1"/>
    <col min="10" max="10" width="9.33203125" customWidth="1"/>
    <col min="11" max="11" width="5" customWidth="1"/>
    <col min="12" max="12" width="11.5546875" customWidth="1"/>
    <col min="13" max="13" width="6.6640625" customWidth="1"/>
    <col min="14" max="14" width="4.5546875" customWidth="1"/>
    <col min="15" max="15" width="8.33203125" customWidth="1"/>
    <col min="17" max="17" width="20.44140625" customWidth="1"/>
    <col min="18" max="18" width="25.44140625" customWidth="1"/>
    <col min="20" max="20" width="9.44140625" customWidth="1"/>
    <col min="21" max="21" width="5.33203125" customWidth="1"/>
    <col min="24" max="24" width="12.109375" bestFit="1" customWidth="1"/>
    <col min="25" max="25" width="8.33203125" customWidth="1"/>
    <col min="26" max="26" width="4.5546875" customWidth="1"/>
    <col min="27" max="27" width="6.5546875" customWidth="1"/>
    <col min="28" max="28" width="5.6640625" customWidth="1"/>
    <col min="29" max="29" width="23.6640625" customWidth="1"/>
    <col min="30" max="30" width="39.44140625" customWidth="1"/>
    <col min="31" max="31" width="16.5546875" customWidth="1"/>
  </cols>
  <sheetData>
    <row r="2" spans="2:31" x14ac:dyDescent="0.3">
      <c r="B2" s="125" t="s">
        <v>102</v>
      </c>
      <c r="C2" s="125" t="s">
        <v>0</v>
      </c>
      <c r="D2" s="122" t="s">
        <v>11</v>
      </c>
      <c r="E2" s="123"/>
      <c r="F2" s="123"/>
      <c r="G2" s="123"/>
      <c r="H2" s="123"/>
      <c r="I2" s="124"/>
      <c r="J2" s="122" t="s">
        <v>103</v>
      </c>
      <c r="K2" s="123"/>
      <c r="L2" s="123"/>
      <c r="M2" s="124"/>
      <c r="N2" s="122" t="s">
        <v>104</v>
      </c>
      <c r="O2" s="123"/>
      <c r="P2" s="123"/>
      <c r="Q2" s="123"/>
      <c r="R2" s="123"/>
      <c r="S2" s="124"/>
      <c r="T2" s="122" t="s">
        <v>105</v>
      </c>
      <c r="U2" s="123"/>
      <c r="V2" s="123"/>
      <c r="W2" s="124"/>
      <c r="X2" s="122" t="s">
        <v>5</v>
      </c>
      <c r="Y2" s="123"/>
      <c r="Z2" s="123"/>
      <c r="AA2" s="123"/>
      <c r="AB2" s="123"/>
      <c r="AC2" s="124"/>
      <c r="AD2" s="125" t="s">
        <v>106</v>
      </c>
      <c r="AE2" s="125" t="s">
        <v>101</v>
      </c>
    </row>
    <row r="3" spans="2:31" x14ac:dyDescent="0.3">
      <c r="B3" s="126"/>
      <c r="C3" s="126"/>
      <c r="D3" s="122" t="s">
        <v>107</v>
      </c>
      <c r="E3" s="123"/>
      <c r="F3" s="123"/>
      <c r="G3" s="124"/>
      <c r="H3" s="122" t="s">
        <v>108</v>
      </c>
      <c r="I3" s="123"/>
      <c r="J3" s="125" t="s">
        <v>109</v>
      </c>
      <c r="K3" s="125" t="s">
        <v>19</v>
      </c>
      <c r="L3" s="125" t="s">
        <v>110</v>
      </c>
      <c r="M3" s="125" t="s">
        <v>111</v>
      </c>
      <c r="N3" s="122" t="s">
        <v>107</v>
      </c>
      <c r="O3" s="123"/>
      <c r="P3" s="123"/>
      <c r="Q3" s="124"/>
      <c r="R3" s="125" t="s">
        <v>112</v>
      </c>
      <c r="S3" s="125" t="s">
        <v>113</v>
      </c>
      <c r="T3" s="125" t="s">
        <v>109</v>
      </c>
      <c r="U3" s="125" t="s">
        <v>19</v>
      </c>
      <c r="V3" s="125" t="s">
        <v>110</v>
      </c>
      <c r="W3" s="125" t="s">
        <v>111</v>
      </c>
      <c r="X3" s="122" t="s">
        <v>108</v>
      </c>
      <c r="Y3" s="123"/>
      <c r="Z3" s="122" t="s">
        <v>107</v>
      </c>
      <c r="AA3" s="123"/>
      <c r="AB3" s="123"/>
      <c r="AC3" s="124"/>
      <c r="AD3" s="126"/>
      <c r="AE3" s="126"/>
    </row>
    <row r="4" spans="2:31" x14ac:dyDescent="0.3">
      <c r="B4" s="126"/>
      <c r="C4" s="127"/>
      <c r="D4" s="95" t="s">
        <v>114</v>
      </c>
      <c r="E4" s="95" t="s">
        <v>115</v>
      </c>
      <c r="F4" s="95" t="s">
        <v>12</v>
      </c>
      <c r="G4" s="95" t="s">
        <v>116</v>
      </c>
      <c r="H4" s="95" t="s">
        <v>0</v>
      </c>
      <c r="I4" s="95" t="s">
        <v>117</v>
      </c>
      <c r="J4" s="126"/>
      <c r="K4" s="126"/>
      <c r="L4" s="126"/>
      <c r="M4" s="126"/>
      <c r="N4" s="95" t="s">
        <v>114</v>
      </c>
      <c r="O4" s="95" t="s">
        <v>115</v>
      </c>
      <c r="P4" s="95" t="s">
        <v>12</v>
      </c>
      <c r="Q4" s="95" t="s">
        <v>116</v>
      </c>
      <c r="R4" s="126"/>
      <c r="S4" s="126"/>
      <c r="T4" s="126"/>
      <c r="U4" s="126"/>
      <c r="V4" s="126"/>
      <c r="W4" s="126"/>
      <c r="X4" s="95" t="s">
        <v>0</v>
      </c>
      <c r="Y4" s="95" t="s">
        <v>117</v>
      </c>
      <c r="Z4" s="95" t="s">
        <v>114</v>
      </c>
      <c r="AA4" s="95" t="s">
        <v>115</v>
      </c>
      <c r="AB4" s="95" t="s">
        <v>12</v>
      </c>
      <c r="AC4" s="95" t="s">
        <v>116</v>
      </c>
      <c r="AD4" s="127"/>
      <c r="AE4" s="126"/>
    </row>
    <row r="5" spans="2:31" x14ac:dyDescent="0.3">
      <c r="B5" s="96"/>
      <c r="C5" s="96"/>
      <c r="D5" s="96"/>
      <c r="E5" s="97"/>
      <c r="F5" s="96"/>
      <c r="G5" s="98"/>
      <c r="H5" s="96"/>
      <c r="I5" s="99"/>
      <c r="J5" s="97"/>
      <c r="K5" s="98"/>
      <c r="L5" s="100"/>
      <c r="M5" s="98"/>
      <c r="N5" s="96"/>
      <c r="O5" s="97"/>
      <c r="P5" s="70"/>
      <c r="Q5" s="97"/>
      <c r="R5" s="97"/>
      <c r="S5" s="98"/>
      <c r="T5" s="97"/>
      <c r="U5" s="98"/>
      <c r="V5" s="100"/>
      <c r="W5" s="98"/>
      <c r="X5" s="96"/>
      <c r="Y5" s="99"/>
      <c r="Z5" s="96"/>
      <c r="AA5" s="97"/>
      <c r="AB5" s="96"/>
      <c r="AC5" s="98"/>
      <c r="AD5" s="98"/>
      <c r="AE5" s="98"/>
    </row>
    <row r="6" spans="2:31" x14ac:dyDescent="0.3">
      <c r="B6" s="96"/>
      <c r="C6" s="96"/>
      <c r="D6" s="96"/>
      <c r="E6" s="97"/>
      <c r="F6" s="96"/>
      <c r="G6" s="98"/>
      <c r="H6" s="96"/>
      <c r="I6" s="99"/>
      <c r="J6" s="97"/>
      <c r="K6" s="98"/>
      <c r="L6" s="100"/>
      <c r="M6" s="98"/>
      <c r="N6" s="96"/>
      <c r="O6" s="97"/>
      <c r="P6" s="70"/>
      <c r="Q6" s="97"/>
      <c r="R6" s="97"/>
      <c r="S6" s="98"/>
      <c r="T6" s="97"/>
      <c r="U6" s="98"/>
      <c r="V6" s="100"/>
      <c r="W6" s="98"/>
      <c r="X6" s="96"/>
      <c r="Y6" s="99"/>
      <c r="Z6" s="96"/>
      <c r="AA6" s="97"/>
      <c r="AB6" s="96"/>
      <c r="AC6" s="98"/>
      <c r="AD6" s="98"/>
      <c r="AE6" s="98"/>
    </row>
    <row r="7" spans="2:31" x14ac:dyDescent="0.3">
      <c r="B7" s="96"/>
      <c r="C7" s="96"/>
      <c r="D7" s="96"/>
      <c r="E7" s="97"/>
      <c r="F7" s="70"/>
      <c r="G7" s="97"/>
      <c r="H7" s="96"/>
      <c r="I7" s="98"/>
      <c r="J7" s="97"/>
      <c r="K7" s="98"/>
      <c r="L7" s="100"/>
      <c r="M7" s="98"/>
      <c r="N7" s="96"/>
      <c r="O7" s="97"/>
      <c r="P7" s="70"/>
      <c r="Q7" s="97"/>
      <c r="R7" s="97"/>
      <c r="S7" s="98"/>
      <c r="T7" s="97"/>
      <c r="U7" s="98"/>
      <c r="V7" s="100"/>
      <c r="W7" s="98"/>
      <c r="X7" s="96"/>
      <c r="Y7" s="98"/>
      <c r="Z7" s="96"/>
      <c r="AA7" s="97"/>
      <c r="AB7" s="70"/>
      <c r="AC7" s="97"/>
      <c r="AD7" s="98"/>
      <c r="AE7" s="98"/>
    </row>
    <row r="8" spans="2:31" x14ac:dyDescent="0.3">
      <c r="B8" s="96"/>
      <c r="C8" s="96"/>
      <c r="D8" s="96"/>
      <c r="E8" s="97"/>
      <c r="F8" s="96"/>
      <c r="G8" s="98"/>
      <c r="H8" s="96"/>
      <c r="I8" s="98"/>
      <c r="J8" s="97"/>
      <c r="K8" s="98"/>
      <c r="L8" s="100"/>
      <c r="M8" s="98"/>
      <c r="N8" s="96"/>
      <c r="O8" s="97"/>
      <c r="P8" s="70"/>
      <c r="Q8" s="97"/>
      <c r="R8" s="97"/>
      <c r="S8" s="98"/>
      <c r="T8" s="97"/>
      <c r="U8" s="98"/>
      <c r="V8" s="100"/>
      <c r="W8" s="98"/>
      <c r="X8" s="96"/>
      <c r="Y8" s="98"/>
      <c r="Z8" s="96"/>
      <c r="AA8" s="97"/>
      <c r="AB8" s="96"/>
      <c r="AC8" s="98"/>
      <c r="AD8" s="98"/>
      <c r="AE8" s="98"/>
    </row>
    <row r="9" spans="2:31" x14ac:dyDescent="0.3">
      <c r="B9" s="96"/>
      <c r="C9" s="96"/>
      <c r="D9" s="96"/>
      <c r="E9" s="97"/>
      <c r="F9" s="96"/>
      <c r="G9" s="98"/>
      <c r="H9" s="96"/>
      <c r="I9" s="98"/>
      <c r="J9" s="97"/>
      <c r="K9" s="98"/>
      <c r="L9" s="100"/>
      <c r="M9" s="98"/>
      <c r="N9" s="96"/>
      <c r="O9" s="97"/>
      <c r="P9" s="70"/>
      <c r="Q9" s="97"/>
      <c r="R9" s="97"/>
      <c r="S9" s="98"/>
      <c r="T9" s="97"/>
      <c r="U9" s="98"/>
      <c r="V9" s="100"/>
      <c r="W9" s="98"/>
      <c r="X9" s="96"/>
      <c r="Y9" s="98"/>
      <c r="Z9" s="96"/>
      <c r="AA9" s="97"/>
      <c r="AB9" s="96"/>
      <c r="AC9" s="98"/>
      <c r="AD9" s="98"/>
      <c r="AE9" s="98"/>
    </row>
    <row r="10" spans="2:31" x14ac:dyDescent="0.3">
      <c r="B10" s="96"/>
      <c r="C10" s="96"/>
      <c r="D10" s="96"/>
      <c r="E10" s="97"/>
      <c r="F10" s="96"/>
      <c r="G10" s="98"/>
      <c r="H10" s="96"/>
      <c r="I10" s="98"/>
      <c r="J10" s="97"/>
      <c r="K10" s="98"/>
      <c r="L10" s="100"/>
      <c r="M10" s="98"/>
      <c r="N10" s="96"/>
      <c r="O10" s="97"/>
      <c r="P10" s="70"/>
      <c r="Q10" s="97"/>
      <c r="R10" s="97"/>
      <c r="S10" s="98"/>
      <c r="T10" s="97"/>
      <c r="U10" s="98"/>
      <c r="V10" s="100"/>
      <c r="W10" s="98"/>
      <c r="X10" s="96"/>
      <c r="Y10" s="98"/>
      <c r="Z10" s="96"/>
      <c r="AA10" s="97"/>
      <c r="AB10" s="96"/>
      <c r="AC10" s="98"/>
      <c r="AD10" s="98"/>
      <c r="AE10" s="98"/>
    </row>
    <row r="11" spans="2:31" x14ac:dyDescent="0.3">
      <c r="B11" s="96"/>
      <c r="C11" s="96"/>
      <c r="D11" s="96"/>
      <c r="E11" s="97"/>
      <c r="F11" s="96"/>
      <c r="G11" s="98"/>
      <c r="H11" s="96"/>
      <c r="I11" s="98"/>
      <c r="J11" s="97"/>
      <c r="K11" s="98"/>
      <c r="L11" s="100"/>
      <c r="M11" s="98"/>
      <c r="N11" s="96"/>
      <c r="O11" s="97"/>
      <c r="P11" s="70"/>
      <c r="Q11" s="97"/>
      <c r="R11" s="97"/>
      <c r="S11" s="98"/>
      <c r="T11" s="97"/>
      <c r="U11" s="98"/>
      <c r="V11" s="100"/>
      <c r="W11" s="98"/>
      <c r="X11" s="96"/>
      <c r="Y11" s="98"/>
      <c r="Z11" s="96"/>
      <c r="AA11" s="97"/>
      <c r="AB11" s="96"/>
      <c r="AC11" s="98"/>
      <c r="AD11" s="98"/>
      <c r="AE11" s="98"/>
    </row>
    <row r="12" spans="2:31" x14ac:dyDescent="0.3">
      <c r="B12" s="96"/>
      <c r="C12" s="96"/>
      <c r="D12" s="96"/>
      <c r="E12" s="97"/>
      <c r="F12" s="96"/>
      <c r="G12" s="98"/>
      <c r="H12" s="96"/>
      <c r="I12" s="98"/>
      <c r="J12" s="97"/>
      <c r="K12" s="98"/>
      <c r="L12" s="100"/>
      <c r="M12" s="98"/>
      <c r="N12" s="96"/>
      <c r="O12" s="97"/>
      <c r="P12" s="70"/>
      <c r="Q12" s="97"/>
      <c r="R12" s="97"/>
      <c r="S12" s="98"/>
      <c r="T12" s="97"/>
      <c r="U12" s="98"/>
      <c r="V12" s="100"/>
      <c r="W12" s="98"/>
      <c r="X12" s="96"/>
      <c r="Y12" s="98"/>
      <c r="Z12" s="96"/>
      <c r="AA12" s="97"/>
      <c r="AB12" s="96"/>
      <c r="AC12" s="98"/>
      <c r="AD12" s="98"/>
      <c r="AE12" s="98"/>
    </row>
    <row r="13" spans="2:31" x14ac:dyDescent="0.3">
      <c r="B13" s="96"/>
      <c r="C13" s="96"/>
      <c r="D13" s="96"/>
      <c r="E13" s="97"/>
      <c r="F13" s="96"/>
      <c r="G13" s="98"/>
      <c r="H13" s="96"/>
      <c r="I13" s="98"/>
      <c r="J13" s="97"/>
      <c r="K13" s="98"/>
      <c r="L13" s="100"/>
      <c r="M13" s="98"/>
      <c r="N13" s="96"/>
      <c r="O13" s="97"/>
      <c r="P13" s="70"/>
      <c r="Q13" s="97"/>
      <c r="R13" s="97"/>
      <c r="S13" s="98"/>
      <c r="T13" s="97"/>
      <c r="U13" s="98"/>
      <c r="V13" s="100"/>
      <c r="W13" s="98"/>
      <c r="X13" s="96"/>
      <c r="Y13" s="98"/>
      <c r="Z13" s="96"/>
      <c r="AA13" s="97"/>
      <c r="AB13" s="96"/>
      <c r="AC13" s="98"/>
      <c r="AD13" s="98"/>
      <c r="AE13" s="98"/>
    </row>
    <row r="14" spans="2:31" x14ac:dyDescent="0.3">
      <c r="B14" s="96"/>
      <c r="C14" s="96"/>
      <c r="D14" s="96"/>
      <c r="E14" s="97"/>
      <c r="F14" s="96"/>
      <c r="G14" s="97"/>
      <c r="H14" s="96"/>
      <c r="I14" s="98"/>
      <c r="J14" s="97"/>
      <c r="K14" s="98"/>
      <c r="L14" s="100"/>
      <c r="M14" s="98"/>
      <c r="N14" s="96"/>
      <c r="O14" s="97"/>
      <c r="P14" s="70"/>
      <c r="Q14" s="97"/>
      <c r="R14" s="97"/>
      <c r="S14" s="98"/>
      <c r="T14" s="97"/>
      <c r="U14" s="98"/>
      <c r="V14" s="100"/>
      <c r="W14" s="98"/>
      <c r="X14" s="96"/>
      <c r="Y14" s="98"/>
      <c r="Z14" s="96"/>
      <c r="AA14" s="97"/>
      <c r="AB14" s="96"/>
      <c r="AC14" s="97"/>
      <c r="AD14" s="98"/>
      <c r="AE14" s="98"/>
    </row>
    <row r="15" spans="2:31" x14ac:dyDescent="0.3">
      <c r="B15" s="96"/>
      <c r="C15" s="96"/>
      <c r="D15" s="96"/>
      <c r="E15" s="97"/>
      <c r="F15" s="96"/>
      <c r="G15" s="98"/>
      <c r="H15" s="96"/>
      <c r="I15" s="98"/>
      <c r="J15" s="97"/>
      <c r="K15" s="98"/>
      <c r="L15" s="100"/>
      <c r="M15" s="98"/>
      <c r="N15" s="96"/>
      <c r="O15" s="97"/>
      <c r="P15" s="70"/>
      <c r="Q15" s="97"/>
      <c r="R15" s="97"/>
      <c r="S15" s="98"/>
      <c r="T15" s="97"/>
      <c r="U15" s="98"/>
      <c r="V15" s="100"/>
      <c r="W15" s="98"/>
      <c r="X15" s="96"/>
      <c r="Y15" s="98"/>
      <c r="Z15" s="96"/>
      <c r="AA15" s="97"/>
      <c r="AB15" s="96"/>
      <c r="AC15" s="98"/>
      <c r="AD15" s="98"/>
      <c r="AE15" s="98"/>
    </row>
    <row r="16" spans="2:31" x14ac:dyDescent="0.3">
      <c r="B16" s="96"/>
      <c r="C16" s="96"/>
      <c r="D16" s="96"/>
      <c r="E16" s="97"/>
      <c r="F16" s="96"/>
      <c r="G16" s="98"/>
      <c r="H16" s="96"/>
      <c r="I16" s="98"/>
      <c r="J16" s="97"/>
      <c r="K16" s="98"/>
      <c r="L16" s="100"/>
      <c r="M16" s="98"/>
      <c r="N16" s="96"/>
      <c r="O16" s="97"/>
      <c r="P16" s="70"/>
      <c r="Q16" s="97"/>
      <c r="R16" s="97"/>
      <c r="S16" s="98"/>
      <c r="T16" s="97"/>
      <c r="U16" s="98"/>
      <c r="V16" s="100"/>
      <c r="W16" s="98"/>
      <c r="X16" s="96"/>
      <c r="Y16" s="98"/>
      <c r="Z16" s="96"/>
      <c r="AA16" s="97"/>
      <c r="AB16" s="96"/>
      <c r="AC16" s="98"/>
      <c r="AD16" s="98"/>
      <c r="AE16" s="98"/>
    </row>
    <row r="17" spans="2:31" x14ac:dyDescent="0.3">
      <c r="B17" s="96"/>
      <c r="C17" s="96"/>
      <c r="D17" s="96"/>
      <c r="E17" s="97"/>
      <c r="F17" s="96"/>
      <c r="G17" s="98"/>
      <c r="H17" s="96"/>
      <c r="I17" s="98"/>
      <c r="J17" s="97"/>
      <c r="K17" s="98"/>
      <c r="L17" s="100"/>
      <c r="M17" s="98"/>
      <c r="N17" s="96"/>
      <c r="O17" s="97"/>
      <c r="P17" s="70"/>
      <c r="Q17" s="97"/>
      <c r="R17" s="97"/>
      <c r="S17" s="98"/>
      <c r="T17" s="97"/>
      <c r="U17" s="98"/>
      <c r="V17" s="100"/>
      <c r="W17" s="98"/>
      <c r="X17" s="96"/>
      <c r="Y17" s="98"/>
      <c r="Z17" s="96"/>
      <c r="AA17" s="97"/>
      <c r="AB17" s="96"/>
      <c r="AC17" s="98"/>
      <c r="AD17" s="98"/>
      <c r="AE17" s="98"/>
    </row>
    <row r="18" spans="2:31" x14ac:dyDescent="0.3">
      <c r="B18" s="96"/>
      <c r="C18" s="96"/>
      <c r="D18" s="96"/>
      <c r="E18" s="97"/>
      <c r="F18" s="96"/>
      <c r="G18" s="98"/>
      <c r="H18" s="96"/>
      <c r="I18" s="98"/>
      <c r="J18" s="97"/>
      <c r="K18" s="98"/>
      <c r="L18" s="100"/>
      <c r="M18" s="98"/>
      <c r="N18" s="96"/>
      <c r="O18" s="97"/>
      <c r="P18" s="70"/>
      <c r="Q18" s="97"/>
      <c r="R18" s="97"/>
      <c r="S18" s="98"/>
      <c r="T18" s="97"/>
      <c r="U18" s="98"/>
      <c r="V18" s="100"/>
      <c r="W18" s="98"/>
      <c r="X18" s="96"/>
      <c r="Y18" s="98"/>
      <c r="Z18" s="96"/>
      <c r="AA18" s="97"/>
      <c r="AB18" s="96"/>
      <c r="AC18" s="98"/>
      <c r="AD18" s="98"/>
      <c r="AE18" s="98"/>
    </row>
    <row r="19" spans="2:31" x14ac:dyDescent="0.3">
      <c r="B19" s="96"/>
      <c r="C19" s="96"/>
      <c r="D19" s="96"/>
      <c r="E19" s="97"/>
      <c r="F19" s="96"/>
      <c r="G19" s="98"/>
      <c r="H19" s="96"/>
      <c r="I19" s="98"/>
      <c r="J19" s="97"/>
      <c r="K19" s="98"/>
      <c r="L19" s="100"/>
      <c r="M19" s="98"/>
      <c r="N19" s="96"/>
      <c r="O19" s="97"/>
      <c r="P19" s="70"/>
      <c r="Q19" s="97"/>
      <c r="R19" s="97"/>
      <c r="S19" s="98"/>
      <c r="T19" s="97"/>
      <c r="U19" s="98"/>
      <c r="V19" s="100"/>
      <c r="W19" s="98"/>
      <c r="X19" s="96"/>
      <c r="Y19" s="98"/>
      <c r="Z19" s="96"/>
      <c r="AA19" s="97"/>
      <c r="AB19" s="96"/>
      <c r="AC19" s="98"/>
      <c r="AD19" s="98"/>
      <c r="AE19" s="98"/>
    </row>
    <row r="20" spans="2:31" x14ac:dyDescent="0.3">
      <c r="B20" s="96"/>
      <c r="C20" s="96"/>
      <c r="D20" s="96"/>
      <c r="E20" s="97"/>
      <c r="F20" s="96"/>
      <c r="G20" s="98"/>
      <c r="H20" s="96"/>
      <c r="I20" s="98"/>
      <c r="J20" s="97"/>
      <c r="K20" s="98"/>
      <c r="L20" s="100"/>
      <c r="M20" s="98"/>
      <c r="N20" s="96"/>
      <c r="O20" s="97"/>
      <c r="P20" s="70"/>
      <c r="Q20" s="97"/>
      <c r="R20" s="97"/>
      <c r="S20" s="98"/>
      <c r="T20" s="97"/>
      <c r="U20" s="98"/>
      <c r="V20" s="100"/>
      <c r="W20" s="98"/>
      <c r="X20" s="96"/>
      <c r="Y20" s="98"/>
      <c r="Z20" s="96"/>
      <c r="AA20" s="97"/>
      <c r="AB20" s="96"/>
      <c r="AC20" s="98"/>
      <c r="AD20" s="111"/>
      <c r="AE20" s="98"/>
    </row>
    <row r="21" spans="2:31" x14ac:dyDescent="0.3">
      <c r="B21" s="96"/>
      <c r="C21" s="96"/>
      <c r="D21" s="96"/>
      <c r="E21" s="97"/>
      <c r="F21" s="96"/>
      <c r="G21" s="98"/>
      <c r="H21" s="96"/>
      <c r="I21" s="98"/>
      <c r="J21" s="97"/>
      <c r="K21" s="98"/>
      <c r="L21" s="100"/>
      <c r="M21" s="98"/>
      <c r="N21" s="96"/>
      <c r="O21" s="97"/>
      <c r="P21" s="70"/>
      <c r="Q21" s="97"/>
      <c r="R21" s="97"/>
      <c r="S21" s="98"/>
      <c r="T21" s="97"/>
      <c r="U21" s="98"/>
      <c r="V21" s="100"/>
      <c r="W21" s="98"/>
      <c r="X21" s="96"/>
      <c r="Y21" s="98"/>
      <c r="Z21" s="96"/>
      <c r="AA21" s="97"/>
      <c r="AB21" s="96"/>
      <c r="AC21" s="98"/>
      <c r="AD21" s="98"/>
      <c r="AE21" s="98"/>
    </row>
    <row r="22" spans="2:31" x14ac:dyDescent="0.3">
      <c r="B22" s="96"/>
      <c r="C22" s="96"/>
      <c r="D22" s="96"/>
      <c r="E22" s="97"/>
      <c r="F22" s="96"/>
      <c r="G22" s="98"/>
      <c r="H22" s="96"/>
      <c r="I22" s="98"/>
      <c r="J22" s="97"/>
      <c r="K22" s="98"/>
      <c r="L22" s="100"/>
      <c r="M22" s="98"/>
      <c r="N22" s="96"/>
      <c r="O22" s="97"/>
      <c r="P22" s="70"/>
      <c r="Q22" s="97"/>
      <c r="R22" s="97"/>
      <c r="S22" s="98"/>
      <c r="T22" s="97"/>
      <c r="U22" s="98"/>
      <c r="V22" s="100"/>
      <c r="W22" s="98"/>
      <c r="X22" s="96"/>
      <c r="Y22" s="98"/>
      <c r="Z22" s="96"/>
      <c r="AA22" s="97"/>
      <c r="AB22" s="96"/>
      <c r="AC22" s="98"/>
      <c r="AD22" s="98"/>
      <c r="AE22" s="98"/>
    </row>
    <row r="23" spans="2:31" x14ac:dyDescent="0.3">
      <c r="B23" s="96"/>
      <c r="C23" s="96"/>
      <c r="D23" s="96"/>
      <c r="E23" s="97"/>
      <c r="F23" s="96"/>
      <c r="G23" s="98"/>
      <c r="H23" s="96"/>
      <c r="I23" s="98"/>
      <c r="J23" s="97"/>
      <c r="K23" s="98"/>
      <c r="L23" s="100"/>
      <c r="M23" s="98"/>
      <c r="N23" s="96"/>
      <c r="O23" s="97"/>
      <c r="P23" s="70"/>
      <c r="Q23" s="97"/>
      <c r="R23" s="97"/>
      <c r="S23" s="98"/>
      <c r="T23" s="97"/>
      <c r="U23" s="98"/>
      <c r="V23" s="100"/>
      <c r="W23" s="98"/>
      <c r="X23" s="96"/>
      <c r="Y23" s="98"/>
      <c r="Z23" s="96"/>
      <c r="AA23" s="97"/>
      <c r="AB23" s="96"/>
      <c r="AC23" s="98"/>
      <c r="AD23" s="98"/>
      <c r="AE23" s="98"/>
    </row>
    <row r="24" spans="2:31" x14ac:dyDescent="0.3">
      <c r="B24" s="96"/>
      <c r="C24" s="96"/>
      <c r="D24" s="96"/>
      <c r="E24" s="97"/>
      <c r="F24" s="96"/>
      <c r="G24" s="98"/>
      <c r="H24" s="96"/>
      <c r="I24" s="98"/>
      <c r="J24" s="97"/>
      <c r="K24" s="98"/>
      <c r="L24" s="100"/>
      <c r="M24" s="98"/>
      <c r="N24" s="96"/>
      <c r="O24" s="97"/>
      <c r="P24" s="70"/>
      <c r="Q24" s="97"/>
      <c r="R24" s="97"/>
      <c r="S24" s="98"/>
      <c r="T24" s="97"/>
      <c r="U24" s="98"/>
      <c r="V24" s="100"/>
      <c r="W24" s="98"/>
      <c r="X24" s="96"/>
      <c r="Y24" s="98"/>
      <c r="Z24" s="96"/>
      <c r="AA24" s="97"/>
      <c r="AB24" s="96"/>
      <c r="AC24" s="98"/>
      <c r="AD24" s="98"/>
      <c r="AE24" s="98"/>
    </row>
    <row r="25" spans="2:31" x14ac:dyDescent="0.3">
      <c r="B25" s="96"/>
      <c r="C25" s="96"/>
      <c r="D25" s="96"/>
      <c r="E25" s="97"/>
      <c r="F25" s="96"/>
      <c r="G25" s="98"/>
      <c r="H25" s="96"/>
      <c r="I25" s="98"/>
      <c r="J25" s="97"/>
      <c r="K25" s="98"/>
      <c r="L25" s="100"/>
      <c r="M25" s="98"/>
      <c r="N25" s="96"/>
      <c r="O25" s="97"/>
      <c r="P25" s="70"/>
      <c r="Q25" s="97"/>
      <c r="R25" s="97"/>
      <c r="S25" s="98"/>
      <c r="T25" s="97"/>
      <c r="U25" s="98"/>
      <c r="V25" s="100"/>
      <c r="W25" s="98"/>
      <c r="X25" s="96"/>
      <c r="Y25" s="98"/>
      <c r="Z25" s="96"/>
      <c r="AA25" s="97"/>
      <c r="AB25" s="96"/>
      <c r="AC25" s="98"/>
      <c r="AD25" s="98"/>
      <c r="AE25" s="98"/>
    </row>
    <row r="26" spans="2:31" x14ac:dyDescent="0.3">
      <c r="B26" s="96"/>
      <c r="C26" s="96"/>
      <c r="D26" s="96"/>
      <c r="E26" s="97"/>
      <c r="F26" s="96"/>
      <c r="G26" s="98"/>
      <c r="H26" s="96"/>
      <c r="I26" s="98"/>
      <c r="J26" s="97"/>
      <c r="K26" s="98"/>
      <c r="L26" s="100"/>
      <c r="M26" s="98"/>
      <c r="N26" s="96"/>
      <c r="O26" s="97"/>
      <c r="P26" s="70"/>
      <c r="Q26" s="97"/>
      <c r="R26" s="97"/>
      <c r="S26" s="98"/>
      <c r="T26" s="97"/>
      <c r="U26" s="98"/>
      <c r="V26" s="100"/>
      <c r="W26" s="98"/>
      <c r="X26" s="96"/>
      <c r="Y26" s="98"/>
      <c r="Z26" s="96"/>
      <c r="AA26" s="97"/>
      <c r="AB26" s="96"/>
      <c r="AC26" s="98"/>
      <c r="AD26" s="98"/>
      <c r="AE26" s="98"/>
    </row>
    <row r="27" spans="2:31" x14ac:dyDescent="0.3">
      <c r="B27" s="96"/>
      <c r="C27" s="96"/>
      <c r="D27" s="96"/>
      <c r="E27" s="97"/>
      <c r="F27" s="96"/>
      <c r="G27" s="98"/>
      <c r="H27" s="96"/>
      <c r="I27" s="98"/>
      <c r="J27" s="97"/>
      <c r="K27" s="98"/>
      <c r="L27" s="100"/>
      <c r="M27" s="98"/>
      <c r="N27" s="96"/>
      <c r="O27" s="97"/>
      <c r="P27" s="70"/>
      <c r="Q27" s="97"/>
      <c r="R27" s="97"/>
      <c r="S27" s="98"/>
      <c r="T27" s="97"/>
      <c r="U27" s="98"/>
      <c r="V27" s="100"/>
      <c r="W27" s="98"/>
      <c r="X27" s="96"/>
      <c r="Y27" s="98"/>
      <c r="Z27" s="96"/>
      <c r="AA27" s="97"/>
      <c r="AB27" s="96"/>
      <c r="AC27" s="98"/>
      <c r="AD27" s="98"/>
      <c r="AE27" s="98"/>
    </row>
    <row r="28" spans="2:31" x14ac:dyDescent="0.3">
      <c r="B28" s="96"/>
      <c r="C28" s="96"/>
      <c r="D28" s="96"/>
      <c r="E28" s="97"/>
      <c r="F28" s="96"/>
      <c r="G28" s="98"/>
      <c r="H28" s="96"/>
      <c r="I28" s="98"/>
      <c r="J28" s="97"/>
      <c r="K28" s="98"/>
      <c r="L28" s="100"/>
      <c r="M28" s="98"/>
      <c r="N28" s="96"/>
      <c r="O28" s="97"/>
      <c r="P28" s="70"/>
      <c r="Q28" s="97"/>
      <c r="R28" s="97"/>
      <c r="S28" s="98"/>
      <c r="T28" s="97"/>
      <c r="U28" s="98"/>
      <c r="V28" s="100"/>
      <c r="W28" s="98"/>
      <c r="X28" s="96"/>
      <c r="Y28" s="98"/>
      <c r="Z28" s="96"/>
      <c r="AA28" s="97"/>
      <c r="AB28" s="96"/>
      <c r="AC28" s="98"/>
      <c r="AD28" s="98"/>
      <c r="AE28" s="98"/>
    </row>
    <row r="29" spans="2:31" x14ac:dyDescent="0.3">
      <c r="B29" s="96"/>
      <c r="C29" s="96"/>
      <c r="D29" s="96"/>
      <c r="E29" s="97"/>
      <c r="F29" s="96"/>
      <c r="G29" s="98"/>
      <c r="H29" s="96"/>
      <c r="I29" s="98"/>
      <c r="J29" s="97"/>
      <c r="K29" s="98"/>
      <c r="L29" s="100"/>
      <c r="M29" s="98"/>
      <c r="N29" s="96"/>
      <c r="O29" s="97"/>
      <c r="P29" s="70"/>
      <c r="Q29" s="97"/>
      <c r="R29" s="97"/>
      <c r="S29" s="98"/>
      <c r="T29" s="97"/>
      <c r="U29" s="98"/>
      <c r="V29" s="100"/>
      <c r="W29" s="98"/>
      <c r="X29" s="96"/>
      <c r="Y29" s="98"/>
      <c r="Z29" s="96"/>
      <c r="AA29" s="97"/>
      <c r="AB29" s="96"/>
      <c r="AC29" s="98"/>
      <c r="AD29" s="98"/>
      <c r="AE29" s="98"/>
    </row>
    <row r="30" spans="2:31" x14ac:dyDescent="0.3">
      <c r="B30" s="96"/>
      <c r="C30" s="96"/>
      <c r="D30" s="96"/>
      <c r="E30" s="97"/>
      <c r="F30" s="96"/>
      <c r="G30" s="98"/>
      <c r="H30" s="96"/>
      <c r="I30" s="98"/>
      <c r="J30" s="97"/>
      <c r="K30" s="98"/>
      <c r="L30" s="100"/>
      <c r="M30" s="98"/>
      <c r="N30" s="96"/>
      <c r="O30" s="97"/>
      <c r="P30" s="70"/>
      <c r="Q30" s="97"/>
      <c r="R30" s="97"/>
      <c r="S30" s="98"/>
      <c r="T30" s="97"/>
      <c r="U30" s="98"/>
      <c r="V30" s="100"/>
      <c r="W30" s="98"/>
      <c r="X30" s="96"/>
      <c r="Y30" s="98"/>
      <c r="Z30" s="96"/>
      <c r="AA30" s="97"/>
      <c r="AB30" s="96"/>
      <c r="AC30" s="98"/>
      <c r="AD30" s="98"/>
      <c r="AE30" s="98"/>
    </row>
    <row r="31" spans="2:31" x14ac:dyDescent="0.3">
      <c r="B31" s="96"/>
      <c r="C31" s="96"/>
      <c r="D31" s="96"/>
      <c r="E31" s="97"/>
      <c r="F31" s="96"/>
      <c r="G31" s="98"/>
      <c r="H31" s="96"/>
      <c r="I31" s="98"/>
      <c r="J31" s="97"/>
      <c r="K31" s="98"/>
      <c r="L31" s="100"/>
      <c r="M31" s="98"/>
      <c r="N31" s="96"/>
      <c r="O31" s="97"/>
      <c r="P31" s="70"/>
      <c r="Q31" s="97"/>
      <c r="R31" s="97"/>
      <c r="S31" s="98"/>
      <c r="T31" s="97"/>
      <c r="U31" s="98"/>
      <c r="V31" s="100"/>
      <c r="W31" s="98"/>
      <c r="X31" s="96"/>
      <c r="Y31" s="98"/>
      <c r="Z31" s="96"/>
      <c r="AA31" s="97"/>
      <c r="AB31" s="96"/>
      <c r="AC31" s="98"/>
      <c r="AD31" s="98"/>
      <c r="AE31" s="98"/>
    </row>
    <row r="32" spans="2:31" x14ac:dyDescent="0.3">
      <c r="B32" s="96"/>
      <c r="C32" s="96"/>
      <c r="D32" s="96"/>
      <c r="E32" s="97"/>
      <c r="F32" s="96"/>
      <c r="G32" s="98"/>
      <c r="H32" s="96"/>
      <c r="I32" s="98"/>
      <c r="J32" s="97"/>
      <c r="K32" s="98"/>
      <c r="L32" s="100"/>
      <c r="M32" s="98"/>
      <c r="N32" s="96"/>
      <c r="O32" s="97"/>
      <c r="P32" s="70"/>
      <c r="Q32" s="97"/>
      <c r="R32" s="97"/>
      <c r="S32" s="98"/>
      <c r="T32" s="97"/>
      <c r="U32" s="98"/>
      <c r="V32" s="100"/>
      <c r="W32" s="98"/>
      <c r="X32" s="96"/>
      <c r="Y32" s="98"/>
      <c r="Z32" s="96"/>
      <c r="AA32" s="97"/>
      <c r="AB32" s="96"/>
      <c r="AC32" s="98"/>
      <c r="AD32" s="98"/>
      <c r="AE32" s="98"/>
    </row>
    <row r="33" spans="2:31" x14ac:dyDescent="0.3">
      <c r="B33" s="96"/>
      <c r="C33" s="96"/>
      <c r="D33" s="96"/>
      <c r="E33" s="97"/>
      <c r="F33" s="96"/>
      <c r="G33" s="98"/>
      <c r="H33" s="96"/>
      <c r="I33" s="98"/>
      <c r="J33" s="97"/>
      <c r="K33" s="98"/>
      <c r="L33" s="100"/>
      <c r="M33" s="98"/>
      <c r="N33" s="96"/>
      <c r="O33" s="97"/>
      <c r="P33" s="70"/>
      <c r="Q33" s="97"/>
      <c r="R33" s="97"/>
      <c r="S33" s="98"/>
      <c r="T33" s="97"/>
      <c r="U33" s="98"/>
      <c r="V33" s="100"/>
      <c r="W33" s="98"/>
      <c r="X33" s="96"/>
      <c r="Y33" s="98"/>
      <c r="Z33" s="96"/>
      <c r="AA33" s="97"/>
      <c r="AB33" s="96"/>
      <c r="AC33" s="98"/>
      <c r="AD33" s="98"/>
      <c r="AE33" s="98"/>
    </row>
    <row r="34" spans="2:31" x14ac:dyDescent="0.3">
      <c r="B34" s="96"/>
      <c r="C34" s="96"/>
      <c r="D34" s="96"/>
      <c r="E34" s="97"/>
      <c r="F34" s="96"/>
      <c r="G34" s="98"/>
      <c r="H34" s="96"/>
      <c r="I34" s="98"/>
      <c r="J34" s="97"/>
      <c r="K34" s="98"/>
      <c r="L34" s="100"/>
      <c r="M34" s="98"/>
      <c r="N34" s="96"/>
      <c r="O34" s="97"/>
      <c r="P34" s="70"/>
      <c r="Q34" s="97"/>
      <c r="R34" s="97"/>
      <c r="S34" s="98"/>
      <c r="T34" s="97"/>
      <c r="U34" s="98"/>
      <c r="V34" s="100"/>
      <c r="W34" s="98"/>
      <c r="X34" s="96"/>
      <c r="Y34" s="98"/>
      <c r="Z34" s="96"/>
      <c r="AA34" s="97"/>
      <c r="AB34" s="96"/>
      <c r="AC34" s="98"/>
      <c r="AD34" s="98"/>
      <c r="AE34" s="98"/>
    </row>
    <row r="35" spans="2:31" x14ac:dyDescent="0.3">
      <c r="B35" s="96"/>
      <c r="C35" s="96"/>
      <c r="D35" s="96"/>
      <c r="E35" s="97"/>
      <c r="F35" s="96"/>
      <c r="G35" s="98"/>
      <c r="H35" s="96"/>
      <c r="I35" s="98"/>
      <c r="J35" s="97"/>
      <c r="K35" s="98"/>
      <c r="L35" s="100"/>
      <c r="M35" s="98"/>
      <c r="N35" s="96"/>
      <c r="O35" s="97"/>
      <c r="P35" s="70"/>
      <c r="Q35" s="97"/>
      <c r="R35" s="97"/>
      <c r="S35" s="98"/>
      <c r="T35" s="97"/>
      <c r="U35" s="98"/>
      <c r="V35" s="100"/>
      <c r="W35" s="98"/>
      <c r="X35" s="96"/>
      <c r="Y35" s="98"/>
      <c r="Z35" s="96"/>
      <c r="AA35" s="97"/>
      <c r="AB35" s="96"/>
      <c r="AC35" s="98"/>
      <c r="AD35" s="98"/>
      <c r="AE35" s="98"/>
    </row>
    <row r="36" spans="2:31" x14ac:dyDescent="0.3">
      <c r="B36" s="96"/>
      <c r="C36" s="96"/>
      <c r="D36" s="96"/>
      <c r="E36" s="97"/>
      <c r="F36" s="96"/>
      <c r="G36" s="98"/>
      <c r="H36" s="96"/>
      <c r="I36" s="98"/>
      <c r="J36" s="97"/>
      <c r="K36" s="98"/>
      <c r="L36" s="100"/>
      <c r="M36" s="98"/>
      <c r="N36" s="96"/>
      <c r="O36" s="97"/>
      <c r="P36" s="70"/>
      <c r="Q36" s="97"/>
      <c r="R36" s="97"/>
      <c r="S36" s="98"/>
      <c r="T36" s="97"/>
      <c r="U36" s="98"/>
      <c r="V36" s="100"/>
      <c r="W36" s="98"/>
      <c r="X36" s="96"/>
      <c r="Y36" s="98"/>
      <c r="Z36" s="96"/>
      <c r="AA36" s="97"/>
      <c r="AB36" s="96"/>
      <c r="AC36" s="98"/>
      <c r="AD36" s="98"/>
      <c r="AE36" s="98"/>
    </row>
    <row r="37" spans="2:31" x14ac:dyDescent="0.3">
      <c r="B37" s="96"/>
      <c r="C37" s="96"/>
      <c r="D37" s="96"/>
      <c r="E37" s="97"/>
      <c r="F37" s="96"/>
      <c r="G37" s="98"/>
      <c r="H37" s="96"/>
      <c r="I37" s="98"/>
      <c r="J37" s="97"/>
      <c r="K37" s="98"/>
      <c r="L37" s="100"/>
      <c r="M37" s="98"/>
      <c r="N37" s="96"/>
      <c r="O37" s="97"/>
      <c r="P37" s="70"/>
      <c r="Q37" s="97"/>
      <c r="R37" s="97"/>
      <c r="S37" s="98"/>
      <c r="T37" s="97"/>
      <c r="U37" s="98"/>
      <c r="V37" s="100"/>
      <c r="W37" s="98"/>
      <c r="X37" s="96"/>
      <c r="Y37" s="98"/>
      <c r="Z37" s="96"/>
      <c r="AA37" s="97"/>
      <c r="AB37" s="96"/>
      <c r="AC37" s="98"/>
      <c r="AD37" s="98"/>
      <c r="AE37" s="98"/>
    </row>
    <row r="38" spans="2:31" x14ac:dyDescent="0.3">
      <c r="B38" s="96"/>
      <c r="C38" s="96"/>
      <c r="D38" s="96"/>
      <c r="E38" s="97"/>
      <c r="F38" s="96"/>
      <c r="G38" s="98"/>
      <c r="H38" s="96"/>
      <c r="I38" s="98"/>
      <c r="J38" s="97"/>
      <c r="K38" s="98"/>
      <c r="L38" s="100"/>
      <c r="M38" s="98"/>
      <c r="N38" s="96"/>
      <c r="O38" s="97"/>
      <c r="P38" s="70"/>
      <c r="Q38" s="97"/>
      <c r="R38" s="97"/>
      <c r="S38" s="98"/>
      <c r="T38" s="97"/>
      <c r="U38" s="98"/>
      <c r="V38" s="100"/>
      <c r="W38" s="98"/>
      <c r="X38" s="96"/>
      <c r="Y38" s="98"/>
      <c r="Z38" s="96"/>
      <c r="AA38" s="97"/>
      <c r="AB38" s="96"/>
      <c r="AC38" s="98"/>
      <c r="AD38" s="98"/>
      <c r="AE38" s="98"/>
    </row>
    <row r="39" spans="2:31" x14ac:dyDescent="0.3">
      <c r="B39" s="96"/>
      <c r="C39" s="96"/>
      <c r="D39" s="96"/>
      <c r="E39" s="97"/>
      <c r="F39" s="96"/>
      <c r="G39" s="98"/>
      <c r="H39" s="96"/>
      <c r="I39" s="98"/>
      <c r="J39" s="97"/>
      <c r="K39" s="98"/>
      <c r="L39" s="100"/>
      <c r="M39" s="98"/>
      <c r="N39" s="96"/>
      <c r="O39" s="97"/>
      <c r="P39" s="70"/>
      <c r="Q39" s="97"/>
      <c r="R39" s="97"/>
      <c r="S39" s="98"/>
      <c r="T39" s="97"/>
      <c r="U39" s="98"/>
      <c r="V39" s="100"/>
      <c r="W39" s="98"/>
      <c r="X39" s="96"/>
      <c r="Y39" s="98"/>
      <c r="Z39" s="96"/>
      <c r="AA39" s="97"/>
      <c r="AB39" s="96"/>
      <c r="AC39" s="98"/>
      <c r="AD39" s="98"/>
      <c r="AE39" s="98"/>
    </row>
    <row r="40" spans="2:31" x14ac:dyDescent="0.3">
      <c r="B40" s="96"/>
      <c r="C40" s="96"/>
      <c r="D40" s="96"/>
      <c r="E40" s="97"/>
      <c r="F40" s="96"/>
      <c r="G40" s="98"/>
      <c r="H40" s="96"/>
      <c r="I40" s="98"/>
      <c r="J40" s="97"/>
      <c r="K40" s="98"/>
      <c r="L40" s="100"/>
      <c r="M40" s="98"/>
      <c r="N40" s="96"/>
      <c r="O40" s="97"/>
      <c r="P40" s="70"/>
      <c r="Q40" s="97"/>
      <c r="R40" s="97"/>
      <c r="S40" s="98"/>
      <c r="T40" s="97"/>
      <c r="U40" s="98"/>
      <c r="V40" s="100"/>
      <c r="W40" s="98"/>
      <c r="X40" s="96"/>
      <c r="Y40" s="98"/>
      <c r="Z40" s="96"/>
      <c r="AA40" s="97"/>
      <c r="AB40" s="96"/>
      <c r="AC40" s="98"/>
      <c r="AD40" s="98"/>
      <c r="AE40" s="98"/>
    </row>
    <row r="41" spans="2:31" x14ac:dyDescent="0.3">
      <c r="B41" s="96"/>
      <c r="C41" s="96"/>
      <c r="D41" s="96"/>
      <c r="E41" s="97"/>
      <c r="F41" s="96"/>
      <c r="G41" s="98"/>
      <c r="H41" s="96"/>
      <c r="I41" s="98"/>
      <c r="J41" s="97"/>
      <c r="K41" s="98"/>
      <c r="L41" s="100"/>
      <c r="M41" s="98"/>
      <c r="N41" s="96"/>
      <c r="O41" s="97"/>
      <c r="P41" s="70"/>
      <c r="Q41" s="97"/>
      <c r="R41" s="97"/>
      <c r="S41" s="98"/>
      <c r="T41" s="97"/>
      <c r="U41" s="98"/>
      <c r="V41" s="100"/>
      <c r="W41" s="98"/>
      <c r="X41" s="96"/>
      <c r="Y41" s="98"/>
      <c r="Z41" s="96"/>
      <c r="AA41" s="97"/>
      <c r="AB41" s="96"/>
      <c r="AC41" s="98"/>
      <c r="AD41" s="98"/>
      <c r="AE41" s="98"/>
    </row>
    <row r="42" spans="2:31" x14ac:dyDescent="0.3">
      <c r="B42" s="96"/>
      <c r="C42" s="96"/>
      <c r="D42" s="96"/>
      <c r="E42" s="97"/>
      <c r="F42" s="96"/>
      <c r="G42" s="98"/>
      <c r="H42" s="96"/>
      <c r="I42" s="98"/>
      <c r="J42" s="97"/>
      <c r="K42" s="98"/>
      <c r="L42" s="100"/>
      <c r="M42" s="98"/>
      <c r="N42" s="96"/>
      <c r="O42" s="97"/>
      <c r="P42" s="70"/>
      <c r="Q42" s="97"/>
      <c r="R42" s="97"/>
      <c r="S42" s="98"/>
      <c r="T42" s="97"/>
      <c r="U42" s="98"/>
      <c r="V42" s="100"/>
      <c r="W42" s="98"/>
      <c r="X42" s="96"/>
      <c r="Y42" s="98"/>
      <c r="Z42" s="96"/>
      <c r="AA42" s="97"/>
      <c r="AB42" s="96"/>
      <c r="AC42" s="98"/>
      <c r="AD42" s="98"/>
      <c r="AE42" s="98"/>
    </row>
    <row r="43" spans="2:31" x14ac:dyDescent="0.3">
      <c r="B43" s="96"/>
      <c r="C43" s="96"/>
      <c r="D43" s="96"/>
      <c r="E43" s="97"/>
      <c r="F43" s="96"/>
      <c r="G43" s="98"/>
      <c r="H43" s="96"/>
      <c r="I43" s="98"/>
      <c r="J43" s="97"/>
      <c r="K43" s="98"/>
      <c r="L43" s="100"/>
      <c r="M43" s="98"/>
      <c r="N43" s="96"/>
      <c r="O43" s="97"/>
      <c r="P43" s="70"/>
      <c r="Q43" s="97"/>
      <c r="R43" s="97"/>
      <c r="S43" s="98"/>
      <c r="T43" s="97"/>
      <c r="U43" s="98"/>
      <c r="V43" s="100"/>
      <c r="W43" s="98"/>
      <c r="X43" s="96"/>
      <c r="Y43" s="98"/>
      <c r="Z43" s="96"/>
      <c r="AA43" s="97"/>
      <c r="AB43" s="96"/>
      <c r="AC43" s="98"/>
      <c r="AD43" s="98"/>
      <c r="AE43" s="98"/>
    </row>
    <row r="44" spans="2:31" x14ac:dyDescent="0.3">
      <c r="B44" s="96"/>
      <c r="C44" s="96"/>
      <c r="D44" s="96"/>
      <c r="E44" s="97"/>
      <c r="F44" s="96"/>
      <c r="G44" s="98"/>
      <c r="H44" s="96"/>
      <c r="I44" s="98"/>
      <c r="J44" s="97"/>
      <c r="K44" s="98"/>
      <c r="L44" s="100"/>
      <c r="M44" s="98"/>
      <c r="N44" s="96"/>
      <c r="O44" s="97"/>
      <c r="P44" s="70"/>
      <c r="Q44" s="97"/>
      <c r="R44" s="97"/>
      <c r="S44" s="98"/>
      <c r="T44" s="97"/>
      <c r="U44" s="98"/>
      <c r="V44" s="100"/>
      <c r="W44" s="98"/>
      <c r="X44" s="96"/>
      <c r="Y44" s="98"/>
      <c r="Z44" s="96"/>
      <c r="AA44" s="97"/>
      <c r="AB44" s="96"/>
      <c r="AC44" s="98"/>
      <c r="AD44" s="98"/>
      <c r="AE44" s="98"/>
    </row>
    <row r="45" spans="2:31" x14ac:dyDescent="0.3">
      <c r="B45" s="96"/>
      <c r="C45" s="96"/>
      <c r="D45" s="96"/>
      <c r="E45" s="97"/>
      <c r="F45" s="96"/>
      <c r="G45" s="98"/>
      <c r="H45" s="96"/>
      <c r="I45" s="98"/>
      <c r="J45" s="97"/>
      <c r="K45" s="98"/>
      <c r="L45" s="100"/>
      <c r="M45" s="98"/>
      <c r="N45" s="96"/>
      <c r="O45" s="97"/>
      <c r="P45" s="70"/>
      <c r="Q45" s="97"/>
      <c r="R45" s="97"/>
      <c r="S45" s="98"/>
      <c r="T45" s="97"/>
      <c r="U45" s="98"/>
      <c r="V45" s="100"/>
      <c r="W45" s="98"/>
      <c r="X45" s="96"/>
      <c r="Y45" s="98"/>
      <c r="Z45" s="96"/>
      <c r="AA45" s="97"/>
      <c r="AB45" s="96"/>
      <c r="AC45" s="98"/>
      <c r="AD45" s="98"/>
      <c r="AE45" s="98"/>
    </row>
    <row r="46" spans="2:31" x14ac:dyDescent="0.3">
      <c r="B46" s="96"/>
      <c r="C46" s="96"/>
      <c r="D46" s="96"/>
      <c r="E46" s="97"/>
      <c r="F46" s="96"/>
      <c r="G46" s="98"/>
      <c r="H46" s="96"/>
      <c r="I46" s="98"/>
      <c r="J46" s="97"/>
      <c r="K46" s="98"/>
      <c r="L46" s="100"/>
      <c r="M46" s="98"/>
      <c r="N46" s="96"/>
      <c r="O46" s="97"/>
      <c r="P46" s="70"/>
      <c r="Q46" s="97"/>
      <c r="R46" s="97"/>
      <c r="S46" s="98"/>
      <c r="T46" s="97"/>
      <c r="U46" s="98"/>
      <c r="V46" s="100"/>
      <c r="W46" s="98"/>
      <c r="X46" s="96"/>
      <c r="Y46" s="98"/>
      <c r="Z46" s="96"/>
      <c r="AA46" s="97"/>
      <c r="AB46" s="96"/>
      <c r="AC46" s="98"/>
      <c r="AD46" s="98"/>
      <c r="AE46" s="98"/>
    </row>
    <row r="47" spans="2:31" x14ac:dyDescent="0.3">
      <c r="B47" s="96"/>
      <c r="C47" s="96"/>
      <c r="D47" s="96"/>
      <c r="E47" s="97"/>
      <c r="F47" s="96"/>
      <c r="G47" s="98"/>
      <c r="H47" s="96"/>
      <c r="I47" s="98"/>
      <c r="J47" s="97"/>
      <c r="K47" s="98"/>
      <c r="L47" s="100"/>
      <c r="M47" s="98"/>
      <c r="N47" s="96"/>
      <c r="O47" s="97"/>
      <c r="P47" s="70"/>
      <c r="Q47" s="97"/>
      <c r="R47" s="97"/>
      <c r="S47" s="98"/>
      <c r="T47" s="97"/>
      <c r="U47" s="98"/>
      <c r="V47" s="100"/>
      <c r="W47" s="98"/>
      <c r="X47" s="96"/>
      <c r="Y47" s="98"/>
      <c r="Z47" s="96"/>
      <c r="AA47" s="97"/>
      <c r="AB47" s="96"/>
      <c r="AC47" s="98"/>
      <c r="AD47" s="98"/>
      <c r="AE47" s="98"/>
    </row>
    <row r="48" spans="2:31" x14ac:dyDescent="0.3">
      <c r="B48" s="96"/>
      <c r="C48" s="96"/>
      <c r="D48" s="96"/>
      <c r="E48" s="97"/>
      <c r="F48" s="96"/>
      <c r="G48" s="98"/>
      <c r="H48" s="96"/>
      <c r="I48" s="98"/>
      <c r="J48" s="97"/>
      <c r="K48" s="98"/>
      <c r="L48" s="100"/>
      <c r="M48" s="98"/>
      <c r="N48" s="96"/>
      <c r="O48" s="97"/>
      <c r="P48" s="70"/>
      <c r="Q48" s="97"/>
      <c r="R48" s="97"/>
      <c r="S48" s="98"/>
      <c r="T48" s="97"/>
      <c r="U48" s="98"/>
      <c r="V48" s="100"/>
      <c r="W48" s="98"/>
      <c r="X48" s="96"/>
      <c r="Y48" s="98"/>
      <c r="Z48" s="96"/>
      <c r="AA48" s="97"/>
      <c r="AB48" s="96"/>
      <c r="AC48" s="98"/>
      <c r="AD48" s="98"/>
      <c r="AE48" s="98"/>
    </row>
    <row r="49" spans="2:31" x14ac:dyDescent="0.3">
      <c r="B49" s="96"/>
      <c r="C49" s="96"/>
      <c r="D49" s="96"/>
      <c r="E49" s="97"/>
      <c r="F49" s="96"/>
      <c r="G49" s="98"/>
      <c r="H49" s="96"/>
      <c r="I49" s="98"/>
      <c r="J49" s="97"/>
      <c r="K49" s="98"/>
      <c r="L49" s="100"/>
      <c r="M49" s="98"/>
      <c r="N49" s="96"/>
      <c r="O49" s="97"/>
      <c r="P49" s="70"/>
      <c r="Q49" s="97"/>
      <c r="R49" s="97"/>
      <c r="S49" s="98"/>
      <c r="T49" s="97"/>
      <c r="U49" s="98"/>
      <c r="V49" s="100"/>
      <c r="W49" s="98"/>
      <c r="X49" s="96"/>
      <c r="Y49" s="98"/>
      <c r="Z49" s="96"/>
      <c r="AA49" s="97"/>
      <c r="AB49" s="96"/>
      <c r="AC49" s="98"/>
      <c r="AD49" s="98"/>
      <c r="AE49" s="98"/>
    </row>
    <row r="50" spans="2:31" x14ac:dyDescent="0.3">
      <c r="B50" s="96"/>
      <c r="C50" s="96"/>
      <c r="D50" s="96"/>
      <c r="E50" s="97"/>
      <c r="F50" s="96"/>
      <c r="G50" s="98"/>
      <c r="H50" s="96"/>
      <c r="I50" s="98"/>
      <c r="J50" s="97"/>
      <c r="K50" s="98"/>
      <c r="L50" s="100"/>
      <c r="M50" s="98"/>
      <c r="N50" s="96"/>
      <c r="O50" s="97"/>
      <c r="P50" s="70"/>
      <c r="Q50" s="97"/>
      <c r="R50" s="97"/>
      <c r="S50" s="98"/>
      <c r="T50" s="97"/>
      <c r="U50" s="98"/>
      <c r="V50" s="100"/>
      <c r="W50" s="98"/>
      <c r="X50" s="96"/>
      <c r="Y50" s="98"/>
      <c r="Z50" s="96"/>
      <c r="AA50" s="97"/>
      <c r="AB50" s="96"/>
      <c r="AC50" s="98"/>
      <c r="AD50" s="98"/>
      <c r="AE50" s="98"/>
    </row>
    <row r="51" spans="2:31" x14ac:dyDescent="0.3">
      <c r="B51" s="96"/>
      <c r="C51" s="96"/>
      <c r="D51" s="96"/>
      <c r="E51" s="97"/>
      <c r="F51" s="96"/>
      <c r="G51" s="98"/>
      <c r="H51" s="96"/>
      <c r="I51" s="98"/>
      <c r="J51" s="97"/>
      <c r="K51" s="98"/>
      <c r="L51" s="100"/>
      <c r="M51" s="98"/>
      <c r="N51" s="96"/>
      <c r="O51" s="97"/>
      <c r="P51" s="70"/>
      <c r="Q51" s="97"/>
      <c r="R51" s="97"/>
      <c r="S51" s="98"/>
      <c r="T51" s="97"/>
      <c r="U51" s="98"/>
      <c r="V51" s="100"/>
      <c r="W51" s="98"/>
      <c r="X51" s="96"/>
      <c r="Y51" s="98"/>
      <c r="Z51" s="96"/>
      <c r="AA51" s="97"/>
      <c r="AB51" s="96"/>
      <c r="AC51" s="98"/>
      <c r="AD51" s="98"/>
      <c r="AE51" s="98"/>
    </row>
    <row r="52" spans="2:31" x14ac:dyDescent="0.3">
      <c r="B52" s="96"/>
      <c r="C52" s="96"/>
      <c r="D52" s="96"/>
      <c r="E52" s="97"/>
      <c r="F52" s="96"/>
      <c r="G52" s="98"/>
      <c r="H52" s="96"/>
      <c r="I52" s="98"/>
      <c r="J52" s="97"/>
      <c r="K52" s="98"/>
      <c r="L52" s="100"/>
      <c r="M52" s="98"/>
      <c r="N52" s="96"/>
      <c r="O52" s="97"/>
      <c r="P52" s="70"/>
      <c r="Q52" s="97"/>
      <c r="R52" s="97"/>
      <c r="S52" s="98"/>
      <c r="T52" s="97"/>
      <c r="U52" s="98"/>
      <c r="V52" s="100"/>
      <c r="W52" s="98"/>
      <c r="X52" s="96"/>
      <c r="Y52" s="98"/>
      <c r="Z52" s="96"/>
      <c r="AA52" s="97"/>
      <c r="AB52" s="96"/>
      <c r="AC52" s="98"/>
      <c r="AD52" s="98"/>
      <c r="AE52" s="98"/>
    </row>
    <row r="53" spans="2:31" x14ac:dyDescent="0.3">
      <c r="B53" s="96"/>
      <c r="C53" s="96"/>
      <c r="D53" s="96"/>
      <c r="E53" s="97"/>
      <c r="F53" s="96"/>
      <c r="G53" s="98"/>
      <c r="H53" s="96"/>
      <c r="I53" s="98"/>
      <c r="J53" s="97"/>
      <c r="K53" s="98"/>
      <c r="L53" s="100"/>
      <c r="M53" s="98"/>
      <c r="N53" s="96"/>
      <c r="O53" s="97"/>
      <c r="P53" s="70"/>
      <c r="Q53" s="97"/>
      <c r="R53" s="97"/>
      <c r="S53" s="98"/>
      <c r="T53" s="97"/>
      <c r="U53" s="98"/>
      <c r="V53" s="100"/>
      <c r="W53" s="98"/>
      <c r="X53" s="96"/>
      <c r="Y53" s="98"/>
      <c r="Z53" s="96"/>
      <c r="AA53" s="97"/>
      <c r="AB53" s="96"/>
      <c r="AC53" s="98"/>
      <c r="AD53" s="98"/>
      <c r="AE53" s="98"/>
    </row>
    <row r="54" spans="2:31" x14ac:dyDescent="0.3">
      <c r="B54" s="96"/>
      <c r="C54" s="96"/>
      <c r="D54" s="96"/>
      <c r="E54" s="97"/>
      <c r="F54" s="96"/>
      <c r="G54" s="98"/>
      <c r="H54" s="96"/>
      <c r="I54" s="98"/>
      <c r="J54" s="97"/>
      <c r="K54" s="98"/>
      <c r="L54" s="100"/>
      <c r="M54" s="98"/>
      <c r="N54" s="96"/>
      <c r="O54" s="97"/>
      <c r="P54" s="70"/>
      <c r="Q54" s="97"/>
      <c r="R54" s="97"/>
      <c r="S54" s="98"/>
      <c r="T54" s="97"/>
      <c r="U54" s="98"/>
      <c r="V54" s="100"/>
      <c r="W54" s="98"/>
      <c r="X54" s="96"/>
      <c r="Y54" s="98"/>
      <c r="Z54" s="96"/>
      <c r="AA54" s="97"/>
      <c r="AB54" s="96"/>
      <c r="AC54" s="98"/>
      <c r="AD54" s="98"/>
      <c r="AE54" s="98"/>
    </row>
    <row r="55" spans="2:31" x14ac:dyDescent="0.3">
      <c r="B55" s="96"/>
      <c r="C55" s="96"/>
      <c r="D55" s="96"/>
      <c r="E55" s="97"/>
      <c r="F55" s="96"/>
      <c r="G55" s="98"/>
      <c r="H55" s="96"/>
      <c r="I55" s="98"/>
      <c r="J55" s="97"/>
      <c r="K55" s="98"/>
      <c r="L55" s="100"/>
      <c r="M55" s="98"/>
      <c r="N55" s="96"/>
      <c r="O55" s="97"/>
      <c r="P55" s="70"/>
      <c r="Q55" s="97"/>
      <c r="R55" s="97"/>
      <c r="S55" s="98"/>
      <c r="T55" s="97"/>
      <c r="U55" s="98"/>
      <c r="V55" s="100"/>
      <c r="W55" s="98"/>
      <c r="X55" s="96"/>
      <c r="Y55" s="98"/>
      <c r="Z55" s="96"/>
      <c r="AA55" s="97"/>
      <c r="AB55" s="96"/>
      <c r="AC55" s="98"/>
      <c r="AD55" s="98"/>
      <c r="AE55" s="98"/>
    </row>
    <row r="56" spans="2:31" x14ac:dyDescent="0.3">
      <c r="B56" s="96"/>
      <c r="C56" s="96"/>
      <c r="D56" s="96"/>
      <c r="E56" s="97"/>
      <c r="F56" s="96"/>
      <c r="G56" s="98"/>
      <c r="H56" s="96"/>
      <c r="I56" s="98"/>
      <c r="J56" s="97"/>
      <c r="K56" s="98"/>
      <c r="L56" s="100"/>
      <c r="M56" s="98"/>
      <c r="N56" s="96"/>
      <c r="O56" s="97"/>
      <c r="P56" s="70"/>
      <c r="Q56" s="97"/>
      <c r="R56" s="97"/>
      <c r="S56" s="98"/>
      <c r="T56" s="97"/>
      <c r="U56" s="98"/>
      <c r="V56" s="100"/>
      <c r="W56" s="98"/>
      <c r="X56" s="96"/>
      <c r="Y56" s="98"/>
      <c r="Z56" s="96"/>
      <c r="AA56" s="97"/>
      <c r="AB56" s="96"/>
      <c r="AC56" s="98"/>
      <c r="AD56" s="98"/>
      <c r="AE56" s="98"/>
    </row>
    <row r="57" spans="2:31" x14ac:dyDescent="0.3">
      <c r="B57" s="96"/>
      <c r="C57" s="96"/>
      <c r="D57" s="96"/>
      <c r="E57" s="97"/>
      <c r="F57" s="96"/>
      <c r="G57" s="98"/>
      <c r="H57" s="96"/>
      <c r="I57" s="98"/>
      <c r="J57" s="97"/>
      <c r="K57" s="98"/>
      <c r="L57" s="100"/>
      <c r="M57" s="98"/>
      <c r="N57" s="96"/>
      <c r="O57" s="97"/>
      <c r="P57" s="70"/>
      <c r="Q57" s="97"/>
      <c r="R57" s="97"/>
      <c r="S57" s="98"/>
      <c r="T57" s="97"/>
      <c r="U57" s="98"/>
      <c r="V57" s="100"/>
      <c r="W57" s="98"/>
      <c r="X57" s="96"/>
      <c r="Y57" s="98"/>
      <c r="Z57" s="96"/>
      <c r="AA57" s="97"/>
      <c r="AB57" s="96"/>
      <c r="AC57" s="98"/>
      <c r="AD57" s="98"/>
      <c r="AE57" s="98"/>
    </row>
    <row r="58" spans="2:31" x14ac:dyDescent="0.3">
      <c r="B58" s="96"/>
      <c r="C58" s="96"/>
      <c r="D58" s="96"/>
      <c r="E58" s="97"/>
      <c r="F58" s="96"/>
      <c r="G58" s="98"/>
      <c r="H58" s="96"/>
      <c r="I58" s="98"/>
      <c r="J58" s="97"/>
      <c r="K58" s="98"/>
      <c r="L58" s="100"/>
      <c r="M58" s="98"/>
      <c r="N58" s="96"/>
      <c r="O58" s="97"/>
      <c r="P58" s="70"/>
      <c r="Q58" s="97"/>
      <c r="R58" s="97"/>
      <c r="S58" s="98"/>
      <c r="T58" s="97"/>
      <c r="U58" s="98"/>
      <c r="V58" s="100"/>
      <c r="W58" s="98"/>
      <c r="X58" s="96"/>
      <c r="Y58" s="98"/>
      <c r="Z58" s="96"/>
      <c r="AA58" s="97"/>
      <c r="AB58" s="96"/>
      <c r="AC58" s="98"/>
      <c r="AD58" s="98"/>
      <c r="AE58" s="98"/>
    </row>
    <row r="59" spans="2:31" x14ac:dyDescent="0.3">
      <c r="B59" s="96"/>
      <c r="C59" s="96"/>
      <c r="D59" s="96"/>
      <c r="E59" s="97"/>
      <c r="F59" s="96"/>
      <c r="G59" s="98"/>
      <c r="H59" s="96"/>
      <c r="I59" s="98"/>
      <c r="J59" s="97"/>
      <c r="K59" s="98"/>
      <c r="L59" s="100"/>
      <c r="M59" s="98"/>
      <c r="N59" s="96"/>
      <c r="O59" s="97"/>
      <c r="P59" s="70"/>
      <c r="Q59" s="97"/>
      <c r="R59" s="97"/>
      <c r="S59" s="98"/>
      <c r="T59" s="97"/>
      <c r="U59" s="98"/>
      <c r="V59" s="100"/>
      <c r="W59" s="98"/>
      <c r="X59" s="96"/>
      <c r="Y59" s="98"/>
      <c r="Z59" s="96"/>
      <c r="AA59" s="97"/>
      <c r="AB59" s="96"/>
      <c r="AC59" s="98"/>
      <c r="AD59" s="98"/>
      <c r="AE59" s="98"/>
    </row>
    <row r="60" spans="2:31" x14ac:dyDescent="0.3">
      <c r="B60" s="96"/>
      <c r="C60" s="96"/>
      <c r="D60" s="96"/>
      <c r="E60" s="97"/>
      <c r="F60" s="96"/>
      <c r="G60" s="98"/>
      <c r="H60" s="96"/>
      <c r="I60" s="98"/>
      <c r="J60" s="97"/>
      <c r="K60" s="98"/>
      <c r="L60" s="100"/>
      <c r="M60" s="98"/>
      <c r="N60" s="96"/>
      <c r="O60" s="97"/>
      <c r="P60" s="70"/>
      <c r="Q60" s="97"/>
      <c r="R60" s="97"/>
      <c r="S60" s="98"/>
      <c r="T60" s="97"/>
      <c r="U60" s="98"/>
      <c r="V60" s="100"/>
      <c r="W60" s="98"/>
      <c r="X60" s="96"/>
      <c r="Y60" s="98"/>
      <c r="Z60" s="96"/>
      <c r="AA60" s="97"/>
      <c r="AB60" s="96"/>
      <c r="AC60" s="98"/>
      <c r="AD60" s="98"/>
      <c r="AE60" s="98"/>
    </row>
    <row r="61" spans="2:31" x14ac:dyDescent="0.3">
      <c r="B61" s="96"/>
      <c r="C61" s="96"/>
      <c r="D61" s="96"/>
      <c r="E61" s="97"/>
      <c r="F61" s="96"/>
      <c r="G61" s="98"/>
      <c r="H61" s="96"/>
      <c r="I61" s="98"/>
      <c r="J61" s="97"/>
      <c r="K61" s="98"/>
      <c r="L61" s="100"/>
      <c r="M61" s="98"/>
      <c r="N61" s="96"/>
      <c r="O61" s="97"/>
      <c r="P61" s="70"/>
      <c r="Q61" s="97"/>
      <c r="R61" s="97"/>
      <c r="S61" s="98"/>
      <c r="T61" s="97"/>
      <c r="U61" s="98"/>
      <c r="V61" s="100"/>
      <c r="W61" s="98"/>
      <c r="X61" s="96"/>
      <c r="Y61" s="98"/>
      <c r="Z61" s="96"/>
      <c r="AA61" s="97"/>
      <c r="AB61" s="96"/>
      <c r="AC61" s="98"/>
      <c r="AD61" s="98"/>
      <c r="AE61" s="98"/>
    </row>
    <row r="62" spans="2:31" x14ac:dyDescent="0.3">
      <c r="B62" s="96"/>
      <c r="C62" s="96"/>
      <c r="D62" s="96"/>
      <c r="E62" s="97"/>
      <c r="F62" s="96"/>
      <c r="G62" s="98"/>
      <c r="H62" s="96"/>
      <c r="I62" s="98"/>
      <c r="J62" s="97"/>
      <c r="K62" s="98"/>
      <c r="L62" s="100"/>
      <c r="M62" s="98"/>
      <c r="N62" s="96"/>
      <c r="O62" s="97"/>
      <c r="P62" s="70"/>
      <c r="Q62" s="97"/>
      <c r="R62" s="97"/>
      <c r="S62" s="98"/>
      <c r="T62" s="97"/>
      <c r="U62" s="98"/>
      <c r="V62" s="100"/>
      <c r="W62" s="98"/>
      <c r="X62" s="96"/>
      <c r="Y62" s="98"/>
      <c r="Z62" s="96"/>
      <c r="AA62" s="97"/>
      <c r="AB62" s="96"/>
      <c r="AC62" s="98"/>
      <c r="AD62" s="98"/>
      <c r="AE62" s="98"/>
    </row>
    <row r="63" spans="2:31" x14ac:dyDescent="0.3">
      <c r="B63" s="96"/>
      <c r="C63" s="96"/>
      <c r="D63" s="96"/>
      <c r="E63" s="97"/>
      <c r="F63" s="96"/>
      <c r="G63" s="98"/>
      <c r="H63" s="96"/>
      <c r="I63" s="98"/>
      <c r="J63" s="97"/>
      <c r="K63" s="98"/>
      <c r="L63" s="100"/>
      <c r="M63" s="98"/>
      <c r="N63" s="96"/>
      <c r="O63" s="97"/>
      <c r="P63" s="70"/>
      <c r="Q63" s="97"/>
      <c r="R63" s="97"/>
      <c r="S63" s="98"/>
      <c r="T63" s="97"/>
      <c r="U63" s="98"/>
      <c r="V63" s="100"/>
      <c r="W63" s="98"/>
      <c r="X63" s="96"/>
      <c r="Y63" s="98"/>
      <c r="Z63" s="96"/>
      <c r="AA63" s="97"/>
      <c r="AB63" s="96"/>
      <c r="AC63" s="98"/>
      <c r="AD63" s="98"/>
      <c r="AE63" s="98"/>
    </row>
    <row r="64" spans="2:31" x14ac:dyDescent="0.3">
      <c r="B64" s="96"/>
      <c r="C64" s="96"/>
      <c r="D64" s="96"/>
      <c r="E64" s="97"/>
      <c r="F64" s="96"/>
      <c r="G64" s="98"/>
      <c r="H64" s="96"/>
      <c r="I64" s="98"/>
      <c r="J64" s="97"/>
      <c r="K64" s="98"/>
      <c r="L64" s="100"/>
      <c r="M64" s="98"/>
      <c r="N64" s="96"/>
      <c r="O64" s="97"/>
      <c r="P64" s="70"/>
      <c r="Q64" s="97"/>
      <c r="R64" s="97"/>
      <c r="S64" s="98"/>
      <c r="T64" s="97"/>
      <c r="U64" s="98"/>
      <c r="V64" s="100"/>
      <c r="W64" s="98"/>
      <c r="X64" s="96"/>
      <c r="Y64" s="98"/>
      <c r="Z64" s="96"/>
      <c r="AA64" s="97"/>
      <c r="AB64" s="96"/>
      <c r="AC64" s="98"/>
      <c r="AD64" s="98"/>
      <c r="AE64" s="98"/>
    </row>
    <row r="65" spans="2:31" x14ac:dyDescent="0.3">
      <c r="B65" s="96"/>
      <c r="C65" s="96"/>
      <c r="D65" s="96"/>
      <c r="E65" s="97"/>
      <c r="F65" s="96"/>
      <c r="G65" s="98"/>
      <c r="H65" s="96"/>
      <c r="I65" s="98"/>
      <c r="J65" s="97"/>
      <c r="K65" s="98"/>
      <c r="L65" s="100"/>
      <c r="M65" s="98"/>
      <c r="N65" s="96"/>
      <c r="O65" s="97"/>
      <c r="P65" s="70"/>
      <c r="Q65" s="97"/>
      <c r="R65" s="97"/>
      <c r="S65" s="98"/>
      <c r="T65" s="97"/>
      <c r="U65" s="98"/>
      <c r="V65" s="100"/>
      <c r="W65" s="98"/>
      <c r="X65" s="96"/>
      <c r="Y65" s="98"/>
      <c r="Z65" s="96"/>
      <c r="AA65" s="97"/>
      <c r="AB65" s="96"/>
      <c r="AC65" s="98"/>
      <c r="AD65" s="98"/>
      <c r="AE65" s="98"/>
    </row>
    <row r="66" spans="2:31" x14ac:dyDescent="0.3">
      <c r="B66" s="96"/>
      <c r="C66" s="96"/>
      <c r="D66" s="96"/>
      <c r="E66" s="97"/>
      <c r="F66" s="96"/>
      <c r="G66" s="98"/>
      <c r="H66" s="96"/>
      <c r="I66" s="98"/>
      <c r="J66" s="97"/>
      <c r="K66" s="98"/>
      <c r="L66" s="100"/>
      <c r="M66" s="98"/>
      <c r="N66" s="96"/>
      <c r="O66" s="97"/>
      <c r="P66" s="70"/>
      <c r="Q66" s="97"/>
      <c r="R66" s="97"/>
      <c r="S66" s="98"/>
      <c r="T66" s="97"/>
      <c r="U66" s="98"/>
      <c r="V66" s="100"/>
      <c r="W66" s="98"/>
      <c r="X66" s="96"/>
      <c r="Y66" s="98"/>
      <c r="Z66" s="96"/>
      <c r="AA66" s="97"/>
      <c r="AB66" s="96"/>
      <c r="AC66" s="98"/>
      <c r="AD66" s="98"/>
      <c r="AE66" s="98"/>
    </row>
    <row r="67" spans="2:31" x14ac:dyDescent="0.3">
      <c r="B67" s="96"/>
      <c r="C67" s="96"/>
      <c r="D67" s="96"/>
      <c r="E67" s="97"/>
      <c r="F67" s="96"/>
      <c r="G67" s="98"/>
      <c r="H67" s="96"/>
      <c r="I67" s="98"/>
      <c r="J67" s="97"/>
      <c r="K67" s="98"/>
      <c r="L67" s="100"/>
      <c r="M67" s="98"/>
      <c r="N67" s="96"/>
      <c r="O67" s="97"/>
      <c r="P67" s="70"/>
      <c r="Q67" s="97"/>
      <c r="R67" s="97"/>
      <c r="S67" s="98"/>
      <c r="T67" s="97"/>
      <c r="U67" s="98"/>
      <c r="V67" s="100"/>
      <c r="W67" s="98"/>
      <c r="X67" s="96"/>
      <c r="Y67" s="98"/>
      <c r="Z67" s="96"/>
      <c r="AA67" s="97"/>
      <c r="AB67" s="96"/>
      <c r="AC67" s="98"/>
      <c r="AD67" s="98"/>
      <c r="AE67" s="98"/>
    </row>
    <row r="68" spans="2:31" x14ac:dyDescent="0.3">
      <c r="B68" s="96"/>
      <c r="C68" s="96"/>
      <c r="D68" s="96"/>
      <c r="E68" s="97"/>
      <c r="F68" s="96"/>
      <c r="G68" s="98"/>
      <c r="H68" s="96"/>
      <c r="I68" s="98"/>
      <c r="J68" s="97"/>
      <c r="K68" s="98"/>
      <c r="L68" s="100"/>
      <c r="M68" s="98"/>
      <c r="N68" s="96"/>
      <c r="O68" s="97"/>
      <c r="P68" s="70"/>
      <c r="Q68" s="97"/>
      <c r="R68" s="97"/>
      <c r="S68" s="98"/>
      <c r="T68" s="97"/>
      <c r="U68" s="98"/>
      <c r="V68" s="100"/>
      <c r="W68" s="98"/>
      <c r="X68" s="96"/>
      <c r="Y68" s="98"/>
      <c r="Z68" s="96"/>
      <c r="AA68" s="97"/>
      <c r="AB68" s="96"/>
      <c r="AC68" s="98"/>
      <c r="AD68" s="98"/>
      <c r="AE68" s="98"/>
    </row>
    <row r="69" spans="2:31" x14ac:dyDescent="0.3">
      <c r="B69" s="96"/>
      <c r="C69" s="96"/>
      <c r="D69" s="96"/>
      <c r="E69" s="97"/>
      <c r="F69" s="96"/>
      <c r="G69" s="98"/>
      <c r="H69" s="96"/>
      <c r="I69" s="98"/>
      <c r="J69" s="97"/>
      <c r="K69" s="98"/>
      <c r="L69" s="100"/>
      <c r="M69" s="98"/>
      <c r="N69" s="96"/>
      <c r="O69" s="97"/>
      <c r="P69" s="70"/>
      <c r="Q69" s="97"/>
      <c r="R69" s="97"/>
      <c r="S69" s="98"/>
      <c r="T69" s="97"/>
      <c r="U69" s="98"/>
      <c r="V69" s="100"/>
      <c r="W69" s="98"/>
      <c r="X69" s="96"/>
      <c r="Y69" s="98"/>
      <c r="Z69" s="96"/>
      <c r="AA69" s="97"/>
      <c r="AB69" s="96"/>
      <c r="AC69" s="98"/>
      <c r="AD69" s="98"/>
      <c r="AE69" s="98"/>
    </row>
    <row r="70" spans="2:31" x14ac:dyDescent="0.3">
      <c r="B70" s="96"/>
      <c r="C70" s="96"/>
      <c r="D70" s="96"/>
      <c r="E70" s="97"/>
      <c r="F70" s="96"/>
      <c r="G70" s="98"/>
      <c r="H70" s="96"/>
      <c r="I70" s="98"/>
      <c r="J70" s="97"/>
      <c r="K70" s="98"/>
      <c r="L70" s="100"/>
      <c r="M70" s="98"/>
      <c r="N70" s="96"/>
      <c r="O70" s="97"/>
      <c r="P70" s="70"/>
      <c r="Q70" s="97"/>
      <c r="R70" s="97"/>
      <c r="S70" s="98"/>
      <c r="T70" s="97"/>
      <c r="U70" s="98"/>
      <c r="V70" s="100"/>
      <c r="W70" s="98"/>
      <c r="X70" s="96"/>
      <c r="Y70" s="98"/>
      <c r="Z70" s="96"/>
      <c r="AA70" s="97"/>
      <c r="AB70" s="96"/>
      <c r="AC70" s="98"/>
      <c r="AD70" s="98"/>
      <c r="AE70" s="98"/>
    </row>
    <row r="71" spans="2:31" x14ac:dyDescent="0.3">
      <c r="B71" s="96"/>
      <c r="C71" s="96"/>
      <c r="D71" s="96"/>
      <c r="E71" s="97"/>
      <c r="F71" s="96"/>
      <c r="G71" s="98"/>
      <c r="H71" s="96"/>
      <c r="I71" s="98"/>
      <c r="J71" s="97"/>
      <c r="K71" s="98"/>
      <c r="L71" s="100"/>
      <c r="M71" s="98"/>
      <c r="N71" s="96"/>
      <c r="O71" s="97"/>
      <c r="P71" s="70"/>
      <c r="Q71" s="97"/>
      <c r="R71" s="97"/>
      <c r="S71" s="98"/>
      <c r="T71" s="97"/>
      <c r="U71" s="98"/>
      <c r="V71" s="100"/>
      <c r="W71" s="98"/>
      <c r="X71" s="96"/>
      <c r="Y71" s="98"/>
      <c r="Z71" s="96"/>
      <c r="AA71" s="97"/>
      <c r="AB71" s="96"/>
      <c r="AC71" s="98"/>
      <c r="AD71" s="98"/>
      <c r="AE71" s="98"/>
    </row>
    <row r="72" spans="2:31" x14ac:dyDescent="0.3">
      <c r="B72" s="96"/>
      <c r="C72" s="96"/>
      <c r="D72" s="96"/>
      <c r="E72" s="97"/>
      <c r="F72" s="96"/>
      <c r="G72" s="98"/>
      <c r="H72" s="96"/>
      <c r="I72" s="98"/>
      <c r="J72" s="97"/>
      <c r="K72" s="98"/>
      <c r="L72" s="100"/>
      <c r="M72" s="98"/>
      <c r="N72" s="96"/>
      <c r="O72" s="97"/>
      <c r="P72" s="70"/>
      <c r="Q72" s="97"/>
      <c r="R72" s="97"/>
      <c r="S72" s="98"/>
      <c r="T72" s="97"/>
      <c r="U72" s="98"/>
      <c r="V72" s="100"/>
      <c r="W72" s="98"/>
      <c r="X72" s="96"/>
      <c r="Y72" s="98"/>
      <c r="Z72" s="96"/>
      <c r="AA72" s="97"/>
      <c r="AB72" s="96"/>
      <c r="AC72" s="98"/>
      <c r="AD72" s="98"/>
      <c r="AE72" s="98"/>
    </row>
    <row r="73" spans="2:31" x14ac:dyDescent="0.3">
      <c r="B73" s="96"/>
      <c r="C73" s="96"/>
      <c r="D73" s="96"/>
      <c r="E73" s="97"/>
      <c r="F73" s="96"/>
      <c r="G73" s="98"/>
      <c r="H73" s="96"/>
      <c r="I73" s="98"/>
      <c r="J73" s="97"/>
      <c r="K73" s="98"/>
      <c r="L73" s="100"/>
      <c r="M73" s="98"/>
      <c r="N73" s="96"/>
      <c r="O73" s="97"/>
      <c r="P73" s="70"/>
      <c r="Q73" s="97"/>
      <c r="R73" s="97"/>
      <c r="S73" s="98"/>
      <c r="T73" s="97"/>
      <c r="U73" s="98"/>
      <c r="V73" s="100"/>
      <c r="W73" s="98"/>
      <c r="X73" s="96"/>
      <c r="Y73" s="98"/>
      <c r="Z73" s="96"/>
      <c r="AA73" s="97"/>
      <c r="AB73" s="96"/>
      <c r="AC73" s="98"/>
      <c r="AD73" s="98"/>
      <c r="AE73" s="98"/>
    </row>
    <row r="74" spans="2:31" x14ac:dyDescent="0.3">
      <c r="B74" s="96"/>
      <c r="C74" s="96"/>
      <c r="D74" s="96"/>
      <c r="E74" s="97"/>
      <c r="F74" s="96"/>
      <c r="G74" s="98"/>
      <c r="H74" s="96"/>
      <c r="I74" s="98"/>
      <c r="J74" s="97"/>
      <c r="K74" s="98"/>
      <c r="L74" s="100"/>
      <c r="M74" s="98"/>
      <c r="N74" s="96"/>
      <c r="O74" s="97"/>
      <c r="P74" s="70"/>
      <c r="Q74" s="97"/>
      <c r="R74" s="97"/>
      <c r="S74" s="98"/>
      <c r="T74" s="97"/>
      <c r="U74" s="98"/>
      <c r="V74" s="100"/>
      <c r="W74" s="98"/>
      <c r="X74" s="96"/>
      <c r="Y74" s="98"/>
      <c r="Z74" s="96"/>
      <c r="AA74" s="97"/>
      <c r="AB74" s="96"/>
      <c r="AC74" s="98"/>
      <c r="AD74" s="98"/>
      <c r="AE74" s="98"/>
    </row>
    <row r="75" spans="2:31" x14ac:dyDescent="0.3">
      <c r="B75" s="96"/>
      <c r="C75" s="96"/>
      <c r="D75" s="96"/>
      <c r="E75" s="97"/>
      <c r="F75" s="96"/>
      <c r="G75" s="98"/>
      <c r="H75" s="96"/>
      <c r="I75" s="98"/>
      <c r="J75" s="97"/>
      <c r="K75" s="98"/>
      <c r="L75" s="100"/>
      <c r="M75" s="98"/>
      <c r="N75" s="96"/>
      <c r="O75" s="97"/>
      <c r="P75" s="70"/>
      <c r="Q75" s="97"/>
      <c r="R75" s="97"/>
      <c r="S75" s="98"/>
      <c r="T75" s="97"/>
      <c r="U75" s="98"/>
      <c r="V75" s="100"/>
      <c r="W75" s="98"/>
      <c r="X75" s="96"/>
      <c r="Y75" s="98"/>
      <c r="Z75" s="96"/>
      <c r="AA75" s="97"/>
      <c r="AB75" s="96"/>
      <c r="AC75" s="98"/>
      <c r="AD75" s="98"/>
      <c r="AE75" s="98"/>
    </row>
    <row r="76" spans="2:31" x14ac:dyDescent="0.3">
      <c r="B76" s="96"/>
      <c r="C76" s="96"/>
      <c r="D76" s="96"/>
      <c r="E76" s="97"/>
      <c r="F76" s="96"/>
      <c r="G76" s="98"/>
      <c r="H76" s="96"/>
      <c r="I76" s="98"/>
      <c r="J76" s="97"/>
      <c r="K76" s="98"/>
      <c r="L76" s="100"/>
      <c r="M76" s="98"/>
      <c r="N76" s="96"/>
      <c r="O76" s="97"/>
      <c r="P76" s="70"/>
      <c r="Q76" s="97"/>
      <c r="R76" s="97"/>
      <c r="S76" s="98"/>
      <c r="T76" s="97"/>
      <c r="U76" s="98"/>
      <c r="V76" s="100"/>
      <c r="W76" s="98"/>
      <c r="X76" s="96"/>
      <c r="Y76" s="98"/>
      <c r="Z76" s="96"/>
      <c r="AA76" s="97"/>
      <c r="AB76" s="96"/>
      <c r="AC76" s="98"/>
      <c r="AD76" s="98"/>
      <c r="AE76" s="98"/>
    </row>
    <row r="77" spans="2:31" x14ac:dyDescent="0.3">
      <c r="B77" s="96"/>
      <c r="C77" s="96"/>
      <c r="D77" s="96"/>
      <c r="E77" s="97"/>
      <c r="F77" s="96"/>
      <c r="G77" s="98"/>
      <c r="H77" s="96"/>
      <c r="I77" s="98"/>
      <c r="J77" s="97"/>
      <c r="K77" s="98"/>
      <c r="L77" s="100"/>
      <c r="M77" s="98"/>
      <c r="N77" s="96"/>
      <c r="O77" s="97"/>
      <c r="P77" s="70"/>
      <c r="Q77" s="97"/>
      <c r="R77" s="97"/>
      <c r="S77" s="98"/>
      <c r="T77" s="97"/>
      <c r="U77" s="98"/>
      <c r="V77" s="100"/>
      <c r="W77" s="98"/>
      <c r="X77" s="96"/>
      <c r="Y77" s="98"/>
      <c r="Z77" s="96"/>
      <c r="AA77" s="97"/>
      <c r="AB77" s="96"/>
      <c r="AC77" s="98"/>
      <c r="AD77" s="98"/>
      <c r="AE77" s="98"/>
    </row>
    <row r="78" spans="2:31" x14ac:dyDescent="0.3">
      <c r="B78" s="96"/>
      <c r="C78" s="96"/>
      <c r="D78" s="96"/>
      <c r="E78" s="97"/>
      <c r="F78" s="96"/>
      <c r="G78" s="98"/>
      <c r="H78" s="96"/>
      <c r="I78" s="98"/>
      <c r="J78" s="97"/>
      <c r="K78" s="98"/>
      <c r="L78" s="100"/>
      <c r="M78" s="98"/>
      <c r="N78" s="96"/>
      <c r="O78" s="97"/>
      <c r="P78" s="70"/>
      <c r="Q78" s="97"/>
      <c r="R78" s="97"/>
      <c r="S78" s="98"/>
      <c r="T78" s="97"/>
      <c r="U78" s="98"/>
      <c r="V78" s="100"/>
      <c r="W78" s="98"/>
      <c r="X78" s="96"/>
      <c r="Y78" s="98"/>
      <c r="Z78" s="96"/>
      <c r="AA78" s="97"/>
      <c r="AB78" s="96"/>
      <c r="AC78" s="98"/>
      <c r="AD78" s="98"/>
      <c r="AE78" s="98"/>
    </row>
    <row r="79" spans="2:31" x14ac:dyDescent="0.3">
      <c r="B79" s="96"/>
      <c r="C79" s="96"/>
      <c r="D79" s="96"/>
      <c r="E79" s="97"/>
      <c r="F79" s="96"/>
      <c r="G79" s="98"/>
      <c r="H79" s="96"/>
      <c r="I79" s="98"/>
      <c r="J79" s="97"/>
      <c r="K79" s="98"/>
      <c r="L79" s="100"/>
      <c r="M79" s="98"/>
      <c r="N79" s="96"/>
      <c r="O79" s="97"/>
      <c r="P79" s="70"/>
      <c r="Q79" s="97"/>
      <c r="R79" s="97"/>
      <c r="S79" s="98"/>
      <c r="T79" s="97"/>
      <c r="U79" s="98"/>
      <c r="V79" s="100"/>
      <c r="W79" s="98"/>
      <c r="X79" s="96"/>
      <c r="Y79" s="98"/>
      <c r="Z79" s="96"/>
      <c r="AA79" s="97"/>
      <c r="AB79" s="96"/>
      <c r="AC79" s="98"/>
      <c r="AD79" s="98"/>
      <c r="AE79" s="98"/>
    </row>
    <row r="80" spans="2:31" x14ac:dyDescent="0.3">
      <c r="B80" s="96"/>
      <c r="C80" s="96"/>
      <c r="D80" s="96"/>
      <c r="E80" s="97"/>
      <c r="F80" s="96"/>
      <c r="G80" s="98"/>
      <c r="H80" s="96"/>
      <c r="I80" s="98"/>
      <c r="J80" s="97"/>
      <c r="K80" s="98"/>
      <c r="L80" s="100"/>
      <c r="M80" s="98"/>
      <c r="N80" s="96"/>
      <c r="O80" s="97"/>
      <c r="P80" s="70"/>
      <c r="Q80" s="97"/>
      <c r="R80" s="97"/>
      <c r="S80" s="98"/>
      <c r="T80" s="97"/>
      <c r="U80" s="98"/>
      <c r="V80" s="100"/>
      <c r="W80" s="98"/>
      <c r="X80" s="96"/>
      <c r="Y80" s="98"/>
      <c r="Z80" s="96"/>
      <c r="AA80" s="97"/>
      <c r="AB80" s="96"/>
      <c r="AC80" s="98"/>
      <c r="AD80" s="98"/>
      <c r="AE80" s="98"/>
    </row>
    <row r="81" spans="2:31" x14ac:dyDescent="0.3">
      <c r="B81" s="96"/>
      <c r="C81" s="96"/>
      <c r="D81" s="96"/>
      <c r="E81" s="97"/>
      <c r="F81" s="96"/>
      <c r="G81" s="98"/>
      <c r="H81" s="96"/>
      <c r="I81" s="98"/>
      <c r="J81" s="97"/>
      <c r="K81" s="98"/>
      <c r="L81" s="100"/>
      <c r="M81" s="98"/>
      <c r="N81" s="96"/>
      <c r="O81" s="97"/>
      <c r="P81" s="70"/>
      <c r="Q81" s="97"/>
      <c r="R81" s="97"/>
      <c r="S81" s="98"/>
      <c r="T81" s="97"/>
      <c r="U81" s="98"/>
      <c r="V81" s="100"/>
      <c r="W81" s="98"/>
      <c r="X81" s="96"/>
      <c r="Y81" s="98"/>
      <c r="Z81" s="96"/>
      <c r="AA81" s="97"/>
      <c r="AB81" s="96"/>
      <c r="AC81" s="98"/>
      <c r="AD81" s="98"/>
      <c r="AE81" s="98"/>
    </row>
    <row r="82" spans="2:31" x14ac:dyDescent="0.3">
      <c r="B82" s="96"/>
      <c r="C82" s="96"/>
      <c r="D82" s="96"/>
      <c r="E82" s="97"/>
      <c r="F82" s="96"/>
      <c r="G82" s="98"/>
      <c r="H82" s="96"/>
      <c r="I82" s="98"/>
      <c r="J82" s="97"/>
      <c r="K82" s="98"/>
      <c r="L82" s="100"/>
      <c r="M82" s="98"/>
      <c r="N82" s="96"/>
      <c r="O82" s="97"/>
      <c r="P82" s="70"/>
      <c r="Q82" s="97"/>
      <c r="R82" s="97"/>
      <c r="S82" s="98"/>
      <c r="T82" s="97"/>
      <c r="U82" s="98"/>
      <c r="V82" s="100"/>
      <c r="W82" s="98"/>
      <c r="X82" s="96"/>
      <c r="Y82" s="98"/>
      <c r="Z82" s="96"/>
      <c r="AA82" s="97"/>
      <c r="AB82" s="96"/>
      <c r="AC82" s="98"/>
      <c r="AD82" s="98"/>
      <c r="AE82" s="98"/>
    </row>
    <row r="83" spans="2:31" x14ac:dyDescent="0.3">
      <c r="B83" s="96"/>
      <c r="C83" s="96"/>
      <c r="D83" s="96"/>
      <c r="E83" s="97"/>
      <c r="F83" s="96"/>
      <c r="G83" s="98"/>
      <c r="H83" s="96"/>
      <c r="I83" s="98"/>
      <c r="J83" s="97"/>
      <c r="K83" s="98"/>
      <c r="L83" s="100"/>
      <c r="M83" s="98"/>
      <c r="N83" s="96"/>
      <c r="O83" s="97"/>
      <c r="P83" s="70"/>
      <c r="Q83" s="97"/>
      <c r="R83" s="97"/>
      <c r="S83" s="98"/>
      <c r="T83" s="97"/>
      <c r="U83" s="98"/>
      <c r="V83" s="100"/>
      <c r="W83" s="98"/>
      <c r="X83" s="96"/>
      <c r="Y83" s="98"/>
      <c r="Z83" s="96"/>
      <c r="AA83" s="97"/>
      <c r="AB83" s="96"/>
      <c r="AC83" s="98"/>
      <c r="AD83" s="98"/>
      <c r="AE83" s="98"/>
    </row>
    <row r="84" spans="2:31" x14ac:dyDescent="0.3">
      <c r="B84" s="96"/>
      <c r="C84" s="96"/>
      <c r="D84" s="96"/>
      <c r="E84" s="97"/>
      <c r="F84" s="96"/>
      <c r="G84" s="98"/>
      <c r="H84" s="96"/>
      <c r="I84" s="98"/>
      <c r="J84" s="97"/>
      <c r="K84" s="98"/>
      <c r="L84" s="100"/>
      <c r="M84" s="98"/>
      <c r="N84" s="96"/>
      <c r="O84" s="97"/>
      <c r="P84" s="70"/>
      <c r="Q84" s="97"/>
      <c r="R84" s="97"/>
      <c r="S84" s="98"/>
      <c r="T84" s="97"/>
      <c r="U84" s="98"/>
      <c r="V84" s="100"/>
      <c r="W84" s="98"/>
      <c r="X84" s="96"/>
      <c r="Y84" s="98"/>
      <c r="Z84" s="96"/>
      <c r="AA84" s="97"/>
      <c r="AB84" s="96"/>
      <c r="AC84" s="98"/>
      <c r="AD84" s="98"/>
      <c r="AE84" s="98"/>
    </row>
    <row r="85" spans="2:31" x14ac:dyDescent="0.3">
      <c r="B85" s="96"/>
      <c r="C85" s="96"/>
      <c r="D85" s="96"/>
      <c r="E85" s="97"/>
      <c r="F85" s="96"/>
      <c r="G85" s="98"/>
      <c r="H85" s="96"/>
      <c r="I85" s="98"/>
      <c r="J85" s="97"/>
      <c r="K85" s="98"/>
      <c r="L85" s="100"/>
      <c r="M85" s="98"/>
      <c r="N85" s="96"/>
      <c r="O85" s="97"/>
      <c r="P85" s="70"/>
      <c r="Q85" s="97"/>
      <c r="R85" s="97"/>
      <c r="S85" s="98"/>
      <c r="T85" s="97"/>
      <c r="U85" s="98"/>
      <c r="V85" s="100"/>
      <c r="W85" s="98"/>
      <c r="X85" s="96"/>
      <c r="Y85" s="98"/>
      <c r="Z85" s="96"/>
      <c r="AA85" s="97"/>
      <c r="AB85" s="96"/>
      <c r="AC85" s="98"/>
      <c r="AD85" s="98"/>
      <c r="AE85" s="98"/>
    </row>
    <row r="86" spans="2:31" x14ac:dyDescent="0.3">
      <c r="B86" s="96"/>
      <c r="C86" s="96"/>
      <c r="D86" s="96"/>
      <c r="E86" s="97"/>
      <c r="F86" s="96"/>
      <c r="G86" s="98"/>
      <c r="H86" s="96"/>
      <c r="I86" s="98"/>
      <c r="J86" s="97"/>
      <c r="K86" s="98"/>
      <c r="L86" s="100"/>
      <c r="M86" s="98"/>
      <c r="N86" s="96"/>
      <c r="O86" s="97"/>
      <c r="P86" s="70"/>
      <c r="Q86" s="97"/>
      <c r="R86" s="97"/>
      <c r="S86" s="98"/>
      <c r="T86" s="97"/>
      <c r="U86" s="98"/>
      <c r="V86" s="100"/>
      <c r="W86" s="98"/>
      <c r="X86" s="96"/>
      <c r="Y86" s="98"/>
      <c r="Z86" s="96"/>
      <c r="AA86" s="97"/>
      <c r="AB86" s="96"/>
      <c r="AC86" s="98"/>
      <c r="AD86" s="98"/>
      <c r="AE86" s="98"/>
    </row>
    <row r="87" spans="2:31" x14ac:dyDescent="0.3">
      <c r="B87" s="96"/>
      <c r="C87" s="96"/>
      <c r="D87" s="96"/>
      <c r="E87" s="97"/>
      <c r="F87" s="96"/>
      <c r="G87" s="98"/>
      <c r="H87" s="96"/>
      <c r="I87" s="98"/>
      <c r="J87" s="97"/>
      <c r="K87" s="98"/>
      <c r="L87" s="100"/>
      <c r="M87" s="98"/>
      <c r="N87" s="96"/>
      <c r="O87" s="97"/>
      <c r="P87" s="70"/>
      <c r="Q87" s="97"/>
      <c r="R87" s="97"/>
      <c r="S87" s="98"/>
      <c r="T87" s="97"/>
      <c r="U87" s="98"/>
      <c r="V87" s="100"/>
      <c r="W87" s="98"/>
      <c r="X87" s="96"/>
      <c r="Y87" s="98"/>
      <c r="Z87" s="96"/>
      <c r="AA87" s="97"/>
      <c r="AB87" s="96"/>
      <c r="AC87" s="98"/>
      <c r="AD87" s="98"/>
      <c r="AE87" s="98"/>
    </row>
    <row r="88" spans="2:31" x14ac:dyDescent="0.3">
      <c r="B88" s="96"/>
      <c r="C88" s="96"/>
      <c r="D88" s="96"/>
      <c r="E88" s="97"/>
      <c r="F88" s="96"/>
      <c r="G88" s="98"/>
      <c r="H88" s="96"/>
      <c r="I88" s="98"/>
      <c r="J88" s="97"/>
      <c r="K88" s="98"/>
      <c r="L88" s="100"/>
      <c r="M88" s="98"/>
      <c r="N88" s="96"/>
      <c r="O88" s="97"/>
      <c r="P88" s="70"/>
      <c r="Q88" s="97"/>
      <c r="R88" s="97"/>
      <c r="S88" s="98"/>
      <c r="T88" s="97"/>
      <c r="U88" s="98"/>
      <c r="V88" s="100"/>
      <c r="W88" s="98"/>
      <c r="X88" s="96"/>
      <c r="Y88" s="98"/>
      <c r="Z88" s="96"/>
      <c r="AA88" s="97"/>
      <c r="AB88" s="96"/>
      <c r="AC88" s="98"/>
      <c r="AD88" s="98"/>
      <c r="AE88" s="98"/>
    </row>
    <row r="89" spans="2:31" x14ac:dyDescent="0.3">
      <c r="B89" s="96"/>
      <c r="C89" s="96"/>
      <c r="D89" s="96"/>
      <c r="E89" s="97"/>
      <c r="F89" s="96"/>
      <c r="G89" s="98"/>
      <c r="H89" s="96"/>
      <c r="I89" s="98"/>
      <c r="J89" s="97"/>
      <c r="K89" s="98"/>
      <c r="L89" s="100"/>
      <c r="M89" s="98"/>
      <c r="N89" s="96"/>
      <c r="O89" s="97"/>
      <c r="P89" s="70"/>
      <c r="Q89" s="97"/>
      <c r="R89" s="97"/>
      <c r="S89" s="98"/>
      <c r="T89" s="97"/>
      <c r="U89" s="98"/>
      <c r="V89" s="100"/>
      <c r="W89" s="98"/>
      <c r="X89" s="96"/>
      <c r="Y89" s="98"/>
      <c r="Z89" s="96"/>
      <c r="AA89" s="97"/>
      <c r="AB89" s="96"/>
      <c r="AC89" s="98"/>
      <c r="AD89" s="98"/>
      <c r="AE89" s="98"/>
    </row>
    <row r="90" spans="2:31" x14ac:dyDescent="0.3">
      <c r="B90" s="96"/>
      <c r="C90" s="96"/>
      <c r="D90" s="96"/>
      <c r="E90" s="97"/>
      <c r="F90" s="96"/>
      <c r="G90" s="98"/>
      <c r="H90" s="96"/>
      <c r="I90" s="98"/>
      <c r="J90" s="97"/>
      <c r="K90" s="98"/>
      <c r="L90" s="100"/>
      <c r="M90" s="98"/>
      <c r="N90" s="96"/>
      <c r="O90" s="97"/>
      <c r="P90" s="70"/>
      <c r="Q90" s="97"/>
      <c r="R90" s="97"/>
      <c r="S90" s="98"/>
      <c r="T90" s="97"/>
      <c r="U90" s="98"/>
      <c r="V90" s="100"/>
      <c r="W90" s="98"/>
      <c r="X90" s="96"/>
      <c r="Y90" s="98"/>
      <c r="Z90" s="96"/>
      <c r="AA90" s="97"/>
      <c r="AB90" s="96"/>
      <c r="AC90" s="98"/>
      <c r="AD90" s="98"/>
      <c r="AE90" s="98"/>
    </row>
    <row r="91" spans="2:31" x14ac:dyDescent="0.3">
      <c r="B91" s="96"/>
      <c r="C91" s="96"/>
      <c r="D91" s="96"/>
      <c r="E91" s="97"/>
      <c r="F91" s="96"/>
      <c r="G91" s="98"/>
      <c r="H91" s="96"/>
      <c r="I91" s="98"/>
      <c r="J91" s="97"/>
      <c r="K91" s="98"/>
      <c r="L91" s="100"/>
      <c r="M91" s="98"/>
      <c r="N91" s="96"/>
      <c r="O91" s="97"/>
      <c r="P91" s="70"/>
      <c r="Q91" s="97"/>
      <c r="R91" s="97"/>
      <c r="S91" s="98"/>
      <c r="T91" s="97"/>
      <c r="U91" s="98"/>
      <c r="V91" s="100"/>
      <c r="W91" s="98"/>
      <c r="X91" s="96"/>
      <c r="Y91" s="98"/>
      <c r="Z91" s="96"/>
      <c r="AA91" s="97"/>
      <c r="AB91" s="96"/>
      <c r="AC91" s="98"/>
      <c r="AD91" s="98"/>
      <c r="AE91" s="98"/>
    </row>
    <row r="92" spans="2:31" x14ac:dyDescent="0.3">
      <c r="B92" s="96"/>
      <c r="C92" s="96"/>
      <c r="D92" s="96"/>
      <c r="E92" s="97"/>
      <c r="F92" s="96"/>
      <c r="G92" s="98"/>
      <c r="H92" s="96"/>
      <c r="I92" s="98"/>
      <c r="J92" s="97"/>
      <c r="K92" s="98"/>
      <c r="L92" s="100"/>
      <c r="M92" s="98"/>
      <c r="N92" s="96"/>
      <c r="O92" s="97"/>
      <c r="P92" s="70"/>
      <c r="Q92" s="97"/>
      <c r="R92" s="97"/>
      <c r="S92" s="98"/>
      <c r="T92" s="97"/>
      <c r="U92" s="98"/>
      <c r="V92" s="100"/>
      <c r="W92" s="98"/>
      <c r="X92" s="96"/>
      <c r="Y92" s="98"/>
      <c r="Z92" s="96"/>
      <c r="AA92" s="97"/>
      <c r="AB92" s="96"/>
      <c r="AC92" s="98"/>
      <c r="AD92" s="98"/>
      <c r="AE92" s="98"/>
    </row>
    <row r="93" spans="2:31" x14ac:dyDescent="0.3">
      <c r="B93" s="96"/>
      <c r="C93" s="96"/>
      <c r="D93" s="96"/>
      <c r="E93" s="97"/>
      <c r="F93" s="96"/>
      <c r="G93" s="98"/>
      <c r="H93" s="96"/>
      <c r="I93" s="98"/>
      <c r="J93" s="97"/>
      <c r="K93" s="98"/>
      <c r="L93" s="100"/>
      <c r="M93" s="98"/>
      <c r="N93" s="96"/>
      <c r="O93" s="97"/>
      <c r="P93" s="70"/>
      <c r="Q93" s="97"/>
      <c r="R93" s="97"/>
      <c r="S93" s="98"/>
      <c r="T93" s="97"/>
      <c r="U93" s="98"/>
      <c r="V93" s="100"/>
      <c r="W93" s="98"/>
      <c r="X93" s="96"/>
      <c r="Y93" s="98"/>
      <c r="Z93" s="96"/>
      <c r="AA93" s="97"/>
      <c r="AB93" s="96"/>
      <c r="AC93" s="98"/>
      <c r="AD93" s="98"/>
      <c r="AE93" s="98"/>
    </row>
    <row r="94" spans="2:31" x14ac:dyDescent="0.3">
      <c r="B94" s="96"/>
      <c r="C94" s="96"/>
      <c r="D94" s="96"/>
      <c r="E94" s="97"/>
      <c r="F94" s="96"/>
      <c r="G94" s="98"/>
      <c r="H94" s="96"/>
      <c r="I94" s="98"/>
      <c r="J94" s="97"/>
      <c r="K94" s="98"/>
      <c r="L94" s="100"/>
      <c r="M94" s="98"/>
      <c r="N94" s="96"/>
      <c r="O94" s="97"/>
      <c r="P94" s="70"/>
      <c r="Q94" s="97"/>
      <c r="R94" s="97"/>
      <c r="S94" s="98"/>
      <c r="T94" s="97"/>
      <c r="U94" s="98"/>
      <c r="V94" s="100"/>
      <c r="W94" s="98"/>
      <c r="X94" s="96"/>
      <c r="Y94" s="98"/>
      <c r="Z94" s="96"/>
      <c r="AA94" s="97"/>
      <c r="AB94" s="96"/>
      <c r="AC94" s="98"/>
      <c r="AD94" s="98"/>
      <c r="AE94" s="98"/>
    </row>
    <row r="95" spans="2:31" x14ac:dyDescent="0.3">
      <c r="B95" s="96"/>
      <c r="C95" s="96"/>
      <c r="D95" s="96"/>
      <c r="E95" s="97"/>
      <c r="F95" s="96"/>
      <c r="G95" s="98"/>
      <c r="H95" s="96"/>
      <c r="I95" s="98"/>
      <c r="J95" s="97"/>
      <c r="K95" s="98"/>
      <c r="L95" s="100"/>
      <c r="M95" s="98"/>
      <c r="N95" s="96"/>
      <c r="O95" s="97"/>
      <c r="P95" s="70"/>
      <c r="Q95" s="97"/>
      <c r="R95" s="97"/>
      <c r="S95" s="98"/>
      <c r="T95" s="97"/>
      <c r="U95" s="98"/>
      <c r="V95" s="100"/>
      <c r="W95" s="98"/>
      <c r="X95" s="96"/>
      <c r="Y95" s="98"/>
      <c r="Z95" s="96"/>
      <c r="AA95" s="97"/>
      <c r="AB95" s="96"/>
      <c r="AC95" s="98"/>
      <c r="AD95" s="98"/>
      <c r="AE95" s="98"/>
    </row>
    <row r="96" spans="2:31" x14ac:dyDescent="0.3">
      <c r="B96" s="96"/>
      <c r="C96" s="96"/>
      <c r="D96" s="96"/>
      <c r="E96" s="97"/>
      <c r="F96" s="96"/>
      <c r="G96" s="98"/>
      <c r="H96" s="96"/>
      <c r="I96" s="98"/>
      <c r="J96" s="97"/>
      <c r="K96" s="98"/>
      <c r="L96" s="100"/>
      <c r="M96" s="98"/>
      <c r="N96" s="96"/>
      <c r="O96" s="97"/>
      <c r="P96" s="70"/>
      <c r="Q96" s="97"/>
      <c r="R96" s="97"/>
      <c r="S96" s="98"/>
      <c r="T96" s="97"/>
      <c r="U96" s="98"/>
      <c r="V96" s="100"/>
      <c r="W96" s="98"/>
      <c r="X96" s="96"/>
      <c r="Y96" s="98"/>
      <c r="Z96" s="96"/>
      <c r="AA96" s="97"/>
      <c r="AB96" s="96"/>
      <c r="AC96" s="98"/>
      <c r="AD96" s="98"/>
      <c r="AE96" s="98"/>
    </row>
    <row r="97" spans="2:31" x14ac:dyDescent="0.3">
      <c r="B97" s="96"/>
      <c r="C97" s="96"/>
      <c r="D97" s="96"/>
      <c r="E97" s="97"/>
      <c r="F97" s="96"/>
      <c r="G97" s="98"/>
      <c r="H97" s="96"/>
      <c r="I97" s="98"/>
      <c r="J97" s="97"/>
      <c r="K97" s="98"/>
      <c r="L97" s="100"/>
      <c r="M97" s="98"/>
      <c r="N97" s="96"/>
      <c r="O97" s="97"/>
      <c r="P97" s="70"/>
      <c r="Q97" s="97"/>
      <c r="R97" s="97"/>
      <c r="S97" s="98"/>
      <c r="T97" s="97"/>
      <c r="U97" s="98"/>
      <c r="V97" s="100"/>
      <c r="W97" s="98"/>
      <c r="X97" s="96"/>
      <c r="Y97" s="98"/>
      <c r="Z97" s="96"/>
      <c r="AA97" s="97"/>
      <c r="AB97" s="96"/>
      <c r="AC97" s="98"/>
      <c r="AD97" s="98"/>
      <c r="AE97" s="98"/>
    </row>
    <row r="98" spans="2:31" x14ac:dyDescent="0.3">
      <c r="B98" s="96"/>
      <c r="C98" s="96"/>
      <c r="D98" s="96"/>
      <c r="E98" s="97"/>
      <c r="F98" s="96"/>
      <c r="G98" s="98"/>
      <c r="H98" s="96"/>
      <c r="I98" s="98"/>
      <c r="J98" s="97"/>
      <c r="K98" s="98"/>
      <c r="L98" s="100"/>
      <c r="M98" s="98"/>
      <c r="N98" s="96"/>
      <c r="O98" s="97"/>
      <c r="P98" s="70"/>
      <c r="Q98" s="97"/>
      <c r="R98" s="97"/>
      <c r="S98" s="98"/>
      <c r="T98" s="97"/>
      <c r="U98" s="98"/>
      <c r="V98" s="100"/>
      <c r="W98" s="98"/>
      <c r="X98" s="96"/>
      <c r="Y98" s="98"/>
      <c r="Z98" s="96"/>
      <c r="AA98" s="97"/>
      <c r="AB98" s="96"/>
      <c r="AC98" s="98"/>
      <c r="AD98" s="98"/>
      <c r="AE98" s="98"/>
    </row>
    <row r="99" spans="2:31" x14ac:dyDescent="0.3">
      <c r="B99" s="96"/>
      <c r="C99" s="96"/>
      <c r="D99" s="96"/>
      <c r="E99" s="97"/>
      <c r="F99" s="96"/>
      <c r="G99" s="98"/>
      <c r="H99" s="96"/>
      <c r="I99" s="98"/>
      <c r="J99" s="97"/>
      <c r="K99" s="98"/>
      <c r="L99" s="100"/>
      <c r="M99" s="98"/>
      <c r="N99" s="96"/>
      <c r="O99" s="97"/>
      <c r="P99" s="70"/>
      <c r="Q99" s="97"/>
      <c r="R99" s="97"/>
      <c r="S99" s="98"/>
      <c r="T99" s="97"/>
      <c r="U99" s="98"/>
      <c r="V99" s="100"/>
      <c r="W99" s="98"/>
      <c r="X99" s="96"/>
      <c r="Y99" s="98"/>
      <c r="Z99" s="96"/>
      <c r="AA99" s="97"/>
      <c r="AB99" s="96"/>
      <c r="AC99" s="98"/>
      <c r="AD99" s="98"/>
      <c r="AE99" s="98"/>
    </row>
    <row r="100" spans="2:31" x14ac:dyDescent="0.3">
      <c r="B100" s="96"/>
      <c r="C100" s="96"/>
      <c r="D100" s="96"/>
      <c r="E100" s="97"/>
      <c r="F100" s="96"/>
      <c r="G100" s="98"/>
      <c r="H100" s="96"/>
      <c r="I100" s="98"/>
      <c r="J100" s="97"/>
      <c r="K100" s="98"/>
      <c r="L100" s="100"/>
      <c r="M100" s="98"/>
      <c r="N100" s="96"/>
      <c r="O100" s="97"/>
      <c r="P100" s="70"/>
      <c r="Q100" s="97"/>
      <c r="R100" s="97"/>
      <c r="S100" s="98"/>
      <c r="T100" s="97"/>
      <c r="U100" s="98"/>
      <c r="V100" s="100"/>
      <c r="W100" s="98"/>
      <c r="X100" s="96"/>
      <c r="Y100" s="98"/>
      <c r="Z100" s="96"/>
      <c r="AA100" s="97"/>
      <c r="AB100" s="96"/>
      <c r="AC100" s="98"/>
      <c r="AD100" s="98"/>
      <c r="AE100" s="98"/>
    </row>
    <row r="101" spans="2:31" x14ac:dyDescent="0.3">
      <c r="B101" s="96"/>
      <c r="C101" s="96"/>
      <c r="D101" s="96"/>
      <c r="E101" s="97"/>
      <c r="F101" s="96"/>
      <c r="G101" s="98"/>
      <c r="H101" s="96"/>
      <c r="I101" s="98"/>
      <c r="J101" s="97"/>
      <c r="K101" s="98"/>
      <c r="L101" s="100"/>
      <c r="M101" s="98"/>
      <c r="N101" s="96"/>
      <c r="O101" s="97"/>
      <c r="P101" s="70"/>
      <c r="Q101" s="97"/>
      <c r="R101" s="97"/>
      <c r="S101" s="98"/>
      <c r="T101" s="97"/>
      <c r="U101" s="98"/>
      <c r="V101" s="100"/>
      <c r="W101" s="98"/>
      <c r="X101" s="96"/>
      <c r="Y101" s="98"/>
      <c r="Z101" s="96"/>
      <c r="AA101" s="97"/>
      <c r="AB101" s="96"/>
      <c r="AC101" s="98"/>
      <c r="AD101" s="98"/>
      <c r="AE101" s="98"/>
    </row>
    <row r="102" spans="2:31" x14ac:dyDescent="0.3">
      <c r="B102" s="96"/>
      <c r="C102" s="96"/>
      <c r="D102" s="96"/>
      <c r="E102" s="97"/>
      <c r="F102" s="96"/>
      <c r="G102" s="98"/>
      <c r="H102" s="96"/>
      <c r="I102" s="98"/>
      <c r="J102" s="97"/>
      <c r="K102" s="98"/>
      <c r="L102" s="100"/>
      <c r="M102" s="98"/>
      <c r="N102" s="96"/>
      <c r="O102" s="97"/>
      <c r="P102" s="70"/>
      <c r="Q102" s="97"/>
      <c r="R102" s="97"/>
      <c r="S102" s="98"/>
      <c r="T102" s="97"/>
      <c r="U102" s="98"/>
      <c r="V102" s="100"/>
      <c r="W102" s="98"/>
      <c r="X102" s="96"/>
      <c r="Y102" s="98"/>
      <c r="Z102" s="96"/>
      <c r="AA102" s="97"/>
      <c r="AB102" s="96"/>
      <c r="AC102" s="98"/>
      <c r="AD102" s="98"/>
      <c r="AE102" s="98"/>
    </row>
    <row r="103" spans="2:31" x14ac:dyDescent="0.3">
      <c r="B103" s="96"/>
      <c r="C103" s="96"/>
      <c r="D103" s="96"/>
      <c r="E103" s="97"/>
      <c r="F103" s="96"/>
      <c r="G103" s="98"/>
      <c r="H103" s="96"/>
      <c r="I103" s="98"/>
      <c r="J103" s="97"/>
      <c r="K103" s="98"/>
      <c r="L103" s="100"/>
      <c r="M103" s="98"/>
      <c r="N103" s="96"/>
      <c r="O103" s="97"/>
      <c r="P103" s="70"/>
      <c r="Q103" s="97"/>
      <c r="R103" s="97"/>
      <c r="S103" s="98"/>
      <c r="T103" s="97"/>
      <c r="U103" s="98"/>
      <c r="V103" s="100"/>
      <c r="W103" s="98"/>
      <c r="X103" s="96"/>
      <c r="Y103" s="98"/>
      <c r="Z103" s="96"/>
      <c r="AA103" s="97"/>
      <c r="AB103" s="96"/>
      <c r="AC103" s="98"/>
      <c r="AD103" s="98"/>
      <c r="AE103" s="98"/>
    </row>
    <row r="104" spans="2:31" x14ac:dyDescent="0.3">
      <c r="B104" s="96"/>
      <c r="C104" s="96"/>
      <c r="D104" s="96"/>
      <c r="E104" s="97"/>
      <c r="F104" s="96"/>
      <c r="G104" s="98"/>
      <c r="H104" s="96"/>
      <c r="I104" s="98"/>
      <c r="J104" s="97"/>
      <c r="K104" s="98"/>
      <c r="L104" s="100"/>
      <c r="M104" s="98"/>
      <c r="N104" s="96"/>
      <c r="O104" s="97"/>
      <c r="P104" s="70"/>
      <c r="Q104" s="97"/>
      <c r="R104" s="97"/>
      <c r="S104" s="98"/>
      <c r="T104" s="97"/>
      <c r="U104" s="98"/>
      <c r="V104" s="100"/>
      <c r="W104" s="98"/>
      <c r="X104" s="96"/>
      <c r="Y104" s="98"/>
      <c r="Z104" s="96"/>
      <c r="AA104" s="97"/>
      <c r="AB104" s="96"/>
      <c r="AC104" s="98"/>
      <c r="AD104" s="98"/>
      <c r="AE104" s="98"/>
    </row>
    <row r="105" spans="2:31" x14ac:dyDescent="0.3">
      <c r="B105" s="96"/>
      <c r="C105" s="96"/>
      <c r="D105" s="96"/>
      <c r="E105" s="97"/>
      <c r="F105" s="96"/>
      <c r="G105" s="98"/>
      <c r="H105" s="96"/>
      <c r="I105" s="98"/>
      <c r="J105" s="97"/>
      <c r="K105" s="98"/>
      <c r="L105" s="100"/>
      <c r="M105" s="98"/>
      <c r="N105" s="96"/>
      <c r="O105" s="97"/>
      <c r="P105" s="70"/>
      <c r="Q105" s="97"/>
      <c r="R105" s="97"/>
      <c r="S105" s="98"/>
      <c r="T105" s="97"/>
      <c r="U105" s="98"/>
      <c r="V105" s="100"/>
      <c r="W105" s="98"/>
      <c r="X105" s="96"/>
      <c r="Y105" s="98"/>
      <c r="Z105" s="96"/>
      <c r="AA105" s="97"/>
      <c r="AB105" s="96"/>
      <c r="AC105" s="98"/>
      <c r="AD105" s="98"/>
      <c r="AE105" s="98"/>
    </row>
    <row r="106" spans="2:31" x14ac:dyDescent="0.3">
      <c r="B106" s="96"/>
      <c r="C106" s="96"/>
      <c r="D106" s="96"/>
      <c r="E106" s="97"/>
      <c r="F106" s="96"/>
      <c r="G106" s="98"/>
      <c r="H106" s="96"/>
      <c r="I106" s="98"/>
      <c r="J106" s="97"/>
      <c r="K106" s="98"/>
      <c r="L106" s="100"/>
      <c r="M106" s="98"/>
      <c r="N106" s="96"/>
      <c r="O106" s="97"/>
      <c r="P106" s="70"/>
      <c r="Q106" s="97"/>
      <c r="R106" s="97"/>
      <c r="S106" s="98"/>
      <c r="T106" s="97"/>
      <c r="U106" s="98"/>
      <c r="V106" s="100"/>
      <c r="W106" s="98"/>
      <c r="X106" s="96"/>
      <c r="Y106" s="98"/>
      <c r="Z106" s="96"/>
      <c r="AA106" s="97"/>
      <c r="AB106" s="96"/>
      <c r="AC106" s="98"/>
      <c r="AD106" s="98"/>
      <c r="AE106" s="98"/>
    </row>
    <row r="107" spans="2:31" x14ac:dyDescent="0.3">
      <c r="B107" s="96"/>
      <c r="C107" s="96"/>
      <c r="D107" s="96"/>
      <c r="E107" s="97"/>
      <c r="F107" s="96"/>
      <c r="G107" s="98"/>
      <c r="H107" s="96"/>
      <c r="I107" s="98"/>
      <c r="J107" s="97"/>
      <c r="K107" s="98"/>
      <c r="L107" s="100"/>
      <c r="M107" s="98"/>
      <c r="N107" s="96"/>
      <c r="O107" s="97"/>
      <c r="P107" s="70"/>
      <c r="Q107" s="97"/>
      <c r="R107" s="97"/>
      <c r="S107" s="98"/>
      <c r="T107" s="97"/>
      <c r="U107" s="98"/>
      <c r="V107" s="100"/>
      <c r="W107" s="98"/>
      <c r="X107" s="96"/>
      <c r="Y107" s="98"/>
      <c r="Z107" s="96"/>
      <c r="AA107" s="97"/>
      <c r="AB107" s="96"/>
      <c r="AC107" s="98"/>
      <c r="AD107" s="98"/>
      <c r="AE107" s="98"/>
    </row>
    <row r="108" spans="2:31" x14ac:dyDescent="0.3">
      <c r="B108" s="96"/>
      <c r="C108" s="96"/>
      <c r="D108" s="96"/>
      <c r="E108" s="97"/>
      <c r="F108" s="96"/>
      <c r="G108" s="98"/>
      <c r="H108" s="96"/>
      <c r="I108" s="98"/>
      <c r="J108" s="97"/>
      <c r="K108" s="98"/>
      <c r="L108" s="100"/>
      <c r="M108" s="98"/>
      <c r="N108" s="96"/>
      <c r="O108" s="97"/>
      <c r="P108" s="70"/>
      <c r="Q108" s="97"/>
      <c r="R108" s="97"/>
      <c r="S108" s="98"/>
      <c r="T108" s="97"/>
      <c r="U108" s="98"/>
      <c r="V108" s="100"/>
      <c r="W108" s="98"/>
      <c r="X108" s="96"/>
      <c r="Y108" s="98"/>
      <c r="Z108" s="96"/>
      <c r="AA108" s="97"/>
      <c r="AB108" s="96"/>
      <c r="AC108" s="98"/>
      <c r="AD108" s="98"/>
      <c r="AE108" s="98"/>
    </row>
    <row r="109" spans="2:31" x14ac:dyDescent="0.3">
      <c r="B109" s="96"/>
      <c r="C109" s="96"/>
      <c r="D109" s="96"/>
      <c r="E109" s="97"/>
      <c r="F109" s="96"/>
      <c r="G109" s="98"/>
      <c r="H109" s="96"/>
      <c r="I109" s="98"/>
      <c r="J109" s="97"/>
      <c r="K109" s="98"/>
      <c r="L109" s="100"/>
      <c r="M109" s="98"/>
      <c r="N109" s="96"/>
      <c r="O109" s="97"/>
      <c r="P109" s="70"/>
      <c r="Q109" s="97"/>
      <c r="R109" s="97"/>
      <c r="S109" s="98"/>
      <c r="T109" s="97"/>
      <c r="U109" s="98"/>
      <c r="V109" s="100"/>
      <c r="W109" s="98"/>
      <c r="X109" s="96"/>
      <c r="Y109" s="98"/>
      <c r="Z109" s="96"/>
      <c r="AA109" s="97"/>
      <c r="AB109" s="96"/>
      <c r="AC109" s="98"/>
      <c r="AD109" s="98"/>
      <c r="AE109" s="98"/>
    </row>
    <row r="110" spans="2:31" x14ac:dyDescent="0.3">
      <c r="B110" s="96"/>
      <c r="C110" s="96"/>
      <c r="D110" s="96"/>
      <c r="E110" s="97"/>
      <c r="F110" s="96"/>
      <c r="G110" s="98"/>
      <c r="H110" s="96"/>
      <c r="I110" s="98"/>
      <c r="J110" s="97"/>
      <c r="K110" s="98"/>
      <c r="L110" s="100"/>
      <c r="M110" s="98"/>
      <c r="N110" s="96"/>
      <c r="O110" s="97"/>
      <c r="P110" s="70"/>
      <c r="Q110" s="97"/>
      <c r="R110" s="97"/>
      <c r="S110" s="98"/>
      <c r="T110" s="97"/>
      <c r="U110" s="98"/>
      <c r="V110" s="100"/>
      <c r="W110" s="98"/>
      <c r="X110" s="96"/>
      <c r="Y110" s="98"/>
      <c r="Z110" s="96"/>
      <c r="AA110" s="97"/>
      <c r="AB110" s="96"/>
      <c r="AC110" s="98"/>
      <c r="AD110" s="98"/>
      <c r="AE110" s="98"/>
    </row>
    <row r="111" spans="2:31" x14ac:dyDescent="0.3">
      <c r="B111" s="96"/>
      <c r="C111" s="96"/>
      <c r="D111" s="96"/>
      <c r="E111" s="97"/>
      <c r="F111" s="96"/>
      <c r="G111" s="98"/>
      <c r="H111" s="96"/>
      <c r="I111" s="98"/>
      <c r="J111" s="97"/>
      <c r="K111" s="98"/>
      <c r="L111" s="100"/>
      <c r="M111" s="98"/>
      <c r="N111" s="96"/>
      <c r="O111" s="97"/>
      <c r="P111" s="70"/>
      <c r="Q111" s="97"/>
      <c r="R111" s="97"/>
      <c r="S111" s="98"/>
      <c r="T111" s="97"/>
      <c r="U111" s="98"/>
      <c r="V111" s="100"/>
      <c r="W111" s="98"/>
      <c r="X111" s="96"/>
      <c r="Y111" s="98"/>
      <c r="Z111" s="96"/>
      <c r="AA111" s="97"/>
      <c r="AB111" s="96"/>
      <c r="AC111" s="98"/>
      <c r="AD111" s="98"/>
      <c r="AE111" s="98"/>
    </row>
    <row r="112" spans="2:31" x14ac:dyDescent="0.3">
      <c r="B112" s="96"/>
      <c r="C112" s="96"/>
      <c r="D112" s="96"/>
      <c r="E112" s="97"/>
      <c r="F112" s="96"/>
      <c r="G112" s="98"/>
      <c r="H112" s="96"/>
      <c r="I112" s="98"/>
      <c r="J112" s="97"/>
      <c r="K112" s="98"/>
      <c r="L112" s="100"/>
      <c r="M112" s="98"/>
      <c r="N112" s="96"/>
      <c r="O112" s="97"/>
      <c r="P112" s="70"/>
      <c r="Q112" s="97"/>
      <c r="R112" s="97"/>
      <c r="S112" s="98"/>
      <c r="T112" s="97"/>
      <c r="U112" s="98"/>
      <c r="V112" s="100"/>
      <c r="W112" s="98"/>
      <c r="X112" s="96"/>
      <c r="Y112" s="98"/>
      <c r="Z112" s="96"/>
      <c r="AA112" s="97"/>
      <c r="AB112" s="96"/>
      <c r="AC112" s="98"/>
      <c r="AD112" s="98"/>
      <c r="AE112" s="98"/>
    </row>
    <row r="113" spans="2:31" x14ac:dyDescent="0.3">
      <c r="B113" s="96"/>
      <c r="C113" s="96"/>
      <c r="D113" s="96"/>
      <c r="E113" s="97"/>
      <c r="F113" s="96"/>
      <c r="G113" s="98"/>
      <c r="H113" s="96"/>
      <c r="I113" s="98"/>
      <c r="J113" s="97"/>
      <c r="K113" s="98"/>
      <c r="L113" s="100"/>
      <c r="M113" s="98"/>
      <c r="N113" s="96"/>
      <c r="O113" s="97"/>
      <c r="P113" s="70"/>
      <c r="Q113" s="97"/>
      <c r="R113" s="97"/>
      <c r="S113" s="98"/>
      <c r="T113" s="97"/>
      <c r="U113" s="98"/>
      <c r="V113" s="100"/>
      <c r="W113" s="98"/>
      <c r="X113" s="96"/>
      <c r="Y113" s="98"/>
      <c r="Z113" s="96"/>
      <c r="AA113" s="97"/>
      <c r="AB113" s="96"/>
      <c r="AC113" s="98"/>
      <c r="AD113" s="98"/>
      <c r="AE113" s="98"/>
    </row>
    <row r="114" spans="2:31" x14ac:dyDescent="0.3">
      <c r="B114" s="96"/>
      <c r="C114" s="96"/>
      <c r="D114" s="96"/>
      <c r="E114" s="97"/>
      <c r="F114" s="96"/>
      <c r="G114" s="98"/>
      <c r="H114" s="96"/>
      <c r="I114" s="98"/>
      <c r="J114" s="97"/>
      <c r="K114" s="98"/>
      <c r="L114" s="100"/>
      <c r="M114" s="98"/>
      <c r="N114" s="96"/>
      <c r="O114" s="97"/>
      <c r="P114" s="70"/>
      <c r="Q114" s="97"/>
      <c r="R114" s="97"/>
      <c r="S114" s="98"/>
      <c r="T114" s="97"/>
      <c r="U114" s="98"/>
      <c r="V114" s="100"/>
      <c r="W114" s="98"/>
      <c r="X114" s="96"/>
      <c r="Y114" s="98"/>
      <c r="Z114" s="96"/>
      <c r="AA114" s="97"/>
      <c r="AB114" s="96"/>
      <c r="AC114" s="98"/>
      <c r="AD114" s="98"/>
      <c r="AE114" s="98"/>
    </row>
    <row r="115" spans="2:31" x14ac:dyDescent="0.3">
      <c r="B115" s="96"/>
      <c r="C115" s="96"/>
      <c r="D115" s="96"/>
      <c r="E115" s="97"/>
      <c r="F115" s="96"/>
      <c r="G115" s="98"/>
      <c r="H115" s="96"/>
      <c r="I115" s="98"/>
      <c r="J115" s="97"/>
      <c r="K115" s="98"/>
      <c r="L115" s="100"/>
      <c r="M115" s="98"/>
      <c r="N115" s="96"/>
      <c r="O115" s="97"/>
      <c r="P115" s="70"/>
      <c r="Q115" s="97"/>
      <c r="R115" s="97"/>
      <c r="S115" s="98"/>
      <c r="T115" s="97"/>
      <c r="U115" s="98"/>
      <c r="V115" s="100"/>
      <c r="W115" s="98"/>
      <c r="X115" s="96"/>
      <c r="Y115" s="98"/>
      <c r="Z115" s="96"/>
      <c r="AA115" s="97"/>
      <c r="AB115" s="96"/>
      <c r="AC115" s="98"/>
      <c r="AD115" s="98"/>
      <c r="AE115" s="98"/>
    </row>
    <row r="116" spans="2:31" x14ac:dyDescent="0.3">
      <c r="B116" s="96"/>
      <c r="C116" s="96"/>
      <c r="D116" s="96"/>
      <c r="E116" s="97"/>
      <c r="F116" s="96"/>
      <c r="G116" s="98"/>
      <c r="H116" s="96"/>
      <c r="I116" s="98"/>
      <c r="J116" s="97"/>
      <c r="K116" s="98"/>
      <c r="L116" s="100"/>
      <c r="M116" s="98"/>
      <c r="N116" s="96"/>
      <c r="O116" s="97"/>
      <c r="P116" s="70"/>
      <c r="Q116" s="97"/>
      <c r="R116" s="97"/>
      <c r="S116" s="98"/>
      <c r="T116" s="97"/>
      <c r="U116" s="98"/>
      <c r="V116" s="100"/>
      <c r="W116" s="98"/>
      <c r="X116" s="96"/>
      <c r="Y116" s="98"/>
      <c r="Z116" s="96"/>
      <c r="AA116" s="97"/>
      <c r="AB116" s="96"/>
      <c r="AC116" s="98"/>
      <c r="AD116" s="98"/>
      <c r="AE116" s="98"/>
    </row>
    <row r="117" spans="2:31" x14ac:dyDescent="0.3">
      <c r="B117" s="96"/>
      <c r="C117" s="96"/>
      <c r="D117" s="96"/>
      <c r="E117" s="97"/>
      <c r="F117" s="96"/>
      <c r="G117" s="98"/>
      <c r="H117" s="96"/>
      <c r="I117" s="98"/>
      <c r="J117" s="97"/>
      <c r="K117" s="98"/>
      <c r="L117" s="100"/>
      <c r="M117" s="98"/>
      <c r="N117" s="96"/>
      <c r="O117" s="97"/>
      <c r="P117" s="70"/>
      <c r="Q117" s="97"/>
      <c r="R117" s="97"/>
      <c r="S117" s="98"/>
      <c r="T117" s="97"/>
      <c r="U117" s="98"/>
      <c r="V117" s="100"/>
      <c r="W117" s="98"/>
      <c r="X117" s="96"/>
      <c r="Y117" s="98"/>
      <c r="Z117" s="96"/>
      <c r="AA117" s="97"/>
      <c r="AB117" s="96"/>
      <c r="AC117" s="98"/>
      <c r="AD117" s="98"/>
      <c r="AE117" s="98"/>
    </row>
    <row r="118" spans="2:31" x14ac:dyDescent="0.3">
      <c r="B118" s="96"/>
      <c r="C118" s="96"/>
      <c r="D118" s="96"/>
      <c r="E118" s="97"/>
      <c r="F118" s="96"/>
      <c r="G118" s="98"/>
      <c r="H118" s="96"/>
      <c r="I118" s="98"/>
      <c r="J118" s="97"/>
      <c r="K118" s="98"/>
      <c r="L118" s="100"/>
      <c r="M118" s="98"/>
      <c r="N118" s="96"/>
      <c r="O118" s="97"/>
      <c r="P118" s="70"/>
      <c r="Q118" s="97"/>
      <c r="R118" s="97"/>
      <c r="S118" s="98"/>
      <c r="T118" s="97"/>
      <c r="U118" s="98"/>
      <c r="V118" s="100"/>
      <c r="W118" s="98"/>
      <c r="X118" s="96"/>
      <c r="Y118" s="98"/>
      <c r="Z118" s="96"/>
      <c r="AA118" s="97"/>
      <c r="AB118" s="96"/>
      <c r="AC118" s="98"/>
      <c r="AD118" s="98"/>
      <c r="AE118" s="98"/>
    </row>
    <row r="119" spans="2:31" x14ac:dyDescent="0.3">
      <c r="B119" s="96"/>
      <c r="C119" s="96"/>
      <c r="D119" s="96"/>
      <c r="E119" s="97"/>
      <c r="F119" s="96"/>
      <c r="G119" s="98"/>
      <c r="H119" s="96"/>
      <c r="I119" s="98"/>
      <c r="J119" s="97"/>
      <c r="K119" s="98"/>
      <c r="L119" s="100"/>
      <c r="M119" s="98"/>
      <c r="N119" s="96"/>
      <c r="O119" s="97"/>
      <c r="P119" s="70"/>
      <c r="Q119" s="97"/>
      <c r="R119" s="97"/>
      <c r="S119" s="98"/>
      <c r="T119" s="97"/>
      <c r="U119" s="98"/>
      <c r="V119" s="100"/>
      <c r="W119" s="98"/>
      <c r="X119" s="96"/>
      <c r="Y119" s="98"/>
      <c r="Z119" s="96"/>
      <c r="AA119" s="97"/>
      <c r="AB119" s="96"/>
      <c r="AC119" s="98"/>
      <c r="AD119" s="98"/>
      <c r="AE119" s="98"/>
    </row>
    <row r="120" spans="2:31" x14ac:dyDescent="0.3">
      <c r="B120" s="96"/>
      <c r="C120" s="96"/>
      <c r="D120" s="96"/>
      <c r="E120" s="97"/>
      <c r="F120" s="96"/>
      <c r="G120" s="98"/>
      <c r="H120" s="96"/>
      <c r="I120" s="98"/>
      <c r="J120" s="97"/>
      <c r="K120" s="98"/>
      <c r="L120" s="100"/>
      <c r="M120" s="98"/>
      <c r="N120" s="96"/>
      <c r="O120" s="97"/>
      <c r="P120" s="70"/>
      <c r="Q120" s="97"/>
      <c r="R120" s="97"/>
      <c r="S120" s="98"/>
      <c r="T120" s="97"/>
      <c r="U120" s="98"/>
      <c r="V120" s="100"/>
      <c r="W120" s="98"/>
      <c r="X120" s="96"/>
      <c r="Y120" s="98"/>
      <c r="Z120" s="96"/>
      <c r="AA120" s="97"/>
      <c r="AB120" s="96"/>
      <c r="AC120" s="98"/>
      <c r="AD120" s="98"/>
      <c r="AE120" s="98"/>
    </row>
    <row r="121" spans="2:31" x14ac:dyDescent="0.3">
      <c r="B121" s="96"/>
      <c r="C121" s="96"/>
      <c r="D121" s="96"/>
      <c r="E121" s="97"/>
      <c r="F121" s="96"/>
      <c r="G121" s="98"/>
      <c r="H121" s="96"/>
      <c r="I121" s="98"/>
      <c r="J121" s="97"/>
      <c r="K121" s="98"/>
      <c r="L121" s="100"/>
      <c r="M121" s="98"/>
      <c r="N121" s="96"/>
      <c r="O121" s="97"/>
      <c r="P121" s="70"/>
      <c r="Q121" s="97"/>
      <c r="R121" s="97"/>
      <c r="S121" s="98"/>
      <c r="T121" s="97"/>
      <c r="U121" s="98"/>
      <c r="V121" s="100"/>
      <c r="W121" s="98"/>
      <c r="X121" s="96"/>
      <c r="Y121" s="98"/>
      <c r="Z121" s="96"/>
      <c r="AA121" s="97"/>
      <c r="AB121" s="96"/>
      <c r="AC121" s="98"/>
      <c r="AD121" s="98"/>
      <c r="AE121" s="98"/>
    </row>
    <row r="122" spans="2:31" x14ac:dyDescent="0.3">
      <c r="B122" s="96"/>
      <c r="C122" s="96"/>
      <c r="D122" s="96"/>
      <c r="E122" s="97"/>
      <c r="F122" s="96"/>
      <c r="G122" s="98"/>
      <c r="H122" s="96"/>
      <c r="I122" s="98"/>
      <c r="J122" s="97"/>
      <c r="K122" s="98"/>
      <c r="L122" s="100"/>
      <c r="M122" s="98"/>
      <c r="N122" s="96"/>
      <c r="O122" s="97"/>
      <c r="P122" s="70"/>
      <c r="Q122" s="97"/>
      <c r="R122" s="97"/>
      <c r="S122" s="98"/>
      <c r="T122" s="97"/>
      <c r="U122" s="98"/>
      <c r="V122" s="100"/>
      <c r="W122" s="98"/>
      <c r="X122" s="96"/>
      <c r="Y122" s="98"/>
      <c r="Z122" s="96"/>
      <c r="AA122" s="97"/>
      <c r="AB122" s="96"/>
      <c r="AC122" s="98"/>
      <c r="AD122" s="98"/>
      <c r="AE122" s="98"/>
    </row>
    <row r="123" spans="2:31" x14ac:dyDescent="0.3">
      <c r="B123" s="96"/>
      <c r="C123" s="96"/>
      <c r="D123" s="96"/>
      <c r="E123" s="97"/>
      <c r="F123" s="96"/>
      <c r="G123" s="98"/>
      <c r="H123" s="96"/>
      <c r="I123" s="98"/>
      <c r="J123" s="97"/>
      <c r="K123" s="98"/>
      <c r="L123" s="100"/>
      <c r="M123" s="98"/>
      <c r="N123" s="96"/>
      <c r="O123" s="97"/>
      <c r="P123" s="70"/>
      <c r="Q123" s="97"/>
      <c r="R123" s="97"/>
      <c r="S123" s="98"/>
      <c r="T123" s="97"/>
      <c r="U123" s="98"/>
      <c r="V123" s="100"/>
      <c r="W123" s="98"/>
      <c r="X123" s="96"/>
      <c r="Y123" s="98"/>
      <c r="Z123" s="96"/>
      <c r="AA123" s="97"/>
      <c r="AB123" s="96"/>
      <c r="AC123" s="98"/>
      <c r="AD123" s="98"/>
      <c r="AE123" s="98"/>
    </row>
    <row r="124" spans="2:31" x14ac:dyDescent="0.3">
      <c r="B124" s="96"/>
      <c r="C124" s="96"/>
      <c r="D124" s="96"/>
      <c r="E124" s="97"/>
      <c r="F124" s="96"/>
      <c r="G124" s="98"/>
      <c r="H124" s="96"/>
      <c r="I124" s="98"/>
      <c r="J124" s="97"/>
      <c r="K124" s="98"/>
      <c r="L124" s="100"/>
      <c r="M124" s="98"/>
      <c r="N124" s="96"/>
      <c r="O124" s="97"/>
      <c r="P124" s="70"/>
      <c r="Q124" s="97"/>
      <c r="R124" s="97"/>
      <c r="S124" s="98"/>
      <c r="T124" s="97"/>
      <c r="U124" s="98"/>
      <c r="V124" s="100"/>
      <c r="W124" s="98"/>
      <c r="X124" s="96"/>
      <c r="Y124" s="98"/>
      <c r="Z124" s="96"/>
      <c r="AA124" s="97"/>
      <c r="AB124" s="96"/>
      <c r="AC124" s="98"/>
      <c r="AD124" s="98"/>
      <c r="AE124" s="98"/>
    </row>
    <row r="125" spans="2:31" x14ac:dyDescent="0.3">
      <c r="B125" s="96"/>
      <c r="C125" s="96"/>
      <c r="D125" s="96"/>
      <c r="E125" s="97"/>
      <c r="F125" s="96"/>
      <c r="G125" s="98"/>
      <c r="H125" s="96"/>
      <c r="I125" s="98"/>
      <c r="J125" s="97"/>
      <c r="K125" s="98"/>
      <c r="L125" s="100"/>
      <c r="M125" s="98"/>
      <c r="N125" s="96"/>
      <c r="O125" s="97"/>
      <c r="P125" s="70"/>
      <c r="Q125" s="97"/>
      <c r="R125" s="97"/>
      <c r="S125" s="98"/>
      <c r="T125" s="97"/>
      <c r="U125" s="98"/>
      <c r="V125" s="100"/>
      <c r="W125" s="98"/>
      <c r="X125" s="96"/>
      <c r="Y125" s="98"/>
      <c r="Z125" s="96"/>
      <c r="AA125" s="97"/>
      <c r="AB125" s="96"/>
      <c r="AC125" s="98"/>
      <c r="AD125" s="98"/>
      <c r="AE125" s="98"/>
    </row>
    <row r="126" spans="2:31" x14ac:dyDescent="0.3">
      <c r="B126" s="96"/>
      <c r="C126" s="96"/>
      <c r="D126" s="96"/>
      <c r="E126" s="97"/>
      <c r="F126" s="96"/>
      <c r="G126" s="98"/>
      <c r="H126" s="96"/>
      <c r="I126" s="98"/>
      <c r="J126" s="97"/>
      <c r="K126" s="98"/>
      <c r="L126" s="100"/>
      <c r="M126" s="98"/>
      <c r="N126" s="96"/>
      <c r="O126" s="97"/>
      <c r="P126" s="70"/>
      <c r="Q126" s="97"/>
      <c r="R126" s="97"/>
      <c r="S126" s="98"/>
      <c r="T126" s="97"/>
      <c r="U126" s="98"/>
      <c r="V126" s="100"/>
      <c r="W126" s="98"/>
      <c r="X126" s="96"/>
      <c r="Y126" s="98"/>
      <c r="Z126" s="96"/>
      <c r="AA126" s="97"/>
      <c r="AB126" s="96"/>
      <c r="AC126" s="98"/>
      <c r="AD126" s="98"/>
      <c r="AE126" s="98"/>
    </row>
    <row r="127" spans="2:31" x14ac:dyDescent="0.3">
      <c r="B127" s="96"/>
      <c r="C127" s="96"/>
      <c r="D127" s="96"/>
      <c r="E127" s="97"/>
      <c r="F127" s="96"/>
      <c r="G127" s="98"/>
      <c r="H127" s="96"/>
      <c r="I127" s="98"/>
      <c r="J127" s="97"/>
      <c r="K127" s="98"/>
      <c r="L127" s="100"/>
      <c r="M127" s="98"/>
      <c r="N127" s="96"/>
      <c r="O127" s="97"/>
      <c r="P127" s="70"/>
      <c r="Q127" s="97"/>
      <c r="R127" s="97"/>
      <c r="S127" s="98"/>
      <c r="T127" s="97"/>
      <c r="U127" s="98"/>
      <c r="V127" s="100"/>
      <c r="W127" s="98"/>
      <c r="X127" s="96"/>
      <c r="Y127" s="98"/>
      <c r="Z127" s="96"/>
      <c r="AA127" s="97"/>
      <c r="AB127" s="96"/>
      <c r="AC127" s="98"/>
      <c r="AD127" s="98"/>
      <c r="AE127" s="98"/>
    </row>
    <row r="128" spans="2:31" x14ac:dyDescent="0.3">
      <c r="B128" s="96"/>
      <c r="C128" s="96"/>
      <c r="D128" s="96"/>
      <c r="E128" s="97"/>
      <c r="F128" s="96"/>
      <c r="G128" s="98"/>
      <c r="H128" s="96"/>
      <c r="I128" s="98"/>
      <c r="J128" s="97"/>
      <c r="K128" s="98"/>
      <c r="L128" s="100"/>
      <c r="M128" s="98"/>
      <c r="N128" s="96"/>
      <c r="O128" s="97"/>
      <c r="P128" s="70"/>
      <c r="Q128" s="97"/>
      <c r="R128" s="97"/>
      <c r="S128" s="98"/>
      <c r="T128" s="97"/>
      <c r="U128" s="98"/>
      <c r="V128" s="100"/>
      <c r="W128" s="98"/>
      <c r="X128" s="96"/>
      <c r="Y128" s="98"/>
      <c r="Z128" s="96"/>
      <c r="AA128" s="97"/>
      <c r="AB128" s="96"/>
      <c r="AC128" s="98"/>
      <c r="AD128" s="98"/>
      <c r="AE128" s="98"/>
    </row>
    <row r="129" spans="2:31" x14ac:dyDescent="0.3">
      <c r="B129" s="96"/>
      <c r="C129" s="96"/>
      <c r="D129" s="96"/>
      <c r="E129" s="97"/>
      <c r="F129" s="96"/>
      <c r="G129" s="98"/>
      <c r="H129" s="96"/>
      <c r="I129" s="98"/>
      <c r="J129" s="97"/>
      <c r="K129" s="98"/>
      <c r="L129" s="100"/>
      <c r="M129" s="98"/>
      <c r="N129" s="96"/>
      <c r="O129" s="97"/>
      <c r="P129" s="70"/>
      <c r="Q129" s="97"/>
      <c r="R129" s="97"/>
      <c r="S129" s="98"/>
      <c r="T129" s="97"/>
      <c r="U129" s="98"/>
      <c r="V129" s="100"/>
      <c r="W129" s="98"/>
      <c r="X129" s="96"/>
      <c r="Y129" s="98"/>
      <c r="Z129" s="96"/>
      <c r="AA129" s="97"/>
      <c r="AB129" s="96"/>
      <c r="AC129" s="98"/>
      <c r="AD129" s="98"/>
      <c r="AE129" s="98"/>
    </row>
    <row r="130" spans="2:31" x14ac:dyDescent="0.3">
      <c r="B130" s="96"/>
      <c r="C130" s="96"/>
      <c r="D130" s="96"/>
      <c r="E130" s="97"/>
      <c r="F130" s="96"/>
      <c r="G130" s="98"/>
      <c r="H130" s="96"/>
      <c r="I130" s="98"/>
      <c r="J130" s="97"/>
      <c r="K130" s="98"/>
      <c r="L130" s="100"/>
      <c r="M130" s="98"/>
      <c r="N130" s="96"/>
      <c r="O130" s="97"/>
      <c r="P130" s="70"/>
      <c r="Q130" s="97"/>
      <c r="R130" s="97"/>
      <c r="S130" s="98"/>
      <c r="T130" s="97"/>
      <c r="U130" s="98"/>
      <c r="V130" s="100"/>
      <c r="W130" s="98"/>
      <c r="X130" s="96"/>
      <c r="Y130" s="98"/>
      <c r="Z130" s="96"/>
      <c r="AA130" s="97"/>
      <c r="AB130" s="96"/>
      <c r="AC130" s="98"/>
      <c r="AD130" s="98"/>
      <c r="AE130" s="98"/>
    </row>
    <row r="131" spans="2:31" x14ac:dyDescent="0.3">
      <c r="B131" s="96"/>
      <c r="C131" s="96"/>
      <c r="D131" s="96"/>
      <c r="E131" s="97"/>
      <c r="F131" s="96"/>
      <c r="G131" s="98"/>
      <c r="H131" s="96"/>
      <c r="I131" s="98"/>
      <c r="J131" s="97"/>
      <c r="K131" s="98"/>
      <c r="L131" s="100"/>
      <c r="M131" s="98"/>
      <c r="N131" s="96"/>
      <c r="O131" s="97"/>
      <c r="P131" s="70"/>
      <c r="Q131" s="97"/>
      <c r="R131" s="97"/>
      <c r="S131" s="98"/>
      <c r="T131" s="97"/>
      <c r="U131" s="98"/>
      <c r="V131" s="100"/>
      <c r="W131" s="98"/>
      <c r="X131" s="96"/>
      <c r="Y131" s="98"/>
      <c r="Z131" s="96"/>
      <c r="AA131" s="97"/>
      <c r="AB131" s="96"/>
      <c r="AC131" s="98"/>
      <c r="AD131" s="98"/>
      <c r="AE131" s="98"/>
    </row>
    <row r="132" spans="2:31" x14ac:dyDescent="0.3">
      <c r="B132" s="96"/>
      <c r="C132" s="96"/>
      <c r="D132" s="96"/>
      <c r="E132" s="97"/>
      <c r="F132" s="96"/>
      <c r="G132" s="98"/>
      <c r="H132" s="96"/>
      <c r="I132" s="98"/>
      <c r="J132" s="97"/>
      <c r="K132" s="98"/>
      <c r="L132" s="100"/>
      <c r="M132" s="98"/>
      <c r="N132" s="96"/>
      <c r="O132" s="97"/>
      <c r="P132" s="70"/>
      <c r="Q132" s="97"/>
      <c r="R132" s="97"/>
      <c r="S132" s="98"/>
      <c r="T132" s="97"/>
      <c r="U132" s="98"/>
      <c r="V132" s="100"/>
      <c r="W132" s="98"/>
      <c r="X132" s="96"/>
      <c r="Y132" s="98"/>
      <c r="Z132" s="96"/>
      <c r="AA132" s="97"/>
      <c r="AB132" s="96"/>
      <c r="AC132" s="98"/>
      <c r="AD132" s="98"/>
      <c r="AE132" s="98"/>
    </row>
    <row r="133" spans="2:31" x14ac:dyDescent="0.3">
      <c r="B133" s="96"/>
      <c r="C133" s="96"/>
      <c r="D133" s="96"/>
      <c r="E133" s="97"/>
      <c r="F133" s="96"/>
      <c r="G133" s="98"/>
      <c r="H133" s="96"/>
      <c r="I133" s="98"/>
      <c r="J133" s="97"/>
      <c r="K133" s="98"/>
      <c r="L133" s="100"/>
      <c r="M133" s="98"/>
      <c r="N133" s="96"/>
      <c r="O133" s="97"/>
      <c r="P133" s="70"/>
      <c r="Q133" s="97"/>
      <c r="R133" s="97"/>
      <c r="S133" s="98"/>
      <c r="T133" s="97"/>
      <c r="U133" s="98"/>
      <c r="V133" s="100"/>
      <c r="W133" s="98"/>
      <c r="X133" s="96"/>
      <c r="Y133" s="98"/>
      <c r="Z133" s="96"/>
      <c r="AA133" s="97"/>
      <c r="AB133" s="96"/>
      <c r="AC133" s="98"/>
      <c r="AD133" s="98"/>
      <c r="AE133" s="98"/>
    </row>
    <row r="134" spans="2:31" x14ac:dyDescent="0.3">
      <c r="B134" s="96"/>
      <c r="C134" s="96"/>
      <c r="D134" s="96"/>
      <c r="E134" s="97"/>
      <c r="F134" s="96"/>
      <c r="G134" s="98"/>
      <c r="H134" s="96"/>
      <c r="I134" s="98"/>
      <c r="J134" s="97"/>
      <c r="K134" s="98"/>
      <c r="L134" s="100"/>
      <c r="M134" s="98"/>
      <c r="N134" s="96"/>
      <c r="O134" s="97"/>
      <c r="P134" s="70"/>
      <c r="Q134" s="97"/>
      <c r="R134" s="97"/>
      <c r="S134" s="98"/>
      <c r="T134" s="97"/>
      <c r="U134" s="98"/>
      <c r="V134" s="100"/>
      <c r="W134" s="98"/>
      <c r="X134" s="96"/>
      <c r="Y134" s="98"/>
      <c r="Z134" s="96"/>
      <c r="AA134" s="97"/>
      <c r="AB134" s="96"/>
      <c r="AC134" s="98"/>
      <c r="AD134" s="98"/>
      <c r="AE134" s="98"/>
    </row>
    <row r="135" spans="2:31" x14ac:dyDescent="0.3">
      <c r="B135" s="96"/>
      <c r="C135" s="96"/>
      <c r="D135" s="96"/>
      <c r="E135" s="97"/>
      <c r="F135" s="96"/>
      <c r="G135" s="98"/>
      <c r="H135" s="96"/>
      <c r="I135" s="98"/>
      <c r="J135" s="97"/>
      <c r="K135" s="98"/>
      <c r="L135" s="100"/>
      <c r="M135" s="98"/>
      <c r="N135" s="96"/>
      <c r="O135" s="97"/>
      <c r="P135" s="70"/>
      <c r="Q135" s="97"/>
      <c r="R135" s="97"/>
      <c r="S135" s="98"/>
      <c r="T135" s="97"/>
      <c r="U135" s="98"/>
      <c r="V135" s="100"/>
      <c r="W135" s="98"/>
      <c r="X135" s="96"/>
      <c r="Y135" s="98"/>
      <c r="Z135" s="96"/>
      <c r="AA135" s="97"/>
      <c r="AB135" s="96"/>
      <c r="AC135" s="98"/>
      <c r="AD135" s="98"/>
      <c r="AE135" s="98"/>
    </row>
    <row r="136" spans="2:31" x14ac:dyDescent="0.3">
      <c r="B136" s="96"/>
      <c r="C136" s="96"/>
      <c r="D136" s="96"/>
      <c r="E136" s="97"/>
      <c r="F136" s="96"/>
      <c r="G136" s="98"/>
      <c r="H136" s="96"/>
      <c r="I136" s="98"/>
      <c r="J136" s="97"/>
      <c r="K136" s="98"/>
      <c r="L136" s="100"/>
      <c r="M136" s="98"/>
      <c r="N136" s="96"/>
      <c r="O136" s="97"/>
      <c r="P136" s="70"/>
      <c r="Q136" s="97"/>
      <c r="R136" s="97"/>
      <c r="S136" s="98"/>
      <c r="T136" s="97"/>
      <c r="U136" s="98"/>
      <c r="V136" s="100"/>
      <c r="W136" s="98"/>
      <c r="X136" s="96"/>
      <c r="Y136" s="98"/>
      <c r="Z136" s="96"/>
      <c r="AA136" s="97"/>
      <c r="AB136" s="96"/>
      <c r="AC136" s="98"/>
      <c r="AD136" s="98"/>
      <c r="AE136" s="98"/>
    </row>
    <row r="137" spans="2:31" x14ac:dyDescent="0.3">
      <c r="B137" s="96"/>
      <c r="C137" s="96"/>
      <c r="D137" s="96"/>
      <c r="E137" s="97"/>
      <c r="F137" s="96"/>
      <c r="G137" s="98"/>
      <c r="H137" s="96"/>
      <c r="I137" s="98"/>
      <c r="J137" s="97"/>
      <c r="K137" s="98"/>
      <c r="L137" s="100"/>
      <c r="M137" s="98"/>
      <c r="N137" s="96"/>
      <c r="O137" s="97"/>
      <c r="P137" s="70"/>
      <c r="Q137" s="97"/>
      <c r="R137" s="97"/>
      <c r="S137" s="98"/>
      <c r="T137" s="97"/>
      <c r="U137" s="98"/>
      <c r="V137" s="100"/>
      <c r="W137" s="98"/>
      <c r="X137" s="96"/>
      <c r="Y137" s="98"/>
      <c r="Z137" s="96"/>
      <c r="AA137" s="97"/>
      <c r="AB137" s="96"/>
      <c r="AC137" s="98"/>
      <c r="AD137" s="98"/>
      <c r="AE137" s="98"/>
    </row>
    <row r="138" spans="2:31" x14ac:dyDescent="0.3">
      <c r="B138" s="96"/>
      <c r="C138" s="96"/>
      <c r="D138" s="96"/>
      <c r="E138" s="97"/>
      <c r="F138" s="96"/>
      <c r="G138" s="98"/>
      <c r="H138" s="96"/>
      <c r="I138" s="98"/>
      <c r="J138" s="97"/>
      <c r="K138" s="98"/>
      <c r="L138" s="100"/>
      <c r="M138" s="98"/>
      <c r="N138" s="96"/>
      <c r="O138" s="97"/>
      <c r="P138" s="70"/>
      <c r="Q138" s="97"/>
      <c r="R138" s="97"/>
      <c r="S138" s="98"/>
      <c r="T138" s="97"/>
      <c r="U138" s="98"/>
      <c r="V138" s="100"/>
      <c r="W138" s="98"/>
      <c r="X138" s="96"/>
      <c r="Y138" s="98"/>
      <c r="Z138" s="96"/>
      <c r="AA138" s="97"/>
      <c r="AB138" s="96"/>
      <c r="AC138" s="98"/>
      <c r="AD138" s="98"/>
      <c r="AE138" s="98"/>
    </row>
    <row r="139" spans="2:31" x14ac:dyDescent="0.3">
      <c r="B139" s="96"/>
      <c r="C139" s="96"/>
      <c r="D139" s="96"/>
      <c r="E139" s="97"/>
      <c r="F139" s="96"/>
      <c r="G139" s="98"/>
      <c r="H139" s="96"/>
      <c r="I139" s="98"/>
      <c r="J139" s="97"/>
      <c r="K139" s="98"/>
      <c r="L139" s="100"/>
      <c r="M139" s="98"/>
      <c r="N139" s="96"/>
      <c r="O139" s="97"/>
      <c r="P139" s="70"/>
      <c r="Q139" s="97"/>
      <c r="R139" s="97"/>
      <c r="S139" s="98"/>
      <c r="T139" s="97"/>
      <c r="U139" s="98"/>
      <c r="V139" s="100"/>
      <c r="W139" s="98"/>
      <c r="X139" s="96"/>
      <c r="Y139" s="98"/>
      <c r="Z139" s="96"/>
      <c r="AA139" s="97"/>
      <c r="AB139" s="96"/>
      <c r="AC139" s="98"/>
      <c r="AD139" s="98"/>
      <c r="AE139" s="98"/>
    </row>
    <row r="140" spans="2:31" x14ac:dyDescent="0.3">
      <c r="B140" s="96"/>
      <c r="C140" s="96"/>
      <c r="D140" s="96"/>
      <c r="E140" s="97"/>
      <c r="F140" s="96"/>
      <c r="G140" s="98"/>
      <c r="H140" s="96"/>
      <c r="I140" s="98"/>
      <c r="J140" s="97"/>
      <c r="K140" s="98"/>
      <c r="L140" s="100"/>
      <c r="M140" s="98"/>
      <c r="N140" s="96"/>
      <c r="O140" s="97"/>
      <c r="P140" s="70"/>
      <c r="Q140" s="97"/>
      <c r="R140" s="97"/>
      <c r="S140" s="98"/>
      <c r="T140" s="97"/>
      <c r="U140" s="98"/>
      <c r="V140" s="100"/>
      <c r="W140" s="98"/>
      <c r="X140" s="96"/>
      <c r="Y140" s="98"/>
      <c r="Z140" s="96"/>
      <c r="AA140" s="97"/>
      <c r="AB140" s="96"/>
      <c r="AC140" s="98"/>
      <c r="AD140" s="98"/>
      <c r="AE140" s="98"/>
    </row>
    <row r="141" spans="2:31" x14ac:dyDescent="0.3">
      <c r="B141" s="96"/>
      <c r="C141" s="96"/>
      <c r="D141" s="96"/>
      <c r="E141" s="97"/>
      <c r="F141" s="96"/>
      <c r="G141" s="98"/>
      <c r="H141" s="96"/>
      <c r="I141" s="98"/>
      <c r="J141" s="97"/>
      <c r="K141" s="98"/>
      <c r="L141" s="100"/>
      <c r="M141" s="98"/>
      <c r="N141" s="96"/>
      <c r="O141" s="97"/>
      <c r="P141" s="70"/>
      <c r="Q141" s="97"/>
      <c r="R141" s="97"/>
      <c r="S141" s="98"/>
      <c r="T141" s="97"/>
      <c r="U141" s="98"/>
      <c r="V141" s="100"/>
      <c r="W141" s="98"/>
      <c r="X141" s="96"/>
      <c r="Y141" s="98"/>
      <c r="Z141" s="96"/>
      <c r="AA141" s="97"/>
      <c r="AB141" s="96"/>
      <c r="AC141" s="98"/>
      <c r="AD141" s="98"/>
      <c r="AE141" s="98"/>
    </row>
    <row r="142" spans="2:31" x14ac:dyDescent="0.3">
      <c r="B142" s="96"/>
      <c r="C142" s="96"/>
      <c r="D142" s="96"/>
      <c r="E142" s="97"/>
      <c r="F142" s="96"/>
      <c r="G142" s="98"/>
      <c r="H142" s="96"/>
      <c r="I142" s="98"/>
      <c r="J142" s="97"/>
      <c r="K142" s="98"/>
      <c r="L142" s="100"/>
      <c r="M142" s="98"/>
      <c r="N142" s="96"/>
      <c r="O142" s="97"/>
      <c r="P142" s="70"/>
      <c r="Q142" s="97"/>
      <c r="R142" s="97"/>
      <c r="S142" s="98"/>
      <c r="T142" s="97"/>
      <c r="U142" s="98"/>
      <c r="V142" s="100"/>
      <c r="W142" s="98"/>
      <c r="X142" s="96"/>
      <c r="Y142" s="98"/>
      <c r="Z142" s="96"/>
      <c r="AA142" s="97"/>
      <c r="AB142" s="96"/>
      <c r="AC142" s="98"/>
      <c r="AD142" s="98"/>
      <c r="AE142" s="98"/>
    </row>
    <row r="143" spans="2:31" x14ac:dyDescent="0.3">
      <c r="B143" s="96"/>
      <c r="C143" s="96"/>
      <c r="D143" s="96"/>
      <c r="E143" s="97"/>
      <c r="F143" s="96"/>
      <c r="G143" s="98"/>
      <c r="H143" s="96"/>
      <c r="I143" s="98"/>
      <c r="J143" s="97"/>
      <c r="K143" s="98"/>
      <c r="L143" s="100"/>
      <c r="M143" s="98"/>
      <c r="N143" s="96"/>
      <c r="O143" s="97"/>
      <c r="P143" s="70"/>
      <c r="Q143" s="97"/>
      <c r="R143" s="97"/>
      <c r="S143" s="98"/>
      <c r="T143" s="97"/>
      <c r="U143" s="98"/>
      <c r="V143" s="100"/>
      <c r="W143" s="98"/>
      <c r="X143" s="96"/>
      <c r="Y143" s="98"/>
      <c r="Z143" s="96"/>
      <c r="AA143" s="97"/>
      <c r="AB143" s="96"/>
      <c r="AC143" s="98"/>
      <c r="AD143" s="98"/>
      <c r="AE143" s="98"/>
    </row>
    <row r="144" spans="2:31" x14ac:dyDescent="0.3">
      <c r="B144" s="96"/>
      <c r="C144" s="96"/>
      <c r="D144" s="96"/>
      <c r="E144" s="97"/>
      <c r="F144" s="96"/>
      <c r="G144" s="98"/>
      <c r="H144" s="96"/>
      <c r="I144" s="98"/>
      <c r="J144" s="97"/>
      <c r="K144" s="98"/>
      <c r="L144" s="100"/>
      <c r="M144" s="98"/>
      <c r="N144" s="96"/>
      <c r="O144" s="97"/>
      <c r="P144" s="70"/>
      <c r="Q144" s="97"/>
      <c r="R144" s="97"/>
      <c r="S144" s="98"/>
      <c r="T144" s="97"/>
      <c r="U144" s="98"/>
      <c r="V144" s="100"/>
      <c r="W144" s="98"/>
      <c r="X144" s="96"/>
      <c r="Y144" s="98"/>
      <c r="Z144" s="96"/>
      <c r="AA144" s="97"/>
      <c r="AB144" s="96"/>
      <c r="AC144" s="98"/>
      <c r="AD144" s="98"/>
      <c r="AE144" s="98"/>
    </row>
    <row r="145" spans="2:31" x14ac:dyDescent="0.3">
      <c r="B145" s="96"/>
      <c r="C145" s="96"/>
      <c r="D145" s="96"/>
      <c r="E145" s="97"/>
      <c r="F145" s="96"/>
      <c r="G145" s="98"/>
      <c r="H145" s="96"/>
      <c r="I145" s="98"/>
      <c r="J145" s="97"/>
      <c r="K145" s="98"/>
      <c r="L145" s="100"/>
      <c r="M145" s="98"/>
      <c r="N145" s="96"/>
      <c r="O145" s="97"/>
      <c r="P145" s="70"/>
      <c r="Q145" s="97"/>
      <c r="R145" s="97"/>
      <c r="S145" s="98"/>
      <c r="T145" s="97"/>
      <c r="U145" s="98"/>
      <c r="V145" s="100"/>
      <c r="W145" s="98"/>
      <c r="X145" s="96"/>
      <c r="Y145" s="98"/>
      <c r="Z145" s="96"/>
      <c r="AA145" s="97"/>
      <c r="AB145" s="96"/>
      <c r="AC145" s="98"/>
      <c r="AD145" s="98"/>
      <c r="AE145" s="98"/>
    </row>
    <row r="146" spans="2:31" x14ac:dyDescent="0.3">
      <c r="B146" s="96"/>
      <c r="C146" s="96"/>
      <c r="D146" s="96"/>
      <c r="E146" s="97"/>
      <c r="F146" s="96"/>
      <c r="G146" s="98"/>
      <c r="H146" s="96"/>
      <c r="I146" s="98"/>
      <c r="J146" s="97"/>
      <c r="K146" s="98"/>
      <c r="L146" s="100"/>
      <c r="M146" s="98"/>
      <c r="N146" s="96"/>
      <c r="O146" s="97"/>
      <c r="P146" s="70"/>
      <c r="Q146" s="97"/>
      <c r="R146" s="97"/>
      <c r="S146" s="98"/>
      <c r="T146" s="97"/>
      <c r="U146" s="98"/>
      <c r="V146" s="100"/>
      <c r="W146" s="98"/>
      <c r="X146" s="96"/>
      <c r="Y146" s="98"/>
      <c r="Z146" s="96"/>
      <c r="AA146" s="97"/>
      <c r="AB146" s="96"/>
      <c r="AC146" s="98"/>
      <c r="AD146" s="98"/>
      <c r="AE146" s="98"/>
    </row>
    <row r="147" spans="2:31" x14ac:dyDescent="0.3">
      <c r="B147" s="96"/>
      <c r="C147" s="96"/>
      <c r="D147" s="96"/>
      <c r="E147" s="97"/>
      <c r="F147" s="96"/>
      <c r="G147" s="98"/>
      <c r="H147" s="96"/>
      <c r="I147" s="98"/>
      <c r="J147" s="97"/>
      <c r="K147" s="98"/>
      <c r="L147" s="100"/>
      <c r="M147" s="98"/>
      <c r="N147" s="96"/>
      <c r="O147" s="97"/>
      <c r="P147" s="70"/>
      <c r="Q147" s="97"/>
      <c r="R147" s="97"/>
      <c r="S147" s="98"/>
      <c r="T147" s="97"/>
      <c r="U147" s="98"/>
      <c r="V147" s="100"/>
      <c r="W147" s="98"/>
      <c r="X147" s="96"/>
      <c r="Y147" s="98"/>
      <c r="Z147" s="96"/>
      <c r="AA147" s="97"/>
      <c r="AB147" s="96"/>
      <c r="AC147" s="98"/>
      <c r="AD147" s="98"/>
      <c r="AE147" s="98"/>
    </row>
    <row r="148" spans="2:31" x14ac:dyDescent="0.3">
      <c r="B148" s="96"/>
      <c r="C148" s="96"/>
      <c r="D148" s="96"/>
      <c r="E148" s="97"/>
      <c r="F148" s="96"/>
      <c r="G148" s="98"/>
      <c r="H148" s="96"/>
      <c r="I148" s="98"/>
      <c r="J148" s="97"/>
      <c r="K148" s="98"/>
      <c r="L148" s="100"/>
      <c r="M148" s="98"/>
      <c r="N148" s="96"/>
      <c r="O148" s="97"/>
      <c r="P148" s="70"/>
      <c r="Q148" s="97"/>
      <c r="R148" s="97"/>
      <c r="S148" s="98"/>
      <c r="T148" s="97"/>
      <c r="U148" s="98"/>
      <c r="V148" s="100"/>
      <c r="W148" s="98"/>
      <c r="X148" s="96"/>
      <c r="Y148" s="98"/>
      <c r="Z148" s="96"/>
      <c r="AA148" s="97"/>
      <c r="AB148" s="96"/>
      <c r="AC148" s="98"/>
      <c r="AD148" s="98"/>
      <c r="AE148" s="98"/>
    </row>
    <row r="149" spans="2:31" x14ac:dyDescent="0.3">
      <c r="B149" s="96"/>
      <c r="C149" s="96"/>
      <c r="D149" s="96"/>
      <c r="E149" s="97"/>
      <c r="F149" s="96"/>
      <c r="G149" s="98"/>
      <c r="H149" s="96"/>
      <c r="I149" s="98"/>
      <c r="J149" s="97"/>
      <c r="K149" s="98"/>
      <c r="L149" s="100"/>
      <c r="M149" s="98"/>
      <c r="N149" s="96"/>
      <c r="O149" s="97"/>
      <c r="P149" s="70"/>
      <c r="Q149" s="97"/>
      <c r="R149" s="97"/>
      <c r="S149" s="98"/>
      <c r="T149" s="97"/>
      <c r="U149" s="98"/>
      <c r="V149" s="100"/>
      <c r="W149" s="98"/>
      <c r="X149" s="96"/>
      <c r="Y149" s="98"/>
      <c r="Z149" s="96"/>
      <c r="AA149" s="97"/>
      <c r="AB149" s="96"/>
      <c r="AC149" s="98"/>
      <c r="AD149" s="98"/>
      <c r="AE149" s="98"/>
    </row>
    <row r="150" spans="2:31" x14ac:dyDescent="0.3">
      <c r="B150" s="96"/>
      <c r="C150" s="96"/>
      <c r="D150" s="96"/>
      <c r="E150" s="97"/>
      <c r="F150" s="96"/>
      <c r="G150" s="98"/>
      <c r="H150" s="96"/>
      <c r="I150" s="98"/>
      <c r="J150" s="97"/>
      <c r="K150" s="98"/>
      <c r="L150" s="100"/>
      <c r="M150" s="98"/>
      <c r="N150" s="96"/>
      <c r="O150" s="97"/>
      <c r="P150" s="70"/>
      <c r="Q150" s="97"/>
      <c r="R150" s="97"/>
      <c r="S150" s="98"/>
      <c r="T150" s="97"/>
      <c r="U150" s="98"/>
      <c r="V150" s="100"/>
      <c r="W150" s="98"/>
      <c r="X150" s="96"/>
      <c r="Y150" s="98"/>
      <c r="Z150" s="96"/>
      <c r="AA150" s="97"/>
      <c r="AB150" s="96"/>
      <c r="AC150" s="98"/>
      <c r="AD150" s="98"/>
      <c r="AE150" s="98"/>
    </row>
    <row r="151" spans="2:31" x14ac:dyDescent="0.3">
      <c r="B151" s="96"/>
      <c r="C151" s="96"/>
      <c r="D151" s="96"/>
      <c r="E151" s="97"/>
      <c r="F151" s="96"/>
      <c r="G151" s="98"/>
      <c r="H151" s="96"/>
      <c r="I151" s="98"/>
      <c r="J151" s="97"/>
      <c r="K151" s="98"/>
      <c r="L151" s="100"/>
      <c r="M151" s="98"/>
      <c r="N151" s="96"/>
      <c r="O151" s="97"/>
      <c r="P151" s="70"/>
      <c r="Q151" s="97"/>
      <c r="R151" s="97"/>
      <c r="S151" s="98"/>
      <c r="T151" s="97"/>
      <c r="U151" s="98"/>
      <c r="V151" s="100"/>
      <c r="W151" s="98"/>
      <c r="X151" s="96"/>
      <c r="Y151" s="98"/>
      <c r="Z151" s="96"/>
      <c r="AA151" s="97"/>
      <c r="AB151" s="96"/>
      <c r="AC151" s="98"/>
      <c r="AD151" s="98"/>
      <c r="AE151" s="98"/>
    </row>
    <row r="152" spans="2:31" x14ac:dyDescent="0.3">
      <c r="B152" s="96"/>
      <c r="C152" s="96"/>
      <c r="D152" s="96"/>
      <c r="E152" s="97"/>
      <c r="F152" s="96"/>
      <c r="G152" s="98"/>
      <c r="H152" s="96"/>
      <c r="I152" s="98"/>
      <c r="J152" s="97"/>
      <c r="K152" s="98"/>
      <c r="L152" s="100"/>
      <c r="M152" s="98"/>
      <c r="N152" s="96"/>
      <c r="O152" s="97"/>
      <c r="P152" s="70"/>
      <c r="Q152" s="97"/>
      <c r="R152" s="97"/>
      <c r="S152" s="98"/>
      <c r="T152" s="97"/>
      <c r="U152" s="98"/>
      <c r="V152" s="100"/>
      <c r="W152" s="98"/>
      <c r="X152" s="96"/>
      <c r="Y152" s="98"/>
      <c r="Z152" s="96"/>
      <c r="AA152" s="97"/>
      <c r="AB152" s="96"/>
      <c r="AC152" s="98"/>
      <c r="AD152" s="98"/>
      <c r="AE152" s="98"/>
    </row>
    <row r="153" spans="2:31" x14ac:dyDescent="0.3">
      <c r="B153" s="96"/>
      <c r="C153" s="96"/>
      <c r="D153" s="96"/>
      <c r="E153" s="97"/>
      <c r="F153" s="96"/>
      <c r="G153" s="98"/>
      <c r="H153" s="96"/>
      <c r="I153" s="98"/>
      <c r="J153" s="97"/>
      <c r="K153" s="98"/>
      <c r="L153" s="100"/>
      <c r="M153" s="98"/>
      <c r="N153" s="96"/>
      <c r="O153" s="97"/>
      <c r="P153" s="70"/>
      <c r="Q153" s="97"/>
      <c r="R153" s="97"/>
      <c r="S153" s="98"/>
      <c r="T153" s="97"/>
      <c r="U153" s="98"/>
      <c r="V153" s="100"/>
      <c r="W153" s="98"/>
      <c r="X153" s="96"/>
      <c r="Y153" s="98"/>
      <c r="Z153" s="96"/>
      <c r="AA153" s="97"/>
      <c r="AB153" s="96"/>
      <c r="AC153" s="98"/>
      <c r="AD153" s="98"/>
      <c r="AE153" s="98"/>
    </row>
    <row r="154" spans="2:31" x14ac:dyDescent="0.3">
      <c r="B154" s="96"/>
      <c r="C154" s="96"/>
      <c r="D154" s="96"/>
      <c r="E154" s="97"/>
      <c r="F154" s="96"/>
      <c r="G154" s="98"/>
      <c r="H154" s="96"/>
      <c r="I154" s="98"/>
      <c r="J154" s="97"/>
      <c r="K154" s="98"/>
      <c r="L154" s="100"/>
      <c r="M154" s="98"/>
      <c r="N154" s="96"/>
      <c r="O154" s="97"/>
      <c r="P154" s="70"/>
      <c r="Q154" s="97"/>
      <c r="R154" s="97"/>
      <c r="S154" s="98"/>
      <c r="T154" s="97"/>
      <c r="U154" s="98"/>
      <c r="V154" s="100"/>
      <c r="W154" s="98"/>
      <c r="X154" s="96"/>
      <c r="Y154" s="98"/>
      <c r="Z154" s="96"/>
      <c r="AA154" s="97"/>
      <c r="AB154" s="96"/>
      <c r="AC154" s="98"/>
      <c r="AD154" s="98"/>
      <c r="AE154" s="98"/>
    </row>
    <row r="155" spans="2:31" x14ac:dyDescent="0.3">
      <c r="B155" s="96"/>
      <c r="C155" s="96"/>
      <c r="D155" s="96"/>
      <c r="E155" s="97"/>
      <c r="F155" s="96"/>
      <c r="G155" s="98"/>
      <c r="H155" s="96"/>
      <c r="I155" s="98"/>
      <c r="J155" s="97"/>
      <c r="K155" s="98"/>
      <c r="L155" s="100"/>
      <c r="M155" s="98"/>
      <c r="N155" s="96"/>
      <c r="O155" s="97"/>
      <c r="P155" s="70"/>
      <c r="Q155" s="97"/>
      <c r="R155" s="97"/>
      <c r="S155" s="98"/>
      <c r="T155" s="97"/>
      <c r="U155" s="98"/>
      <c r="V155" s="100"/>
      <c r="W155" s="98"/>
      <c r="X155" s="96"/>
      <c r="Y155" s="98"/>
      <c r="Z155" s="96"/>
      <c r="AA155" s="97"/>
      <c r="AB155" s="96"/>
      <c r="AC155" s="98"/>
      <c r="AD155" s="98"/>
      <c r="AE155" s="98"/>
    </row>
    <row r="156" spans="2:31" x14ac:dyDescent="0.3">
      <c r="B156" s="96"/>
      <c r="C156" s="96"/>
      <c r="D156" s="96"/>
      <c r="E156" s="97"/>
      <c r="F156" s="96"/>
      <c r="G156" s="98"/>
      <c r="H156" s="96"/>
      <c r="I156" s="98"/>
      <c r="J156" s="97"/>
      <c r="K156" s="98"/>
      <c r="L156" s="100"/>
      <c r="M156" s="98"/>
      <c r="N156" s="96"/>
      <c r="O156" s="97"/>
      <c r="P156" s="70"/>
      <c r="Q156" s="97"/>
      <c r="R156" s="97"/>
      <c r="S156" s="98"/>
      <c r="T156" s="97"/>
      <c r="U156" s="98"/>
      <c r="V156" s="100"/>
      <c r="W156" s="98"/>
      <c r="X156" s="96"/>
      <c r="Y156" s="98"/>
      <c r="Z156" s="96"/>
      <c r="AA156" s="97"/>
      <c r="AB156" s="96"/>
      <c r="AC156" s="98"/>
      <c r="AD156" s="98"/>
      <c r="AE156" s="98"/>
    </row>
    <row r="157" spans="2:31" x14ac:dyDescent="0.3">
      <c r="B157" s="96"/>
      <c r="C157" s="96"/>
      <c r="D157" s="96"/>
      <c r="E157" s="97"/>
      <c r="F157" s="96"/>
      <c r="G157" s="98"/>
      <c r="H157" s="96"/>
      <c r="I157" s="98"/>
      <c r="J157" s="97"/>
      <c r="K157" s="98"/>
      <c r="L157" s="100"/>
      <c r="M157" s="98"/>
      <c r="N157" s="96"/>
      <c r="O157" s="97"/>
      <c r="P157" s="70"/>
      <c r="Q157" s="97"/>
      <c r="R157" s="97"/>
      <c r="S157" s="98"/>
      <c r="T157" s="97"/>
      <c r="U157" s="98"/>
      <c r="V157" s="100"/>
      <c r="W157" s="98"/>
      <c r="X157" s="96"/>
      <c r="Y157" s="98"/>
      <c r="Z157" s="96"/>
      <c r="AA157" s="97"/>
      <c r="AB157" s="96"/>
      <c r="AC157" s="98"/>
      <c r="AD157" s="98"/>
      <c r="AE157" s="98"/>
    </row>
    <row r="158" spans="2:31" x14ac:dyDescent="0.3">
      <c r="B158" s="96"/>
      <c r="C158" s="96"/>
      <c r="D158" s="96"/>
      <c r="E158" s="97"/>
      <c r="F158" s="96"/>
      <c r="G158" s="98"/>
      <c r="H158" s="96"/>
      <c r="I158" s="98"/>
      <c r="J158" s="97"/>
      <c r="K158" s="98"/>
      <c r="L158" s="100"/>
      <c r="M158" s="98"/>
      <c r="N158" s="96"/>
      <c r="O158" s="97"/>
      <c r="P158" s="70"/>
      <c r="Q158" s="97"/>
      <c r="R158" s="97"/>
      <c r="S158" s="98"/>
      <c r="T158" s="97"/>
      <c r="U158" s="98"/>
      <c r="V158" s="100"/>
      <c r="W158" s="98"/>
      <c r="X158" s="96"/>
      <c r="Y158" s="98"/>
      <c r="Z158" s="96"/>
      <c r="AA158" s="97"/>
      <c r="AB158" s="96"/>
      <c r="AC158" s="98"/>
      <c r="AD158" s="98"/>
      <c r="AE158" s="98"/>
    </row>
    <row r="159" spans="2:31" x14ac:dyDescent="0.3">
      <c r="B159" s="96"/>
      <c r="C159" s="96"/>
      <c r="D159" s="96"/>
      <c r="E159" s="97"/>
      <c r="F159" s="96"/>
      <c r="G159" s="98"/>
      <c r="H159" s="96"/>
      <c r="I159" s="98"/>
      <c r="J159" s="97"/>
      <c r="K159" s="98"/>
      <c r="L159" s="100"/>
      <c r="M159" s="98"/>
      <c r="N159" s="96"/>
      <c r="O159" s="97"/>
      <c r="P159" s="70"/>
      <c r="Q159" s="97"/>
      <c r="R159" s="97"/>
      <c r="S159" s="98"/>
      <c r="T159" s="97"/>
      <c r="U159" s="98"/>
      <c r="V159" s="100"/>
      <c r="W159" s="98"/>
      <c r="X159" s="96"/>
      <c r="Y159" s="98"/>
      <c r="Z159" s="96"/>
      <c r="AA159" s="97"/>
      <c r="AB159" s="96"/>
      <c r="AC159" s="98"/>
      <c r="AD159" s="98"/>
      <c r="AE159" s="98"/>
    </row>
    <row r="160" spans="2:31" x14ac:dyDescent="0.3">
      <c r="B160" s="96"/>
      <c r="C160" s="96"/>
      <c r="D160" s="96"/>
      <c r="E160" s="97"/>
      <c r="F160" s="96"/>
      <c r="G160" s="98"/>
      <c r="H160" s="96"/>
      <c r="I160" s="98"/>
      <c r="J160" s="97"/>
      <c r="K160" s="98"/>
      <c r="L160" s="100"/>
      <c r="M160" s="98"/>
      <c r="N160" s="96"/>
      <c r="O160" s="97"/>
      <c r="P160" s="70"/>
      <c r="Q160" s="97"/>
      <c r="R160" s="97"/>
      <c r="S160" s="98"/>
      <c r="T160" s="97"/>
      <c r="U160" s="98"/>
      <c r="V160" s="100"/>
      <c r="W160" s="98"/>
      <c r="X160" s="96"/>
      <c r="Y160" s="98"/>
      <c r="Z160" s="96"/>
      <c r="AA160" s="97"/>
      <c r="AB160" s="96"/>
      <c r="AC160" s="98"/>
      <c r="AD160" s="98"/>
      <c r="AE160" s="98"/>
    </row>
    <row r="161" spans="2:31" x14ac:dyDescent="0.3">
      <c r="B161" s="96"/>
      <c r="C161" s="96"/>
      <c r="D161" s="96"/>
      <c r="E161" s="97"/>
      <c r="F161" s="96"/>
      <c r="G161" s="98"/>
      <c r="H161" s="96"/>
      <c r="I161" s="98"/>
      <c r="J161" s="97"/>
      <c r="K161" s="98"/>
      <c r="L161" s="100"/>
      <c r="M161" s="98"/>
      <c r="N161" s="96"/>
      <c r="O161" s="97"/>
      <c r="P161" s="70"/>
      <c r="Q161" s="97"/>
      <c r="R161" s="97"/>
      <c r="S161" s="98"/>
      <c r="T161" s="97"/>
      <c r="U161" s="98"/>
      <c r="V161" s="100"/>
      <c r="W161" s="98"/>
      <c r="X161" s="96"/>
      <c r="Y161" s="98"/>
      <c r="Z161" s="96"/>
      <c r="AA161" s="97"/>
      <c r="AB161" s="96"/>
      <c r="AC161" s="98"/>
      <c r="AD161" s="98"/>
      <c r="AE161" s="98"/>
    </row>
    <row r="162" spans="2:31" x14ac:dyDescent="0.3">
      <c r="B162" s="96"/>
      <c r="C162" s="96"/>
      <c r="D162" s="96"/>
      <c r="E162" s="97"/>
      <c r="F162" s="96"/>
      <c r="G162" s="98"/>
      <c r="H162" s="96"/>
      <c r="I162" s="98"/>
      <c r="J162" s="97"/>
      <c r="K162" s="98"/>
      <c r="L162" s="100"/>
      <c r="M162" s="98"/>
      <c r="N162" s="96"/>
      <c r="O162" s="97"/>
      <c r="P162" s="70"/>
      <c r="Q162" s="97"/>
      <c r="R162" s="97"/>
      <c r="S162" s="98"/>
      <c r="T162" s="97"/>
      <c r="U162" s="98"/>
      <c r="V162" s="100"/>
      <c r="W162" s="98"/>
      <c r="X162" s="96"/>
      <c r="Y162" s="98"/>
      <c r="Z162" s="96"/>
      <c r="AA162" s="97"/>
      <c r="AB162" s="96"/>
      <c r="AC162" s="98"/>
      <c r="AD162" s="98"/>
      <c r="AE162" s="98"/>
    </row>
    <row r="163" spans="2:31" x14ac:dyDescent="0.3">
      <c r="B163" s="96"/>
      <c r="C163" s="96"/>
      <c r="D163" s="96"/>
      <c r="E163" s="97"/>
      <c r="F163" s="96"/>
      <c r="G163" s="98"/>
      <c r="H163" s="96"/>
      <c r="I163" s="98"/>
      <c r="J163" s="97"/>
      <c r="K163" s="98"/>
      <c r="L163" s="100"/>
      <c r="M163" s="98"/>
      <c r="N163" s="96"/>
      <c r="O163" s="97"/>
      <c r="P163" s="70"/>
      <c r="Q163" s="97"/>
      <c r="R163" s="97"/>
      <c r="S163" s="98"/>
      <c r="T163" s="97"/>
      <c r="U163" s="98"/>
      <c r="V163" s="100"/>
      <c r="W163" s="98"/>
      <c r="X163" s="96"/>
      <c r="Y163" s="98"/>
      <c r="Z163" s="96"/>
      <c r="AA163" s="97"/>
      <c r="AB163" s="96"/>
      <c r="AC163" s="98"/>
      <c r="AD163" s="98"/>
      <c r="AE163" s="98"/>
    </row>
    <row r="164" spans="2:31" x14ac:dyDescent="0.3">
      <c r="B164" s="96"/>
      <c r="C164" s="96"/>
      <c r="D164" s="96"/>
      <c r="E164" s="97"/>
      <c r="F164" s="96"/>
      <c r="G164" s="98"/>
      <c r="H164" s="96"/>
      <c r="I164" s="98"/>
      <c r="J164" s="97"/>
      <c r="K164" s="98"/>
      <c r="L164" s="100"/>
      <c r="M164" s="98"/>
      <c r="N164" s="96"/>
      <c r="O164" s="97"/>
      <c r="P164" s="70"/>
      <c r="Q164" s="97"/>
      <c r="R164" s="97"/>
      <c r="S164" s="98"/>
      <c r="T164" s="97"/>
      <c r="U164" s="98"/>
      <c r="V164" s="100"/>
      <c r="W164" s="98"/>
      <c r="X164" s="96"/>
      <c r="Y164" s="98"/>
      <c r="Z164" s="96"/>
      <c r="AA164" s="97"/>
      <c r="AB164" s="96"/>
      <c r="AC164" s="98"/>
      <c r="AD164" s="98"/>
      <c r="AE164" s="98"/>
    </row>
    <row r="165" spans="2:31" x14ac:dyDescent="0.3">
      <c r="B165" s="96"/>
      <c r="C165" s="96"/>
      <c r="D165" s="96"/>
      <c r="E165" s="97"/>
      <c r="F165" s="96"/>
      <c r="G165" s="98"/>
      <c r="H165" s="96"/>
      <c r="I165" s="98"/>
      <c r="J165" s="97"/>
      <c r="K165" s="98"/>
      <c r="L165" s="100"/>
      <c r="M165" s="98"/>
      <c r="N165" s="96"/>
      <c r="O165" s="97"/>
      <c r="P165" s="70"/>
      <c r="Q165" s="97"/>
      <c r="R165" s="97"/>
      <c r="S165" s="98"/>
      <c r="T165" s="97"/>
      <c r="U165" s="98"/>
      <c r="V165" s="100"/>
      <c r="W165" s="98"/>
      <c r="X165" s="96"/>
      <c r="Y165" s="98"/>
      <c r="Z165" s="96"/>
      <c r="AA165" s="97"/>
      <c r="AB165" s="96"/>
      <c r="AC165" s="98"/>
      <c r="AD165" s="98"/>
      <c r="AE165" s="98"/>
    </row>
    <row r="166" spans="2:31" x14ac:dyDescent="0.3">
      <c r="B166" s="96"/>
      <c r="C166" s="96"/>
      <c r="D166" s="96"/>
      <c r="E166" s="97"/>
      <c r="F166" s="96"/>
      <c r="G166" s="98"/>
      <c r="H166" s="96"/>
      <c r="I166" s="98"/>
      <c r="J166" s="97"/>
      <c r="K166" s="98"/>
      <c r="L166" s="100"/>
      <c r="M166" s="98"/>
      <c r="N166" s="96"/>
      <c r="O166" s="97"/>
      <c r="P166" s="70"/>
      <c r="Q166" s="97"/>
      <c r="R166" s="97"/>
      <c r="S166" s="98"/>
      <c r="T166" s="97"/>
      <c r="U166" s="98"/>
      <c r="V166" s="100"/>
      <c r="W166" s="98"/>
      <c r="X166" s="96"/>
      <c r="Y166" s="98"/>
      <c r="Z166" s="96"/>
      <c r="AA166" s="97"/>
      <c r="AB166" s="96"/>
      <c r="AC166" s="98"/>
      <c r="AD166" s="98"/>
      <c r="AE166" s="98"/>
    </row>
    <row r="167" spans="2:31" x14ac:dyDescent="0.3">
      <c r="B167" s="96"/>
      <c r="C167" s="96"/>
      <c r="D167" s="96"/>
      <c r="E167" s="97"/>
      <c r="F167" s="96"/>
      <c r="G167" s="98"/>
      <c r="H167" s="96"/>
      <c r="I167" s="98"/>
      <c r="J167" s="97"/>
      <c r="K167" s="98"/>
      <c r="L167" s="100"/>
      <c r="M167" s="98"/>
      <c r="N167" s="96"/>
      <c r="O167" s="97"/>
      <c r="P167" s="70"/>
      <c r="Q167" s="97"/>
      <c r="R167" s="97"/>
      <c r="S167" s="98"/>
      <c r="T167" s="97"/>
      <c r="U167" s="98"/>
      <c r="V167" s="100"/>
      <c r="W167" s="98"/>
      <c r="X167" s="96"/>
      <c r="Y167" s="98"/>
      <c r="Z167" s="96"/>
      <c r="AA167" s="97"/>
      <c r="AB167" s="96"/>
      <c r="AC167" s="98"/>
      <c r="AD167" s="98"/>
      <c r="AE167" s="98"/>
    </row>
    <row r="168" spans="2:31" x14ac:dyDescent="0.3">
      <c r="B168" s="96"/>
      <c r="C168" s="96"/>
      <c r="D168" s="96"/>
      <c r="E168" s="97"/>
      <c r="F168" s="96"/>
      <c r="G168" s="98"/>
      <c r="H168" s="96"/>
      <c r="I168" s="98"/>
      <c r="J168" s="97"/>
      <c r="K168" s="98"/>
      <c r="L168" s="100"/>
      <c r="M168" s="98"/>
      <c r="N168" s="96"/>
      <c r="O168" s="97"/>
      <c r="P168" s="70"/>
      <c r="Q168" s="97"/>
      <c r="R168" s="97"/>
      <c r="S168" s="98"/>
      <c r="T168" s="97"/>
      <c r="U168" s="98"/>
      <c r="V168" s="100"/>
      <c r="W168" s="98"/>
      <c r="X168" s="96"/>
      <c r="Y168" s="98"/>
      <c r="Z168" s="96"/>
      <c r="AA168" s="97"/>
      <c r="AB168" s="96"/>
      <c r="AC168" s="98"/>
      <c r="AD168" s="98"/>
      <c r="AE168" s="98"/>
    </row>
    <row r="169" spans="2:31" x14ac:dyDescent="0.3">
      <c r="B169" s="96"/>
      <c r="C169" s="96"/>
      <c r="D169" s="96"/>
      <c r="E169" s="97"/>
      <c r="F169" s="96"/>
      <c r="G169" s="98"/>
      <c r="H169" s="96"/>
      <c r="I169" s="98"/>
      <c r="J169" s="97"/>
      <c r="K169" s="98"/>
      <c r="L169" s="100"/>
      <c r="M169" s="98"/>
      <c r="N169" s="96"/>
      <c r="O169" s="97"/>
      <c r="P169" s="70"/>
      <c r="Q169" s="97"/>
      <c r="R169" s="97"/>
      <c r="S169" s="98"/>
      <c r="T169" s="97"/>
      <c r="U169" s="98"/>
      <c r="V169" s="100"/>
      <c r="W169" s="98"/>
      <c r="X169" s="96"/>
      <c r="Y169" s="98"/>
      <c r="Z169" s="96"/>
      <c r="AA169" s="97"/>
      <c r="AB169" s="96"/>
      <c r="AC169" s="98"/>
      <c r="AD169" s="98"/>
      <c r="AE169" s="98"/>
    </row>
    <row r="170" spans="2:31" x14ac:dyDescent="0.3">
      <c r="B170" s="96"/>
      <c r="C170" s="96"/>
      <c r="D170" s="96"/>
      <c r="E170" s="97"/>
      <c r="F170" s="96"/>
      <c r="G170" s="98"/>
      <c r="H170" s="96"/>
      <c r="I170" s="98"/>
      <c r="J170" s="97"/>
      <c r="K170" s="98"/>
      <c r="L170" s="100"/>
      <c r="M170" s="98"/>
      <c r="N170" s="96"/>
      <c r="O170" s="97"/>
      <c r="P170" s="70"/>
      <c r="Q170" s="97"/>
      <c r="R170" s="97"/>
      <c r="S170" s="98"/>
      <c r="T170" s="97"/>
      <c r="U170" s="98"/>
      <c r="V170" s="100"/>
      <c r="W170" s="98"/>
      <c r="X170" s="96"/>
      <c r="Y170" s="98"/>
      <c r="Z170" s="96"/>
      <c r="AA170" s="97"/>
      <c r="AB170" s="96"/>
      <c r="AC170" s="98"/>
      <c r="AD170" s="98"/>
      <c r="AE170" s="98"/>
    </row>
    <row r="171" spans="2:31" x14ac:dyDescent="0.3">
      <c r="B171" s="96"/>
      <c r="C171" s="96"/>
      <c r="D171" s="96"/>
      <c r="E171" s="97"/>
      <c r="F171" s="96"/>
      <c r="G171" s="98"/>
      <c r="H171" s="96"/>
      <c r="I171" s="98"/>
      <c r="J171" s="97"/>
      <c r="K171" s="98"/>
      <c r="L171" s="100"/>
      <c r="M171" s="98"/>
      <c r="N171" s="96"/>
      <c r="O171" s="97"/>
      <c r="P171" s="70"/>
      <c r="Q171" s="97"/>
      <c r="R171" s="97"/>
      <c r="S171" s="98"/>
      <c r="T171" s="97"/>
      <c r="U171" s="98"/>
      <c r="V171" s="100"/>
      <c r="W171" s="98"/>
      <c r="X171" s="96"/>
      <c r="Y171" s="98"/>
      <c r="Z171" s="96"/>
      <c r="AA171" s="97"/>
      <c r="AB171" s="96"/>
      <c r="AC171" s="98"/>
      <c r="AD171" s="98"/>
      <c r="AE171" s="98"/>
    </row>
    <row r="172" spans="2:31" x14ac:dyDescent="0.3">
      <c r="B172" s="96"/>
      <c r="C172" s="96"/>
      <c r="D172" s="96"/>
      <c r="E172" s="97"/>
      <c r="F172" s="96"/>
      <c r="G172" s="98"/>
      <c r="H172" s="96"/>
      <c r="I172" s="98"/>
      <c r="J172" s="97"/>
      <c r="K172" s="98"/>
      <c r="L172" s="100"/>
      <c r="M172" s="98"/>
      <c r="N172" s="96"/>
      <c r="O172" s="97"/>
      <c r="P172" s="70"/>
      <c r="Q172" s="97"/>
      <c r="R172" s="97"/>
      <c r="S172" s="98"/>
      <c r="T172" s="97"/>
      <c r="U172" s="98"/>
      <c r="V172" s="100"/>
      <c r="W172" s="98"/>
      <c r="X172" s="96"/>
      <c r="Y172" s="98"/>
      <c r="Z172" s="96"/>
      <c r="AA172" s="97"/>
      <c r="AB172" s="96"/>
      <c r="AC172" s="98"/>
      <c r="AD172" s="98"/>
      <c r="AE172" s="98"/>
    </row>
    <row r="173" spans="2:31" x14ac:dyDescent="0.3">
      <c r="B173" s="96"/>
      <c r="C173" s="96"/>
      <c r="D173" s="96"/>
      <c r="E173" s="97"/>
      <c r="F173" s="96"/>
      <c r="G173" s="98"/>
      <c r="H173" s="96"/>
      <c r="I173" s="98"/>
      <c r="J173" s="97"/>
      <c r="K173" s="98"/>
      <c r="L173" s="100"/>
      <c r="M173" s="98"/>
      <c r="N173" s="96"/>
      <c r="O173" s="97"/>
      <c r="P173" s="70"/>
      <c r="Q173" s="97"/>
      <c r="R173" s="97"/>
      <c r="S173" s="98"/>
      <c r="T173" s="97"/>
      <c r="U173" s="98"/>
      <c r="V173" s="100"/>
      <c r="W173" s="98"/>
      <c r="X173" s="96"/>
      <c r="Y173" s="98"/>
      <c r="Z173" s="96"/>
      <c r="AA173" s="97"/>
      <c r="AB173" s="96"/>
      <c r="AC173" s="98"/>
      <c r="AD173" s="98"/>
      <c r="AE173" s="98"/>
    </row>
    <row r="174" spans="2:31" x14ac:dyDescent="0.3">
      <c r="B174" s="96"/>
      <c r="C174" s="96"/>
      <c r="D174" s="96"/>
      <c r="E174" s="97"/>
      <c r="F174" s="96"/>
      <c r="G174" s="98"/>
      <c r="H174" s="96"/>
      <c r="I174" s="98"/>
      <c r="J174" s="97"/>
      <c r="K174" s="98"/>
      <c r="L174" s="100"/>
      <c r="M174" s="98"/>
      <c r="N174" s="96"/>
      <c r="O174" s="97"/>
      <c r="P174" s="70"/>
      <c r="Q174" s="97"/>
      <c r="R174" s="97"/>
      <c r="S174" s="98"/>
      <c r="T174" s="97"/>
      <c r="U174" s="98"/>
      <c r="V174" s="100"/>
      <c r="W174" s="98"/>
      <c r="X174" s="96"/>
      <c r="Y174" s="98"/>
      <c r="Z174" s="96"/>
      <c r="AA174" s="97"/>
      <c r="AB174" s="96"/>
      <c r="AC174" s="98"/>
      <c r="AD174" s="98"/>
      <c r="AE174" s="98"/>
    </row>
    <row r="175" spans="2:31" x14ac:dyDescent="0.3">
      <c r="B175" s="96"/>
      <c r="C175" s="96"/>
      <c r="D175" s="96"/>
      <c r="E175" s="97"/>
      <c r="F175" s="96"/>
      <c r="G175" s="98"/>
      <c r="H175" s="96"/>
      <c r="I175" s="98"/>
      <c r="J175" s="97"/>
      <c r="K175" s="98"/>
      <c r="L175" s="100"/>
      <c r="M175" s="98"/>
      <c r="N175" s="96"/>
      <c r="O175" s="97"/>
      <c r="P175" s="70"/>
      <c r="Q175" s="97"/>
      <c r="R175" s="97"/>
      <c r="S175" s="98"/>
      <c r="T175" s="97"/>
      <c r="U175" s="98"/>
      <c r="V175" s="100"/>
      <c r="W175" s="98"/>
      <c r="X175" s="96"/>
      <c r="Y175" s="98"/>
      <c r="Z175" s="96"/>
      <c r="AA175" s="97"/>
      <c r="AB175" s="96"/>
      <c r="AC175" s="98"/>
      <c r="AD175" s="98"/>
      <c r="AE175" s="98"/>
    </row>
    <row r="176" spans="2:31" x14ac:dyDescent="0.3">
      <c r="B176" s="96"/>
      <c r="C176" s="96"/>
      <c r="D176" s="96"/>
      <c r="E176" s="97"/>
      <c r="F176" s="96"/>
      <c r="G176" s="98"/>
      <c r="H176" s="96"/>
      <c r="I176" s="98"/>
      <c r="J176" s="97"/>
      <c r="K176" s="98"/>
      <c r="L176" s="100"/>
      <c r="M176" s="98"/>
      <c r="N176" s="96"/>
      <c r="O176" s="97"/>
      <c r="P176" s="70"/>
      <c r="Q176" s="97"/>
      <c r="R176" s="97"/>
      <c r="S176" s="98"/>
      <c r="T176" s="97"/>
      <c r="U176" s="98"/>
      <c r="V176" s="100"/>
      <c r="W176" s="98"/>
      <c r="X176" s="96"/>
      <c r="Y176" s="98"/>
      <c r="Z176" s="96"/>
      <c r="AA176" s="97"/>
      <c r="AB176" s="96"/>
      <c r="AC176" s="98"/>
      <c r="AD176" s="98"/>
      <c r="AE176" s="98"/>
    </row>
    <row r="177" spans="2:31" x14ac:dyDescent="0.3">
      <c r="B177" s="96"/>
      <c r="C177" s="96"/>
      <c r="D177" s="96"/>
      <c r="E177" s="97"/>
      <c r="F177" s="96"/>
      <c r="G177" s="98"/>
      <c r="H177" s="96"/>
      <c r="I177" s="98"/>
      <c r="J177" s="97"/>
      <c r="K177" s="98"/>
      <c r="L177" s="100"/>
      <c r="M177" s="98"/>
      <c r="N177" s="96"/>
      <c r="O177" s="97"/>
      <c r="P177" s="70"/>
      <c r="Q177" s="97"/>
      <c r="R177" s="97"/>
      <c r="S177" s="98"/>
      <c r="T177" s="97"/>
      <c r="U177" s="98"/>
      <c r="V177" s="100"/>
      <c r="W177" s="98"/>
      <c r="X177" s="96"/>
      <c r="Y177" s="98"/>
      <c r="Z177" s="96"/>
      <c r="AA177" s="97"/>
      <c r="AB177" s="96"/>
      <c r="AC177" s="98"/>
      <c r="AD177" s="98"/>
      <c r="AE177" s="98"/>
    </row>
    <row r="178" spans="2:31" x14ac:dyDescent="0.3">
      <c r="B178" s="96"/>
      <c r="C178" s="96"/>
      <c r="D178" s="96"/>
      <c r="E178" s="97"/>
      <c r="F178" s="96"/>
      <c r="G178" s="98"/>
      <c r="H178" s="96"/>
      <c r="I178" s="98"/>
      <c r="J178" s="97"/>
      <c r="K178" s="98"/>
      <c r="L178" s="100"/>
      <c r="M178" s="98"/>
      <c r="N178" s="96"/>
      <c r="O178" s="97"/>
      <c r="P178" s="70"/>
      <c r="Q178" s="97"/>
      <c r="R178" s="97"/>
      <c r="S178" s="98"/>
      <c r="T178" s="97"/>
      <c r="U178" s="98"/>
      <c r="V178" s="100"/>
      <c r="W178" s="98"/>
      <c r="X178" s="96"/>
      <c r="Y178" s="98"/>
      <c r="Z178" s="96"/>
      <c r="AA178" s="97"/>
      <c r="AB178" s="96"/>
      <c r="AC178" s="98"/>
      <c r="AD178" s="98"/>
      <c r="AE178" s="98"/>
    </row>
    <row r="179" spans="2:31" x14ac:dyDescent="0.3">
      <c r="B179" s="96"/>
      <c r="C179" s="96"/>
      <c r="D179" s="96"/>
      <c r="E179" s="97"/>
      <c r="F179" s="96"/>
      <c r="G179" s="98"/>
      <c r="H179" s="96"/>
      <c r="I179" s="98"/>
      <c r="J179" s="97"/>
      <c r="K179" s="98"/>
      <c r="L179" s="100"/>
      <c r="M179" s="98"/>
      <c r="N179" s="96"/>
      <c r="O179" s="97"/>
      <c r="P179" s="70"/>
      <c r="Q179" s="97"/>
      <c r="R179" s="97"/>
      <c r="S179" s="98"/>
      <c r="T179" s="97"/>
      <c r="U179" s="98"/>
      <c r="V179" s="100"/>
      <c r="W179" s="98"/>
      <c r="X179" s="96"/>
      <c r="Y179" s="98"/>
      <c r="Z179" s="96"/>
      <c r="AA179" s="97"/>
      <c r="AB179" s="96"/>
      <c r="AC179" s="98"/>
      <c r="AD179" s="98"/>
      <c r="AE179" s="98"/>
    </row>
    <row r="180" spans="2:31" x14ac:dyDescent="0.3">
      <c r="B180" s="96"/>
      <c r="C180" s="96"/>
      <c r="D180" s="96"/>
      <c r="E180" s="97"/>
      <c r="F180" s="96"/>
      <c r="G180" s="98"/>
      <c r="H180" s="96"/>
      <c r="I180" s="98"/>
      <c r="J180" s="97"/>
      <c r="K180" s="98"/>
      <c r="L180" s="100"/>
      <c r="M180" s="98"/>
      <c r="N180" s="96"/>
      <c r="O180" s="97"/>
      <c r="P180" s="70"/>
      <c r="Q180" s="97"/>
      <c r="R180" s="97"/>
      <c r="S180" s="98"/>
      <c r="T180" s="97"/>
      <c r="U180" s="98"/>
      <c r="V180" s="100"/>
      <c r="W180" s="98"/>
      <c r="X180" s="96"/>
      <c r="Y180" s="98"/>
      <c r="Z180" s="96"/>
      <c r="AA180" s="97"/>
      <c r="AB180" s="96"/>
      <c r="AC180" s="98"/>
      <c r="AD180" s="98"/>
      <c r="AE180" s="98"/>
    </row>
    <row r="181" spans="2:31" x14ac:dyDescent="0.3">
      <c r="B181" s="96"/>
      <c r="C181" s="96"/>
      <c r="D181" s="96"/>
      <c r="E181" s="97"/>
      <c r="F181" s="96"/>
      <c r="G181" s="98"/>
      <c r="H181" s="96"/>
      <c r="I181" s="98"/>
      <c r="J181" s="97"/>
      <c r="K181" s="98"/>
      <c r="L181" s="100"/>
      <c r="M181" s="98"/>
      <c r="N181" s="96"/>
      <c r="O181" s="97"/>
      <c r="P181" s="70"/>
      <c r="Q181" s="97"/>
      <c r="R181" s="97"/>
      <c r="S181" s="98"/>
      <c r="T181" s="97"/>
      <c r="U181" s="98"/>
      <c r="V181" s="100"/>
      <c r="W181" s="98"/>
      <c r="X181" s="96"/>
      <c r="Y181" s="98"/>
      <c r="Z181" s="96"/>
      <c r="AA181" s="97"/>
      <c r="AB181" s="96"/>
      <c r="AC181" s="98"/>
      <c r="AD181" s="98"/>
      <c r="AE181" s="98"/>
    </row>
    <row r="182" spans="2:31" x14ac:dyDescent="0.3">
      <c r="B182" s="96"/>
      <c r="C182" s="96"/>
      <c r="D182" s="96"/>
      <c r="E182" s="97"/>
      <c r="F182" s="96"/>
      <c r="G182" s="98"/>
      <c r="H182" s="96"/>
      <c r="I182" s="98"/>
      <c r="J182" s="97"/>
      <c r="K182" s="98"/>
      <c r="L182" s="100"/>
      <c r="M182" s="98"/>
      <c r="N182" s="96"/>
      <c r="O182" s="97"/>
      <c r="P182" s="70"/>
      <c r="Q182" s="97"/>
      <c r="R182" s="97"/>
      <c r="S182" s="98"/>
      <c r="T182" s="97"/>
      <c r="U182" s="98"/>
      <c r="V182" s="100"/>
      <c r="W182" s="98"/>
      <c r="X182" s="96"/>
      <c r="Y182" s="98"/>
      <c r="Z182" s="96"/>
      <c r="AA182" s="97"/>
      <c r="AB182" s="96"/>
      <c r="AC182" s="98"/>
      <c r="AD182" s="98"/>
      <c r="AE182" s="98"/>
    </row>
    <row r="183" spans="2:31" x14ac:dyDescent="0.3">
      <c r="B183" s="96"/>
      <c r="C183" s="96"/>
      <c r="D183" s="96"/>
      <c r="E183" s="97"/>
      <c r="F183" s="96"/>
      <c r="G183" s="98"/>
      <c r="H183" s="96"/>
      <c r="I183" s="98"/>
      <c r="J183" s="97"/>
      <c r="K183" s="98"/>
      <c r="L183" s="100"/>
      <c r="M183" s="98"/>
      <c r="N183" s="96"/>
      <c r="O183" s="97"/>
      <c r="P183" s="70"/>
      <c r="Q183" s="97"/>
      <c r="R183" s="97"/>
      <c r="S183" s="98"/>
      <c r="T183" s="97"/>
      <c r="U183" s="98"/>
      <c r="V183" s="100"/>
      <c r="W183" s="98"/>
      <c r="X183" s="96"/>
      <c r="Y183" s="98"/>
      <c r="Z183" s="96"/>
      <c r="AA183" s="97"/>
      <c r="AB183" s="96"/>
      <c r="AC183" s="98"/>
      <c r="AD183" s="98"/>
      <c r="AE183" s="98"/>
    </row>
    <row r="184" spans="2:31" x14ac:dyDescent="0.3">
      <c r="B184" s="96"/>
      <c r="C184" s="96"/>
      <c r="D184" s="96"/>
      <c r="E184" s="97"/>
      <c r="F184" s="96"/>
      <c r="G184" s="98"/>
      <c r="H184" s="96"/>
      <c r="I184" s="98"/>
      <c r="J184" s="97"/>
      <c r="K184" s="98"/>
      <c r="L184" s="100"/>
      <c r="M184" s="98"/>
      <c r="N184" s="96"/>
      <c r="O184" s="97"/>
      <c r="P184" s="70"/>
      <c r="Q184" s="97"/>
      <c r="R184" s="97"/>
      <c r="S184" s="98"/>
      <c r="T184" s="97"/>
      <c r="U184" s="98"/>
      <c r="V184" s="100"/>
      <c r="W184" s="98"/>
      <c r="X184" s="96"/>
      <c r="Y184" s="98"/>
      <c r="Z184" s="96"/>
      <c r="AA184" s="97"/>
      <c r="AB184" s="96"/>
      <c r="AC184" s="98"/>
      <c r="AD184" s="98"/>
      <c r="AE184" s="98"/>
    </row>
    <row r="185" spans="2:31" x14ac:dyDescent="0.3">
      <c r="B185" s="96"/>
      <c r="C185" s="96"/>
      <c r="D185" s="96"/>
      <c r="E185" s="97"/>
      <c r="F185" s="96"/>
      <c r="G185" s="98"/>
      <c r="H185" s="96"/>
      <c r="I185" s="98"/>
      <c r="J185" s="97"/>
      <c r="K185" s="98"/>
      <c r="L185" s="100"/>
      <c r="M185" s="98"/>
      <c r="N185" s="96"/>
      <c r="O185" s="97"/>
      <c r="P185" s="70"/>
      <c r="Q185" s="97"/>
      <c r="R185" s="97"/>
      <c r="S185" s="98"/>
      <c r="T185" s="97"/>
      <c r="U185" s="98"/>
      <c r="V185" s="100"/>
      <c r="W185" s="98"/>
      <c r="X185" s="96"/>
      <c r="Y185" s="98"/>
      <c r="Z185" s="96"/>
      <c r="AA185" s="97"/>
      <c r="AB185" s="96"/>
      <c r="AC185" s="98"/>
      <c r="AD185" s="98"/>
      <c r="AE185" s="98"/>
    </row>
    <row r="186" spans="2:31" x14ac:dyDescent="0.3">
      <c r="B186" s="96"/>
      <c r="C186" s="96"/>
      <c r="D186" s="96"/>
      <c r="E186" s="97"/>
      <c r="F186" s="96"/>
      <c r="G186" s="98"/>
      <c r="H186" s="96"/>
      <c r="I186" s="98"/>
      <c r="J186" s="97"/>
      <c r="K186" s="98"/>
      <c r="L186" s="100"/>
      <c r="M186" s="98"/>
      <c r="N186" s="96"/>
      <c r="O186" s="97"/>
      <c r="P186" s="70"/>
      <c r="Q186" s="97"/>
      <c r="R186" s="97"/>
      <c r="S186" s="98"/>
      <c r="T186" s="97"/>
      <c r="U186" s="98"/>
      <c r="V186" s="100"/>
      <c r="W186" s="98"/>
      <c r="X186" s="96"/>
      <c r="Y186" s="98"/>
      <c r="Z186" s="96"/>
      <c r="AA186" s="97"/>
      <c r="AB186" s="96"/>
      <c r="AC186" s="98"/>
      <c r="AD186" s="98"/>
      <c r="AE186" s="98"/>
    </row>
    <row r="187" spans="2:31" x14ac:dyDescent="0.3">
      <c r="B187" s="96"/>
      <c r="C187" s="96"/>
      <c r="D187" s="96"/>
      <c r="E187" s="97"/>
      <c r="F187" s="96"/>
      <c r="G187" s="98"/>
      <c r="H187" s="96"/>
      <c r="I187" s="98"/>
      <c r="J187" s="97"/>
      <c r="K187" s="98"/>
      <c r="L187" s="100"/>
      <c r="M187" s="98"/>
      <c r="N187" s="96"/>
      <c r="O187" s="97"/>
      <c r="P187" s="70"/>
      <c r="Q187" s="97"/>
      <c r="R187" s="97"/>
      <c r="S187" s="98"/>
      <c r="T187" s="97"/>
      <c r="U187" s="98"/>
      <c r="V187" s="100"/>
      <c r="W187" s="98"/>
      <c r="X187" s="96"/>
      <c r="Y187" s="98"/>
      <c r="Z187" s="96"/>
      <c r="AA187" s="97"/>
      <c r="AB187" s="96"/>
      <c r="AC187" s="98"/>
      <c r="AD187" s="98"/>
      <c r="AE187" s="98"/>
    </row>
    <row r="188" spans="2:31" x14ac:dyDescent="0.3">
      <c r="B188" s="96"/>
      <c r="C188" s="96"/>
      <c r="D188" s="96"/>
      <c r="E188" s="97"/>
      <c r="F188" s="96"/>
      <c r="G188" s="98"/>
      <c r="H188" s="96"/>
      <c r="I188" s="98"/>
      <c r="J188" s="97"/>
      <c r="K188" s="98"/>
      <c r="L188" s="100"/>
      <c r="M188" s="98"/>
      <c r="N188" s="96"/>
      <c r="O188" s="97"/>
      <c r="P188" s="70"/>
      <c r="Q188" s="97"/>
      <c r="R188" s="97"/>
      <c r="S188" s="98"/>
      <c r="T188" s="97"/>
      <c r="U188" s="98"/>
      <c r="V188" s="100"/>
      <c r="W188" s="98"/>
      <c r="X188" s="96"/>
      <c r="Y188" s="98"/>
      <c r="Z188" s="96"/>
      <c r="AA188" s="97"/>
      <c r="AB188" s="96"/>
      <c r="AC188" s="98"/>
      <c r="AD188" s="98"/>
      <c r="AE188" s="98"/>
    </row>
    <row r="189" spans="2:31" x14ac:dyDescent="0.3">
      <c r="B189" s="96"/>
      <c r="C189" s="96"/>
      <c r="D189" s="96"/>
      <c r="E189" s="97"/>
      <c r="F189" s="96"/>
      <c r="G189" s="98"/>
      <c r="H189" s="96"/>
      <c r="I189" s="98"/>
      <c r="J189" s="97"/>
      <c r="K189" s="98"/>
      <c r="L189" s="100"/>
      <c r="M189" s="98"/>
      <c r="N189" s="96"/>
      <c r="O189" s="97"/>
      <c r="P189" s="70"/>
      <c r="Q189" s="97"/>
      <c r="R189" s="97"/>
      <c r="S189" s="98"/>
      <c r="T189" s="97"/>
      <c r="U189" s="98"/>
      <c r="V189" s="100"/>
      <c r="W189" s="98"/>
      <c r="X189" s="96"/>
      <c r="Y189" s="98"/>
      <c r="Z189" s="96"/>
      <c r="AA189" s="97"/>
      <c r="AB189" s="96"/>
      <c r="AC189" s="98"/>
      <c r="AD189" s="98"/>
      <c r="AE189" s="98"/>
    </row>
    <row r="190" spans="2:31" x14ac:dyDescent="0.3">
      <c r="B190" s="96"/>
      <c r="C190" s="96"/>
      <c r="D190" s="96"/>
      <c r="E190" s="97"/>
      <c r="F190" s="96"/>
      <c r="G190" s="98"/>
      <c r="H190" s="96"/>
      <c r="I190" s="98"/>
      <c r="J190" s="97"/>
      <c r="K190" s="98"/>
      <c r="L190" s="100"/>
      <c r="M190" s="98"/>
      <c r="N190" s="96"/>
      <c r="O190" s="97"/>
      <c r="P190" s="70"/>
      <c r="Q190" s="97"/>
      <c r="R190" s="97"/>
      <c r="S190" s="98"/>
      <c r="T190" s="97"/>
      <c r="U190" s="98"/>
      <c r="V190" s="100"/>
      <c r="W190" s="98"/>
      <c r="X190" s="96"/>
      <c r="Y190" s="98"/>
      <c r="Z190" s="96"/>
      <c r="AA190" s="97"/>
      <c r="AB190" s="96"/>
      <c r="AC190" s="98"/>
      <c r="AD190" s="98"/>
      <c r="AE190" s="98"/>
    </row>
    <row r="191" spans="2:31" x14ac:dyDescent="0.3">
      <c r="B191" s="96"/>
      <c r="C191" s="96"/>
      <c r="D191" s="96"/>
      <c r="E191" s="97"/>
      <c r="F191" s="96"/>
      <c r="G191" s="98"/>
      <c r="H191" s="96"/>
      <c r="I191" s="98"/>
      <c r="J191" s="97"/>
      <c r="K191" s="98"/>
      <c r="L191" s="100"/>
      <c r="M191" s="98"/>
      <c r="N191" s="96"/>
      <c r="O191" s="97"/>
      <c r="P191" s="70"/>
      <c r="Q191" s="97"/>
      <c r="R191" s="97"/>
      <c r="S191" s="98"/>
      <c r="T191" s="97"/>
      <c r="U191" s="98"/>
      <c r="V191" s="100"/>
      <c r="W191" s="98"/>
      <c r="X191" s="96"/>
      <c r="Y191" s="98"/>
      <c r="Z191" s="96"/>
      <c r="AA191" s="97"/>
      <c r="AB191" s="96"/>
      <c r="AC191" s="98"/>
      <c r="AD191" s="98"/>
      <c r="AE191" s="98"/>
    </row>
    <row r="192" spans="2:31" x14ac:dyDescent="0.3">
      <c r="B192" s="96"/>
      <c r="C192" s="96"/>
      <c r="D192" s="96"/>
      <c r="E192" s="97"/>
      <c r="F192" s="96"/>
      <c r="G192" s="98"/>
      <c r="H192" s="96"/>
      <c r="I192" s="98"/>
      <c r="J192" s="97"/>
      <c r="K192" s="98"/>
      <c r="L192" s="100"/>
      <c r="M192" s="98"/>
      <c r="N192" s="96"/>
      <c r="O192" s="97"/>
      <c r="P192" s="70"/>
      <c r="Q192" s="97"/>
      <c r="R192" s="97"/>
      <c r="S192" s="98"/>
      <c r="T192" s="97"/>
      <c r="U192" s="98"/>
      <c r="V192" s="100"/>
      <c r="W192" s="98"/>
      <c r="X192" s="96"/>
      <c r="Y192" s="98"/>
      <c r="Z192" s="96"/>
      <c r="AA192" s="97"/>
      <c r="AB192" s="96"/>
      <c r="AC192" s="98"/>
      <c r="AD192" s="98"/>
      <c r="AE192" s="98"/>
    </row>
    <row r="193" spans="2:31" x14ac:dyDescent="0.3">
      <c r="B193" s="96"/>
      <c r="C193" s="96"/>
      <c r="D193" s="96"/>
      <c r="E193" s="97"/>
      <c r="F193" s="96"/>
      <c r="G193" s="98"/>
      <c r="H193" s="96"/>
      <c r="I193" s="98"/>
      <c r="J193" s="97"/>
      <c r="K193" s="98"/>
      <c r="L193" s="100"/>
      <c r="M193" s="98"/>
      <c r="N193" s="96"/>
      <c r="O193" s="97"/>
      <c r="P193" s="70"/>
      <c r="Q193" s="97"/>
      <c r="R193" s="97"/>
      <c r="S193" s="98"/>
      <c r="T193" s="97"/>
      <c r="U193" s="98"/>
      <c r="V193" s="100"/>
      <c r="W193" s="98"/>
      <c r="X193" s="96"/>
      <c r="Y193" s="98"/>
      <c r="Z193" s="96"/>
      <c r="AA193" s="97"/>
      <c r="AB193" s="96"/>
      <c r="AC193" s="98"/>
      <c r="AD193" s="98"/>
      <c r="AE193" s="98"/>
    </row>
    <row r="194" spans="2:31" x14ac:dyDescent="0.3">
      <c r="B194" s="96"/>
      <c r="C194" s="96"/>
      <c r="D194" s="96"/>
      <c r="E194" s="97"/>
      <c r="F194" s="96"/>
      <c r="G194" s="98"/>
      <c r="H194" s="96"/>
      <c r="I194" s="98"/>
      <c r="J194" s="97"/>
      <c r="K194" s="98"/>
      <c r="L194" s="100"/>
      <c r="M194" s="98"/>
      <c r="N194" s="96"/>
      <c r="O194" s="97"/>
      <c r="P194" s="70"/>
      <c r="Q194" s="97"/>
      <c r="R194" s="97"/>
      <c r="S194" s="98"/>
      <c r="T194" s="97"/>
      <c r="U194" s="98"/>
      <c r="V194" s="100"/>
      <c r="W194" s="98"/>
      <c r="X194" s="96"/>
      <c r="Y194" s="98"/>
      <c r="Z194" s="96"/>
      <c r="AA194" s="97"/>
      <c r="AB194" s="96"/>
      <c r="AC194" s="98"/>
      <c r="AD194" s="98"/>
      <c r="AE194" s="98"/>
    </row>
    <row r="195" spans="2:31" x14ac:dyDescent="0.3">
      <c r="B195" s="96"/>
      <c r="C195" s="96"/>
      <c r="D195" s="96"/>
      <c r="E195" s="97"/>
      <c r="F195" s="96"/>
      <c r="G195" s="98"/>
      <c r="H195" s="96"/>
      <c r="I195" s="98"/>
      <c r="J195" s="97"/>
      <c r="K195" s="98"/>
      <c r="L195" s="100"/>
      <c r="M195" s="98"/>
      <c r="N195" s="96"/>
      <c r="O195" s="97"/>
      <c r="P195" s="70"/>
      <c r="Q195" s="97"/>
      <c r="R195" s="97"/>
      <c r="S195" s="98"/>
      <c r="T195" s="97"/>
      <c r="U195" s="98"/>
      <c r="V195" s="100"/>
      <c r="W195" s="98"/>
      <c r="X195" s="96"/>
      <c r="Y195" s="98"/>
      <c r="Z195" s="96"/>
      <c r="AA195" s="97"/>
      <c r="AB195" s="96"/>
      <c r="AC195" s="98"/>
      <c r="AD195" s="98"/>
      <c r="AE195" s="98"/>
    </row>
    <row r="196" spans="2:31" x14ac:dyDescent="0.3">
      <c r="B196" s="96"/>
      <c r="C196" s="96"/>
      <c r="D196" s="96"/>
      <c r="E196" s="97"/>
      <c r="F196" s="96"/>
      <c r="G196" s="98"/>
      <c r="H196" s="96"/>
      <c r="I196" s="98"/>
      <c r="J196" s="97"/>
      <c r="K196" s="98"/>
      <c r="L196" s="100"/>
      <c r="M196" s="98"/>
      <c r="N196" s="96"/>
      <c r="O196" s="97"/>
      <c r="P196" s="70"/>
      <c r="Q196" s="97"/>
      <c r="R196" s="97"/>
      <c r="S196" s="98"/>
      <c r="T196" s="97"/>
      <c r="U196" s="98"/>
      <c r="V196" s="100"/>
      <c r="W196" s="98"/>
      <c r="X196" s="96"/>
      <c r="Y196" s="98"/>
      <c r="Z196" s="96"/>
      <c r="AA196" s="97"/>
      <c r="AB196" s="96"/>
      <c r="AC196" s="98"/>
      <c r="AD196" s="98"/>
      <c r="AE196" s="98"/>
    </row>
    <row r="197" spans="2:31" x14ac:dyDescent="0.3">
      <c r="B197" s="96"/>
      <c r="C197" s="96"/>
      <c r="D197" s="96"/>
      <c r="E197" s="97"/>
      <c r="F197" s="96"/>
      <c r="G197" s="98"/>
      <c r="H197" s="96"/>
      <c r="I197" s="98"/>
      <c r="J197" s="97"/>
      <c r="K197" s="98"/>
      <c r="L197" s="100"/>
      <c r="M197" s="98"/>
      <c r="N197" s="96"/>
      <c r="O197" s="97"/>
      <c r="P197" s="70"/>
      <c r="Q197" s="97"/>
      <c r="R197" s="97"/>
      <c r="S197" s="98"/>
      <c r="T197" s="97"/>
      <c r="U197" s="98"/>
      <c r="V197" s="100"/>
      <c r="W197" s="98"/>
      <c r="X197" s="96"/>
      <c r="Y197" s="98"/>
      <c r="Z197" s="96"/>
      <c r="AA197" s="97"/>
      <c r="AB197" s="96"/>
      <c r="AC197" s="98"/>
      <c r="AD197" s="98"/>
      <c r="AE197" s="98"/>
    </row>
    <row r="198" spans="2:31" x14ac:dyDescent="0.3">
      <c r="B198" s="96"/>
      <c r="C198" s="96"/>
      <c r="D198" s="96"/>
      <c r="E198" s="97"/>
      <c r="F198" s="96"/>
      <c r="G198" s="98"/>
      <c r="H198" s="96"/>
      <c r="I198" s="98"/>
      <c r="J198" s="97"/>
      <c r="K198" s="98"/>
      <c r="L198" s="100"/>
      <c r="M198" s="98"/>
      <c r="N198" s="96"/>
      <c r="O198" s="97"/>
      <c r="P198" s="70"/>
      <c r="Q198" s="97"/>
      <c r="R198" s="97"/>
      <c r="S198" s="98"/>
      <c r="T198" s="97"/>
      <c r="U198" s="98"/>
      <c r="V198" s="100"/>
      <c r="W198" s="98"/>
      <c r="X198" s="96"/>
      <c r="Y198" s="98"/>
      <c r="Z198" s="96"/>
      <c r="AA198" s="97"/>
      <c r="AB198" s="96"/>
      <c r="AC198" s="98"/>
      <c r="AD198" s="98"/>
      <c r="AE198" s="98"/>
    </row>
    <row r="199" spans="2:31" x14ac:dyDescent="0.3">
      <c r="B199" s="96"/>
      <c r="C199" s="96"/>
      <c r="D199" s="96"/>
      <c r="E199" s="97"/>
      <c r="F199" s="96"/>
      <c r="G199" s="98"/>
      <c r="H199" s="96"/>
      <c r="I199" s="98"/>
      <c r="J199" s="97"/>
      <c r="K199" s="98"/>
      <c r="L199" s="100"/>
      <c r="M199" s="98"/>
      <c r="N199" s="96"/>
      <c r="O199" s="97"/>
      <c r="P199" s="70"/>
      <c r="Q199" s="97"/>
      <c r="R199" s="97"/>
      <c r="S199" s="98"/>
      <c r="T199" s="97"/>
      <c r="U199" s="98"/>
      <c r="V199" s="100"/>
      <c r="W199" s="98"/>
      <c r="X199" s="96"/>
      <c r="Y199" s="98"/>
      <c r="Z199" s="96"/>
      <c r="AA199" s="97"/>
      <c r="AB199" s="96"/>
      <c r="AC199" s="98"/>
      <c r="AD199" s="98"/>
      <c r="AE199" s="98"/>
    </row>
    <row r="200" spans="2:31" x14ac:dyDescent="0.3">
      <c r="B200" s="96"/>
      <c r="C200" s="96"/>
      <c r="D200" s="96"/>
      <c r="E200" s="97"/>
      <c r="F200" s="96"/>
      <c r="G200" s="98"/>
      <c r="H200" s="96"/>
      <c r="I200" s="98"/>
      <c r="J200" s="97"/>
      <c r="K200" s="98"/>
      <c r="L200" s="100"/>
      <c r="M200" s="98"/>
      <c r="N200" s="96"/>
      <c r="O200" s="97"/>
      <c r="P200" s="70"/>
      <c r="Q200" s="97"/>
      <c r="R200" s="97"/>
      <c r="S200" s="98"/>
      <c r="T200" s="97"/>
      <c r="U200" s="98"/>
      <c r="V200" s="100"/>
      <c r="W200" s="98"/>
      <c r="X200" s="96"/>
      <c r="Y200" s="98"/>
      <c r="Z200" s="96"/>
      <c r="AA200" s="97"/>
      <c r="AB200" s="96"/>
      <c r="AC200" s="98"/>
      <c r="AD200" s="98"/>
      <c r="AE200" s="98"/>
    </row>
    <row r="201" spans="2:31" x14ac:dyDescent="0.3">
      <c r="B201" s="96"/>
      <c r="C201" s="96"/>
      <c r="D201" s="96"/>
      <c r="E201" s="97"/>
      <c r="F201" s="96"/>
      <c r="G201" s="98"/>
      <c r="H201" s="96"/>
      <c r="I201" s="98"/>
      <c r="J201" s="97"/>
      <c r="K201" s="98"/>
      <c r="L201" s="100"/>
      <c r="M201" s="98"/>
      <c r="N201" s="96"/>
      <c r="O201" s="97"/>
      <c r="P201" s="70"/>
      <c r="Q201" s="97"/>
      <c r="R201" s="97"/>
      <c r="S201" s="98"/>
      <c r="T201" s="97"/>
      <c r="U201" s="98"/>
      <c r="V201" s="100"/>
      <c r="W201" s="98"/>
      <c r="X201" s="96"/>
      <c r="Y201" s="98"/>
      <c r="Z201" s="96"/>
      <c r="AA201" s="97"/>
      <c r="AB201" s="96"/>
      <c r="AC201" s="98"/>
      <c r="AD201" s="98"/>
      <c r="AE201" s="98"/>
    </row>
    <row r="202" spans="2:31" x14ac:dyDescent="0.3">
      <c r="B202" s="96"/>
      <c r="C202" s="96"/>
      <c r="D202" s="96"/>
      <c r="E202" s="97"/>
      <c r="F202" s="96"/>
      <c r="G202" s="98"/>
      <c r="H202" s="96"/>
      <c r="I202" s="98"/>
      <c r="J202" s="97"/>
      <c r="K202" s="98"/>
      <c r="L202" s="100"/>
      <c r="M202" s="98"/>
      <c r="N202" s="96"/>
      <c r="O202" s="97"/>
      <c r="P202" s="70"/>
      <c r="Q202" s="97"/>
      <c r="R202" s="97"/>
      <c r="S202" s="98"/>
      <c r="T202" s="97"/>
      <c r="U202" s="98"/>
      <c r="V202" s="100"/>
      <c r="W202" s="98"/>
      <c r="X202" s="96"/>
      <c r="Y202" s="98"/>
      <c r="Z202" s="96"/>
      <c r="AA202" s="97"/>
      <c r="AB202" s="96"/>
      <c r="AC202" s="98"/>
      <c r="AD202" s="98"/>
      <c r="AE202" s="98"/>
    </row>
    <row r="203" spans="2:31" x14ac:dyDescent="0.3">
      <c r="B203" s="96"/>
      <c r="C203" s="96"/>
      <c r="D203" s="96"/>
      <c r="E203" s="97"/>
      <c r="F203" s="96"/>
      <c r="G203" s="98"/>
      <c r="H203" s="96"/>
      <c r="I203" s="98"/>
      <c r="J203" s="97"/>
      <c r="K203" s="98"/>
      <c r="L203" s="100"/>
      <c r="M203" s="98"/>
      <c r="N203" s="96"/>
      <c r="O203" s="97"/>
      <c r="P203" s="70"/>
      <c r="Q203" s="97"/>
      <c r="R203" s="97"/>
      <c r="S203" s="98"/>
      <c r="T203" s="97"/>
      <c r="U203" s="98"/>
      <c r="V203" s="100"/>
      <c r="W203" s="98"/>
      <c r="X203" s="96"/>
      <c r="Y203" s="98"/>
      <c r="Z203" s="96"/>
      <c r="AA203" s="97"/>
      <c r="AB203" s="96"/>
      <c r="AC203" s="98"/>
      <c r="AD203" s="98"/>
      <c r="AE203" s="98"/>
    </row>
    <row r="204" spans="2:31" x14ac:dyDescent="0.3">
      <c r="B204" s="96"/>
      <c r="C204" s="96"/>
      <c r="D204" s="96"/>
      <c r="E204" s="97"/>
      <c r="F204" s="96"/>
      <c r="G204" s="98"/>
      <c r="H204" s="96"/>
      <c r="I204" s="98"/>
      <c r="J204" s="97"/>
      <c r="K204" s="98"/>
      <c r="L204" s="100"/>
      <c r="M204" s="98"/>
      <c r="N204" s="96"/>
      <c r="O204" s="97"/>
      <c r="P204" s="70"/>
      <c r="Q204" s="97"/>
      <c r="R204" s="97"/>
      <c r="S204" s="98"/>
      <c r="T204" s="97"/>
      <c r="U204" s="98"/>
      <c r="V204" s="100"/>
      <c r="W204" s="98"/>
      <c r="X204" s="96"/>
      <c r="Y204" s="98"/>
      <c r="Z204" s="96"/>
      <c r="AA204" s="97"/>
      <c r="AB204" s="96"/>
      <c r="AC204" s="98"/>
      <c r="AD204" s="98"/>
      <c r="AE204" s="98"/>
    </row>
    <row r="205" spans="2:31" x14ac:dyDescent="0.3">
      <c r="B205" s="96"/>
      <c r="C205" s="96"/>
      <c r="D205" s="96"/>
      <c r="E205" s="97"/>
      <c r="F205" s="96"/>
      <c r="G205" s="98"/>
      <c r="H205" s="96"/>
      <c r="I205" s="98"/>
      <c r="J205" s="97"/>
      <c r="K205" s="98"/>
      <c r="L205" s="100"/>
      <c r="M205" s="98"/>
      <c r="N205" s="96"/>
      <c r="O205" s="97"/>
      <c r="P205" s="70"/>
      <c r="Q205" s="97"/>
      <c r="R205" s="97"/>
      <c r="S205" s="98"/>
      <c r="T205" s="97"/>
      <c r="U205" s="98"/>
      <c r="V205" s="100"/>
      <c r="W205" s="98"/>
      <c r="X205" s="96"/>
      <c r="Y205" s="98"/>
      <c r="Z205" s="96"/>
      <c r="AA205" s="97"/>
      <c r="AB205" s="96"/>
      <c r="AC205" s="98"/>
      <c r="AD205" s="98"/>
      <c r="AE205" s="98"/>
    </row>
    <row r="206" spans="2:31" x14ac:dyDescent="0.3">
      <c r="B206" s="96"/>
      <c r="C206" s="96"/>
      <c r="D206" s="96"/>
      <c r="E206" s="97"/>
      <c r="F206" s="96"/>
      <c r="G206" s="98"/>
      <c r="H206" s="96"/>
      <c r="I206" s="98"/>
      <c r="J206" s="97"/>
      <c r="K206" s="98"/>
      <c r="L206" s="100"/>
      <c r="M206" s="98"/>
      <c r="N206" s="96"/>
      <c r="O206" s="97"/>
      <c r="P206" s="70"/>
      <c r="Q206" s="97"/>
      <c r="R206" s="97"/>
      <c r="S206" s="98"/>
      <c r="T206" s="97"/>
      <c r="U206" s="98"/>
      <c r="V206" s="100"/>
      <c r="W206" s="98"/>
      <c r="X206" s="96"/>
      <c r="Y206" s="98"/>
      <c r="Z206" s="96"/>
      <c r="AA206" s="97"/>
      <c r="AB206" s="96"/>
      <c r="AC206" s="98"/>
      <c r="AD206" s="98"/>
      <c r="AE206" s="98"/>
    </row>
    <row r="207" spans="2:31" x14ac:dyDescent="0.3">
      <c r="B207" s="96"/>
      <c r="C207" s="96"/>
      <c r="D207" s="96"/>
      <c r="E207" s="97"/>
      <c r="F207" s="96"/>
      <c r="G207" s="98"/>
      <c r="H207" s="96"/>
      <c r="I207" s="98"/>
      <c r="J207" s="97"/>
      <c r="K207" s="98"/>
      <c r="L207" s="100"/>
      <c r="M207" s="98"/>
      <c r="N207" s="96"/>
      <c r="O207" s="97"/>
      <c r="P207" s="70"/>
      <c r="Q207" s="97"/>
      <c r="R207" s="97"/>
      <c r="S207" s="98"/>
      <c r="T207" s="97"/>
      <c r="U207" s="98"/>
      <c r="V207" s="100"/>
      <c r="W207" s="98"/>
      <c r="X207" s="96"/>
      <c r="Y207" s="98"/>
      <c r="Z207" s="96"/>
      <c r="AA207" s="97"/>
      <c r="AB207" s="96"/>
      <c r="AC207" s="98"/>
      <c r="AD207" s="98"/>
      <c r="AE207" s="98"/>
    </row>
    <row r="208" spans="2:31" x14ac:dyDescent="0.3">
      <c r="B208" s="96"/>
      <c r="C208" s="96"/>
      <c r="D208" s="96"/>
      <c r="E208" s="97"/>
      <c r="F208" s="96"/>
      <c r="G208" s="98"/>
      <c r="H208" s="96"/>
      <c r="I208" s="98"/>
      <c r="J208" s="97"/>
      <c r="K208" s="98"/>
      <c r="L208" s="100"/>
      <c r="M208" s="98"/>
      <c r="N208" s="96"/>
      <c r="O208" s="97"/>
      <c r="P208" s="70"/>
      <c r="Q208" s="97"/>
      <c r="R208" s="97"/>
      <c r="S208" s="98"/>
      <c r="T208" s="97"/>
      <c r="U208" s="98"/>
      <c r="V208" s="100"/>
      <c r="W208" s="98"/>
      <c r="X208" s="96"/>
      <c r="Y208" s="98"/>
      <c r="Z208" s="96"/>
      <c r="AA208" s="97"/>
      <c r="AB208" s="96"/>
      <c r="AC208" s="98"/>
      <c r="AD208" s="98"/>
      <c r="AE208" s="98"/>
    </row>
    <row r="209" spans="2:31" x14ac:dyDescent="0.3">
      <c r="B209" s="96"/>
      <c r="C209" s="96"/>
      <c r="D209" s="96"/>
      <c r="E209" s="97"/>
      <c r="F209" s="96"/>
      <c r="G209" s="98"/>
      <c r="H209" s="96"/>
      <c r="I209" s="98"/>
      <c r="J209" s="97"/>
      <c r="K209" s="98"/>
      <c r="L209" s="100"/>
      <c r="M209" s="98"/>
      <c r="N209" s="96"/>
      <c r="O209" s="97"/>
      <c r="P209" s="70"/>
      <c r="Q209" s="97"/>
      <c r="R209" s="97"/>
      <c r="S209" s="98"/>
      <c r="T209" s="97"/>
      <c r="U209" s="98"/>
      <c r="V209" s="100"/>
      <c r="W209" s="98"/>
      <c r="X209" s="96"/>
      <c r="Y209" s="98"/>
      <c r="Z209" s="96"/>
      <c r="AA209" s="97"/>
      <c r="AB209" s="96"/>
      <c r="AC209" s="98"/>
      <c r="AD209" s="98"/>
      <c r="AE209" s="98"/>
    </row>
    <row r="210" spans="2:31" x14ac:dyDescent="0.3">
      <c r="B210" s="96"/>
      <c r="C210" s="96"/>
      <c r="D210" s="96"/>
      <c r="E210" s="97"/>
      <c r="F210" s="96"/>
      <c r="G210" s="98"/>
      <c r="H210" s="96"/>
      <c r="I210" s="98"/>
      <c r="J210" s="97"/>
      <c r="K210" s="98"/>
      <c r="L210" s="100"/>
      <c r="M210" s="98"/>
      <c r="N210" s="96"/>
      <c r="O210" s="97"/>
      <c r="P210" s="70"/>
      <c r="Q210" s="97"/>
      <c r="R210" s="97"/>
      <c r="S210" s="98"/>
      <c r="T210" s="97"/>
      <c r="U210" s="98"/>
      <c r="V210" s="100"/>
      <c r="W210" s="98"/>
      <c r="X210" s="96"/>
      <c r="Y210" s="98"/>
      <c r="Z210" s="96"/>
      <c r="AA210" s="97"/>
      <c r="AB210" s="96"/>
      <c r="AC210" s="98"/>
      <c r="AD210" s="98"/>
      <c r="AE210" s="98"/>
    </row>
    <row r="211" spans="2:31" x14ac:dyDescent="0.3">
      <c r="B211" s="96"/>
      <c r="C211" s="96"/>
      <c r="D211" s="96"/>
      <c r="E211" s="97"/>
      <c r="F211" s="96"/>
      <c r="G211" s="98"/>
      <c r="H211" s="96"/>
      <c r="I211" s="98"/>
      <c r="J211" s="97"/>
      <c r="K211" s="98"/>
      <c r="L211" s="100"/>
      <c r="M211" s="98"/>
      <c r="N211" s="96"/>
      <c r="O211" s="97"/>
      <c r="P211" s="70"/>
      <c r="Q211" s="97"/>
      <c r="R211" s="97"/>
      <c r="S211" s="98"/>
      <c r="T211" s="97"/>
      <c r="U211" s="98"/>
      <c r="V211" s="100"/>
      <c r="W211" s="98"/>
      <c r="X211" s="96"/>
      <c r="Y211" s="98"/>
      <c r="Z211" s="96"/>
      <c r="AA211" s="97"/>
      <c r="AB211" s="96"/>
      <c r="AC211" s="98"/>
      <c r="AD211" s="98"/>
      <c r="AE211" s="98"/>
    </row>
    <row r="212" spans="2:31" x14ac:dyDescent="0.3">
      <c r="B212" s="96"/>
      <c r="C212" s="96"/>
      <c r="D212" s="96"/>
      <c r="E212" s="97"/>
      <c r="F212" s="96"/>
      <c r="G212" s="98"/>
      <c r="H212" s="96"/>
      <c r="I212" s="98"/>
      <c r="J212" s="97"/>
      <c r="K212" s="98"/>
      <c r="L212" s="100"/>
      <c r="M212" s="98"/>
      <c r="N212" s="96"/>
      <c r="O212" s="97"/>
      <c r="P212" s="70"/>
      <c r="Q212" s="97"/>
      <c r="R212" s="97"/>
      <c r="S212" s="98"/>
      <c r="T212" s="97"/>
      <c r="U212" s="98"/>
      <c r="V212" s="100"/>
      <c r="W212" s="98"/>
      <c r="X212" s="96"/>
      <c r="Y212" s="98"/>
      <c r="Z212" s="96"/>
      <c r="AA212" s="97"/>
      <c r="AB212" s="96"/>
      <c r="AC212" s="98"/>
      <c r="AD212" s="98"/>
      <c r="AE212" s="98"/>
    </row>
    <row r="213" spans="2:31" x14ac:dyDescent="0.3">
      <c r="B213" s="96"/>
      <c r="C213" s="96"/>
      <c r="D213" s="96"/>
      <c r="E213" s="97"/>
      <c r="F213" s="96"/>
      <c r="G213" s="98"/>
      <c r="H213" s="96"/>
      <c r="I213" s="98"/>
      <c r="J213" s="97"/>
      <c r="K213" s="98"/>
      <c r="L213" s="100"/>
      <c r="M213" s="98"/>
      <c r="N213" s="96"/>
      <c r="O213" s="97"/>
      <c r="P213" s="70"/>
      <c r="Q213" s="97"/>
      <c r="R213" s="97"/>
      <c r="S213" s="98"/>
      <c r="T213" s="97"/>
      <c r="U213" s="98"/>
      <c r="V213" s="100"/>
      <c r="W213" s="98"/>
      <c r="X213" s="96"/>
      <c r="Y213" s="98"/>
      <c r="Z213" s="96"/>
      <c r="AA213" s="97"/>
      <c r="AB213" s="96"/>
      <c r="AC213" s="98"/>
      <c r="AD213" s="98"/>
      <c r="AE213" s="98"/>
    </row>
    <row r="214" spans="2:31" x14ac:dyDescent="0.3">
      <c r="B214" s="96"/>
      <c r="C214" s="96"/>
      <c r="D214" s="96"/>
      <c r="E214" s="97"/>
      <c r="F214" s="96"/>
      <c r="G214" s="98"/>
      <c r="H214" s="96"/>
      <c r="I214" s="98"/>
      <c r="J214" s="97"/>
      <c r="K214" s="98"/>
      <c r="L214" s="100"/>
      <c r="M214" s="98"/>
      <c r="N214" s="96"/>
      <c r="O214" s="97"/>
      <c r="P214" s="70"/>
      <c r="Q214" s="97"/>
      <c r="R214" s="97"/>
      <c r="S214" s="98"/>
      <c r="T214" s="97"/>
      <c r="U214" s="98"/>
      <c r="V214" s="100"/>
      <c r="W214" s="98"/>
      <c r="X214" s="96"/>
      <c r="Y214" s="98"/>
      <c r="Z214" s="96"/>
      <c r="AA214" s="97"/>
      <c r="AB214" s="96"/>
      <c r="AC214" s="98"/>
      <c r="AD214" s="98"/>
      <c r="AE214" s="98"/>
    </row>
    <row r="215" spans="2:31" x14ac:dyDescent="0.3">
      <c r="B215" s="96"/>
      <c r="C215" s="96"/>
      <c r="D215" s="96"/>
      <c r="E215" s="97"/>
      <c r="F215" s="96"/>
      <c r="G215" s="98"/>
      <c r="H215" s="96"/>
      <c r="I215" s="98"/>
      <c r="J215" s="97"/>
      <c r="K215" s="98"/>
      <c r="L215" s="100"/>
      <c r="M215" s="98"/>
      <c r="N215" s="96"/>
      <c r="O215" s="97"/>
      <c r="P215" s="70"/>
      <c r="Q215" s="97"/>
      <c r="R215" s="97"/>
      <c r="S215" s="98"/>
      <c r="T215" s="97"/>
      <c r="U215" s="98"/>
      <c r="V215" s="100"/>
      <c r="W215" s="98"/>
      <c r="X215" s="96"/>
      <c r="Y215" s="98"/>
      <c r="Z215" s="96"/>
      <c r="AA215" s="97"/>
      <c r="AB215" s="96"/>
      <c r="AC215" s="98"/>
      <c r="AD215" s="98"/>
      <c r="AE215" s="98"/>
    </row>
    <row r="216" spans="2:31" x14ac:dyDescent="0.3">
      <c r="B216" s="96"/>
      <c r="C216" s="96"/>
      <c r="D216" s="96"/>
      <c r="E216" s="97"/>
      <c r="F216" s="96"/>
      <c r="G216" s="98"/>
      <c r="H216" s="96"/>
      <c r="I216" s="98"/>
      <c r="J216" s="97"/>
      <c r="K216" s="98"/>
      <c r="L216" s="100"/>
      <c r="M216" s="98"/>
      <c r="N216" s="96"/>
      <c r="O216" s="97"/>
      <c r="P216" s="70"/>
      <c r="Q216" s="97"/>
      <c r="R216" s="97"/>
      <c r="S216" s="98"/>
      <c r="T216" s="97"/>
      <c r="U216" s="98"/>
      <c r="V216" s="100"/>
      <c r="W216" s="98"/>
      <c r="X216" s="96"/>
      <c r="Y216" s="98"/>
      <c r="Z216" s="96"/>
      <c r="AA216" s="97"/>
      <c r="AB216" s="96"/>
      <c r="AC216" s="98"/>
      <c r="AD216" s="98"/>
      <c r="AE216" s="98"/>
    </row>
    <row r="217" spans="2:31" x14ac:dyDescent="0.3">
      <c r="B217" s="96"/>
      <c r="C217" s="96"/>
      <c r="D217" s="96"/>
      <c r="E217" s="97"/>
      <c r="F217" s="96"/>
      <c r="G217" s="98"/>
      <c r="H217" s="96"/>
      <c r="I217" s="98"/>
      <c r="J217" s="97"/>
      <c r="K217" s="98"/>
      <c r="L217" s="100"/>
      <c r="M217" s="98"/>
      <c r="N217" s="96"/>
      <c r="O217" s="97"/>
      <c r="P217" s="70"/>
      <c r="Q217" s="97"/>
      <c r="R217" s="97"/>
      <c r="S217" s="98"/>
      <c r="T217" s="97"/>
      <c r="U217" s="98"/>
      <c r="V217" s="100"/>
      <c r="W217" s="98"/>
      <c r="X217" s="96"/>
      <c r="Y217" s="98"/>
      <c r="Z217" s="96"/>
      <c r="AA217" s="97"/>
      <c r="AB217" s="96"/>
      <c r="AC217" s="98"/>
      <c r="AD217" s="98"/>
      <c r="AE217" s="98"/>
    </row>
    <row r="218" spans="2:31" x14ac:dyDescent="0.3">
      <c r="B218" s="96"/>
      <c r="C218" s="96"/>
      <c r="D218" s="96"/>
      <c r="E218" s="97"/>
      <c r="F218" s="96"/>
      <c r="G218" s="98"/>
      <c r="H218" s="96"/>
      <c r="I218" s="98"/>
      <c r="J218" s="97"/>
      <c r="K218" s="98"/>
      <c r="L218" s="100"/>
      <c r="M218" s="98"/>
      <c r="N218" s="96"/>
      <c r="O218" s="97"/>
      <c r="P218" s="70"/>
      <c r="Q218" s="97"/>
      <c r="R218" s="97"/>
      <c r="S218" s="98"/>
      <c r="T218" s="97"/>
      <c r="U218" s="98"/>
      <c r="V218" s="100"/>
      <c r="W218" s="98"/>
      <c r="X218" s="96"/>
      <c r="Y218" s="98"/>
      <c r="Z218" s="96"/>
      <c r="AA218" s="97"/>
      <c r="AB218" s="96"/>
      <c r="AC218" s="98"/>
      <c r="AD218" s="98"/>
      <c r="AE218" s="98"/>
    </row>
    <row r="219" spans="2:31" x14ac:dyDescent="0.3">
      <c r="B219" s="96"/>
      <c r="C219" s="96"/>
      <c r="D219" s="96"/>
      <c r="E219" s="97"/>
      <c r="F219" s="96"/>
      <c r="G219" s="98"/>
      <c r="H219" s="96"/>
      <c r="I219" s="98"/>
      <c r="J219" s="97"/>
      <c r="K219" s="98"/>
      <c r="L219" s="100"/>
      <c r="M219" s="98"/>
      <c r="N219" s="96"/>
      <c r="O219" s="97"/>
      <c r="P219" s="70"/>
      <c r="Q219" s="97"/>
      <c r="R219" s="97"/>
      <c r="S219" s="98"/>
      <c r="T219" s="97"/>
      <c r="U219" s="98"/>
      <c r="V219" s="100"/>
      <c r="W219" s="98"/>
      <c r="X219" s="96"/>
      <c r="Y219" s="98"/>
      <c r="Z219" s="96"/>
      <c r="AA219" s="97"/>
      <c r="AB219" s="96"/>
      <c r="AC219" s="98"/>
      <c r="AD219" s="98"/>
      <c r="AE219" s="98"/>
    </row>
    <row r="220" spans="2:31" x14ac:dyDescent="0.3">
      <c r="B220" s="96"/>
      <c r="C220" s="96"/>
      <c r="D220" s="96"/>
      <c r="E220" s="97"/>
      <c r="F220" s="96"/>
      <c r="G220" s="98"/>
      <c r="H220" s="96"/>
      <c r="I220" s="98"/>
      <c r="J220" s="97"/>
      <c r="K220" s="98"/>
      <c r="L220" s="100"/>
      <c r="M220" s="98"/>
      <c r="N220" s="96"/>
      <c r="O220" s="97"/>
      <c r="P220" s="70"/>
      <c r="Q220" s="97"/>
      <c r="R220" s="97"/>
      <c r="S220" s="98"/>
      <c r="T220" s="97"/>
      <c r="U220" s="98"/>
      <c r="V220" s="100"/>
      <c r="W220" s="98"/>
      <c r="X220" s="96"/>
      <c r="Y220" s="98"/>
      <c r="Z220" s="96"/>
      <c r="AA220" s="97"/>
      <c r="AB220" s="96"/>
      <c r="AC220" s="98"/>
      <c r="AD220" s="98"/>
      <c r="AE220" s="98"/>
    </row>
    <row r="221" spans="2:31" x14ac:dyDescent="0.3">
      <c r="B221" s="96"/>
      <c r="C221" s="96"/>
      <c r="D221" s="96"/>
      <c r="E221" s="97"/>
      <c r="F221" s="96"/>
      <c r="G221" s="98"/>
      <c r="H221" s="96"/>
      <c r="I221" s="98"/>
      <c r="J221" s="97"/>
      <c r="K221" s="98"/>
      <c r="L221" s="100"/>
      <c r="M221" s="98"/>
      <c r="N221" s="96"/>
      <c r="O221" s="97"/>
      <c r="P221" s="70"/>
      <c r="Q221" s="97"/>
      <c r="R221" s="97"/>
      <c r="S221" s="98"/>
      <c r="T221" s="97"/>
      <c r="U221" s="98"/>
      <c r="V221" s="100"/>
      <c r="W221" s="98"/>
      <c r="X221" s="96"/>
      <c r="Y221" s="98"/>
      <c r="Z221" s="96"/>
      <c r="AA221" s="97"/>
      <c r="AB221" s="96"/>
      <c r="AC221" s="98"/>
      <c r="AD221" s="98"/>
      <c r="AE221" s="98"/>
    </row>
    <row r="222" spans="2:31" x14ac:dyDescent="0.3">
      <c r="B222" s="96"/>
      <c r="C222" s="96"/>
      <c r="D222" s="96"/>
      <c r="E222" s="97"/>
      <c r="F222" s="96"/>
      <c r="G222" s="98"/>
      <c r="H222" s="96"/>
      <c r="I222" s="98"/>
      <c r="J222" s="97"/>
      <c r="K222" s="98"/>
      <c r="L222" s="100"/>
      <c r="M222" s="98"/>
      <c r="N222" s="96"/>
      <c r="O222" s="97"/>
      <c r="P222" s="70"/>
      <c r="Q222" s="97"/>
      <c r="R222" s="97"/>
      <c r="S222" s="98"/>
      <c r="T222" s="97"/>
      <c r="U222" s="98"/>
      <c r="V222" s="100"/>
      <c r="W222" s="98"/>
      <c r="X222" s="96"/>
      <c r="Y222" s="98"/>
      <c r="Z222" s="96"/>
      <c r="AA222" s="97"/>
      <c r="AB222" s="96"/>
      <c r="AC222" s="98"/>
      <c r="AD222" s="98"/>
      <c r="AE222" s="98"/>
    </row>
    <row r="223" spans="2:31" x14ac:dyDescent="0.3">
      <c r="B223" s="96"/>
      <c r="C223" s="96"/>
      <c r="D223" s="96"/>
      <c r="E223" s="97"/>
      <c r="F223" s="96"/>
      <c r="G223" s="98"/>
      <c r="H223" s="96"/>
      <c r="I223" s="98"/>
      <c r="J223" s="97"/>
      <c r="K223" s="98"/>
      <c r="L223" s="100"/>
      <c r="M223" s="98"/>
      <c r="N223" s="96"/>
      <c r="O223" s="97"/>
      <c r="P223" s="70"/>
      <c r="Q223" s="97"/>
      <c r="R223" s="97"/>
      <c r="S223" s="98"/>
      <c r="T223" s="97"/>
      <c r="U223" s="98"/>
      <c r="V223" s="100"/>
      <c r="W223" s="98"/>
      <c r="X223" s="96"/>
      <c r="Y223" s="98"/>
      <c r="Z223" s="96"/>
      <c r="AA223" s="97"/>
      <c r="AB223" s="96"/>
      <c r="AC223" s="98"/>
      <c r="AD223" s="98"/>
      <c r="AE223" s="98"/>
    </row>
    <row r="224" spans="2:31" x14ac:dyDescent="0.3">
      <c r="B224" s="96"/>
      <c r="C224" s="96"/>
      <c r="D224" s="96"/>
      <c r="E224" s="97"/>
      <c r="F224" s="96"/>
      <c r="G224" s="98"/>
      <c r="H224" s="96"/>
      <c r="I224" s="98"/>
      <c r="J224" s="97"/>
      <c r="K224" s="98"/>
      <c r="L224" s="100"/>
      <c r="M224" s="98"/>
      <c r="N224" s="96"/>
      <c r="O224" s="97"/>
      <c r="P224" s="70"/>
      <c r="Q224" s="97"/>
      <c r="R224" s="97"/>
      <c r="S224" s="98"/>
      <c r="T224" s="97"/>
      <c r="U224" s="98"/>
      <c r="V224" s="100"/>
      <c r="W224" s="98"/>
      <c r="X224" s="96"/>
      <c r="Y224" s="98"/>
      <c r="Z224" s="96"/>
      <c r="AA224" s="97"/>
      <c r="AB224" s="96"/>
      <c r="AC224" s="98"/>
      <c r="AD224" s="98"/>
      <c r="AE224" s="98"/>
    </row>
    <row r="225" spans="2:31" x14ac:dyDescent="0.3">
      <c r="B225" s="96"/>
      <c r="C225" s="96"/>
      <c r="D225" s="96"/>
      <c r="E225" s="97"/>
      <c r="F225" s="96"/>
      <c r="G225" s="98"/>
      <c r="H225" s="96"/>
      <c r="I225" s="98"/>
      <c r="J225" s="97"/>
      <c r="K225" s="98"/>
      <c r="L225" s="100"/>
      <c r="M225" s="98"/>
      <c r="N225" s="96"/>
      <c r="O225" s="97"/>
      <c r="P225" s="70"/>
      <c r="Q225" s="97"/>
      <c r="R225" s="97"/>
      <c r="S225" s="98"/>
      <c r="T225" s="97"/>
      <c r="U225" s="98"/>
      <c r="V225" s="100"/>
      <c r="W225" s="98"/>
      <c r="X225" s="96"/>
      <c r="Y225" s="98"/>
      <c r="Z225" s="96"/>
      <c r="AA225" s="97"/>
      <c r="AB225" s="96"/>
      <c r="AC225" s="98"/>
      <c r="AD225" s="98"/>
      <c r="AE225" s="98"/>
    </row>
    <row r="226" spans="2:31" x14ac:dyDescent="0.3">
      <c r="B226" s="96"/>
      <c r="C226" s="96"/>
      <c r="D226" s="96"/>
      <c r="E226" s="97"/>
      <c r="F226" s="96"/>
      <c r="G226" s="98"/>
      <c r="H226" s="96"/>
      <c r="I226" s="98"/>
      <c r="J226" s="97"/>
      <c r="K226" s="98"/>
      <c r="L226" s="100"/>
      <c r="M226" s="98"/>
      <c r="N226" s="96"/>
      <c r="O226" s="97"/>
      <c r="P226" s="70"/>
      <c r="Q226" s="97"/>
      <c r="R226" s="97"/>
      <c r="S226" s="98"/>
      <c r="T226" s="97"/>
      <c r="U226" s="98"/>
      <c r="V226" s="100"/>
      <c r="W226" s="98"/>
      <c r="X226" s="96"/>
      <c r="Y226" s="98"/>
      <c r="Z226" s="96"/>
      <c r="AA226" s="97"/>
      <c r="AB226" s="96"/>
      <c r="AC226" s="98"/>
      <c r="AD226" s="98"/>
      <c r="AE226" s="98"/>
    </row>
    <row r="227" spans="2:31" x14ac:dyDescent="0.3">
      <c r="B227" s="96"/>
      <c r="C227" s="96"/>
      <c r="D227" s="96"/>
      <c r="E227" s="97"/>
      <c r="F227" s="96"/>
      <c r="G227" s="98"/>
      <c r="H227" s="96"/>
      <c r="I227" s="98"/>
      <c r="J227" s="97"/>
      <c r="K227" s="98"/>
      <c r="L227" s="100"/>
      <c r="M227" s="98"/>
      <c r="N227" s="96"/>
      <c r="O227" s="97"/>
      <c r="P227" s="70"/>
      <c r="Q227" s="97"/>
      <c r="R227" s="97"/>
      <c r="S227" s="98"/>
      <c r="T227" s="97"/>
      <c r="U227" s="98"/>
      <c r="V227" s="100"/>
      <c r="W227" s="98"/>
      <c r="X227" s="96"/>
      <c r="Y227" s="98"/>
      <c r="Z227" s="96"/>
      <c r="AA227" s="97"/>
      <c r="AB227" s="96"/>
      <c r="AC227" s="98"/>
      <c r="AD227" s="98"/>
      <c r="AE227" s="98"/>
    </row>
    <row r="228" spans="2:31" x14ac:dyDescent="0.3">
      <c r="B228" s="96"/>
      <c r="C228" s="96"/>
      <c r="D228" s="96"/>
      <c r="E228" s="97"/>
      <c r="F228" s="96"/>
      <c r="G228" s="98"/>
      <c r="H228" s="96"/>
      <c r="I228" s="98"/>
      <c r="J228" s="97"/>
      <c r="K228" s="98"/>
      <c r="L228" s="100"/>
      <c r="M228" s="98"/>
      <c r="N228" s="96"/>
      <c r="O228" s="97"/>
      <c r="P228" s="70"/>
      <c r="Q228" s="97"/>
      <c r="R228" s="97"/>
      <c r="S228" s="98"/>
      <c r="T228" s="97"/>
      <c r="U228" s="98"/>
      <c r="V228" s="100"/>
      <c r="W228" s="98"/>
      <c r="X228" s="96"/>
      <c r="Y228" s="98"/>
      <c r="Z228" s="96"/>
      <c r="AA228" s="97"/>
      <c r="AB228" s="96"/>
      <c r="AC228" s="98"/>
      <c r="AD228" s="98"/>
      <c r="AE228" s="98"/>
    </row>
    <row r="229" spans="2:31" x14ac:dyDescent="0.3">
      <c r="B229" s="96"/>
      <c r="C229" s="96"/>
      <c r="D229" s="96"/>
      <c r="E229" s="97"/>
      <c r="F229" s="96"/>
      <c r="G229" s="98"/>
      <c r="H229" s="96"/>
      <c r="I229" s="98"/>
      <c r="J229" s="97"/>
      <c r="K229" s="98"/>
      <c r="L229" s="100"/>
      <c r="M229" s="98"/>
      <c r="N229" s="96"/>
      <c r="O229" s="97"/>
      <c r="P229" s="70"/>
      <c r="Q229" s="97"/>
      <c r="R229" s="97"/>
      <c r="S229" s="98"/>
      <c r="T229" s="97"/>
      <c r="U229" s="98"/>
      <c r="V229" s="100"/>
      <c r="W229" s="98"/>
      <c r="X229" s="96"/>
      <c r="Y229" s="98"/>
      <c r="Z229" s="96"/>
      <c r="AA229" s="97"/>
      <c r="AB229" s="96"/>
      <c r="AC229" s="98"/>
      <c r="AD229" s="98"/>
      <c r="AE229" s="98"/>
    </row>
    <row r="230" spans="2:31" x14ac:dyDescent="0.3">
      <c r="B230" s="96"/>
      <c r="C230" s="96"/>
      <c r="D230" s="96"/>
      <c r="E230" s="97"/>
      <c r="F230" s="96"/>
      <c r="G230" s="98"/>
      <c r="H230" s="96"/>
      <c r="I230" s="98"/>
      <c r="J230" s="97"/>
      <c r="K230" s="98"/>
      <c r="L230" s="100"/>
      <c r="M230" s="98"/>
      <c r="N230" s="96"/>
      <c r="O230" s="97"/>
      <c r="P230" s="70"/>
      <c r="Q230" s="97"/>
      <c r="R230" s="97"/>
      <c r="S230" s="98"/>
      <c r="T230" s="97"/>
      <c r="U230" s="98"/>
      <c r="V230" s="100"/>
      <c r="W230" s="98"/>
      <c r="X230" s="96"/>
      <c r="Y230" s="98"/>
      <c r="Z230" s="96"/>
      <c r="AA230" s="97"/>
      <c r="AB230" s="96"/>
      <c r="AC230" s="98"/>
      <c r="AD230" s="98"/>
      <c r="AE230" s="98"/>
    </row>
    <row r="231" spans="2:31" x14ac:dyDescent="0.3">
      <c r="B231" s="96"/>
      <c r="C231" s="96"/>
      <c r="D231" s="96"/>
      <c r="E231" s="97"/>
      <c r="F231" s="96"/>
      <c r="G231" s="98"/>
      <c r="H231" s="96"/>
      <c r="I231" s="98"/>
      <c r="J231" s="97"/>
      <c r="K231" s="98"/>
      <c r="L231" s="100"/>
      <c r="M231" s="98"/>
      <c r="N231" s="96"/>
      <c r="O231" s="97"/>
      <c r="P231" s="70"/>
      <c r="Q231" s="97"/>
      <c r="R231" s="97"/>
      <c r="S231" s="98"/>
      <c r="T231" s="97"/>
      <c r="U231" s="98"/>
      <c r="V231" s="100"/>
      <c r="W231" s="98"/>
      <c r="X231" s="96"/>
      <c r="Y231" s="98"/>
      <c r="Z231" s="96"/>
      <c r="AA231" s="97"/>
      <c r="AB231" s="96"/>
      <c r="AC231" s="98"/>
      <c r="AD231" s="98"/>
      <c r="AE231" s="98"/>
    </row>
    <row r="232" spans="2:31" x14ac:dyDescent="0.3">
      <c r="B232" s="96"/>
      <c r="C232" s="96"/>
      <c r="D232" s="96"/>
      <c r="E232" s="97"/>
      <c r="F232" s="96"/>
      <c r="G232" s="98"/>
      <c r="H232" s="96"/>
      <c r="I232" s="98"/>
      <c r="J232" s="97"/>
      <c r="K232" s="98"/>
      <c r="L232" s="100"/>
      <c r="M232" s="98"/>
      <c r="N232" s="96"/>
      <c r="O232" s="97"/>
      <c r="P232" s="70"/>
      <c r="Q232" s="97"/>
      <c r="R232" s="97"/>
      <c r="S232" s="98"/>
      <c r="T232" s="97"/>
      <c r="U232" s="98"/>
      <c r="V232" s="100"/>
      <c r="W232" s="98"/>
      <c r="X232" s="96"/>
      <c r="Y232" s="98"/>
      <c r="Z232" s="96"/>
      <c r="AA232" s="97"/>
      <c r="AB232" s="96"/>
      <c r="AC232" s="98"/>
      <c r="AD232" s="98"/>
      <c r="AE232" s="98"/>
    </row>
    <row r="233" spans="2:31" x14ac:dyDescent="0.3">
      <c r="B233" s="96"/>
      <c r="C233" s="96"/>
      <c r="D233" s="96"/>
      <c r="E233" s="97"/>
      <c r="F233" s="96"/>
      <c r="G233" s="98"/>
      <c r="H233" s="96"/>
      <c r="I233" s="98"/>
      <c r="J233" s="97"/>
      <c r="K233" s="98"/>
      <c r="L233" s="100"/>
      <c r="M233" s="98"/>
      <c r="N233" s="96"/>
      <c r="O233" s="97"/>
      <c r="P233" s="70"/>
      <c r="Q233" s="97"/>
      <c r="R233" s="97"/>
      <c r="S233" s="98"/>
      <c r="T233" s="97"/>
      <c r="U233" s="98"/>
      <c r="V233" s="100"/>
      <c r="W233" s="98"/>
      <c r="X233" s="96"/>
      <c r="Y233" s="98"/>
      <c r="Z233" s="96"/>
      <c r="AA233" s="97"/>
      <c r="AB233" s="96"/>
      <c r="AC233" s="98"/>
      <c r="AD233" s="98"/>
      <c r="AE233" s="98"/>
    </row>
    <row r="234" spans="2:31" x14ac:dyDescent="0.3">
      <c r="B234" s="96"/>
      <c r="C234" s="96"/>
      <c r="D234" s="96"/>
      <c r="E234" s="97"/>
      <c r="F234" s="96"/>
      <c r="G234" s="98"/>
      <c r="H234" s="96"/>
      <c r="I234" s="98"/>
      <c r="J234" s="97"/>
      <c r="K234" s="98"/>
      <c r="L234" s="100"/>
      <c r="M234" s="98"/>
      <c r="N234" s="96"/>
      <c r="O234" s="97"/>
      <c r="P234" s="70"/>
      <c r="Q234" s="97"/>
      <c r="R234" s="97"/>
      <c r="S234" s="98"/>
      <c r="T234" s="97"/>
      <c r="U234" s="98"/>
      <c r="V234" s="100"/>
      <c r="W234" s="98"/>
      <c r="X234" s="96"/>
      <c r="Y234" s="98"/>
      <c r="Z234" s="96"/>
      <c r="AA234" s="97"/>
      <c r="AB234" s="96"/>
      <c r="AC234" s="98"/>
      <c r="AD234" s="98"/>
      <c r="AE234" s="98"/>
    </row>
    <row r="235" spans="2:31" x14ac:dyDescent="0.3">
      <c r="B235" s="96"/>
      <c r="C235" s="96"/>
      <c r="D235" s="96"/>
      <c r="E235" s="97"/>
      <c r="F235" s="96"/>
      <c r="G235" s="98"/>
      <c r="H235" s="96"/>
      <c r="I235" s="98"/>
      <c r="J235" s="97"/>
      <c r="K235" s="98"/>
      <c r="L235" s="100"/>
      <c r="M235" s="98"/>
      <c r="N235" s="96"/>
      <c r="O235" s="97"/>
      <c r="P235" s="70"/>
      <c r="Q235" s="97"/>
      <c r="R235" s="97"/>
      <c r="S235" s="98"/>
      <c r="T235" s="97"/>
      <c r="U235" s="98"/>
      <c r="V235" s="100"/>
      <c r="W235" s="98"/>
      <c r="X235" s="96"/>
      <c r="Y235" s="98"/>
      <c r="Z235" s="96"/>
      <c r="AA235" s="97"/>
      <c r="AB235" s="96"/>
      <c r="AC235" s="98"/>
      <c r="AD235" s="98"/>
      <c r="AE235" s="98"/>
    </row>
    <row r="236" spans="2:31" x14ac:dyDescent="0.3">
      <c r="B236" s="96"/>
      <c r="C236" s="96"/>
      <c r="D236" s="96"/>
      <c r="E236" s="97"/>
      <c r="F236" s="96"/>
      <c r="G236" s="98"/>
      <c r="H236" s="96"/>
      <c r="I236" s="98"/>
      <c r="J236" s="97"/>
      <c r="K236" s="98"/>
      <c r="L236" s="100"/>
      <c r="M236" s="98"/>
      <c r="N236" s="96"/>
      <c r="O236" s="97"/>
      <c r="P236" s="70"/>
      <c r="Q236" s="97"/>
      <c r="R236" s="97"/>
      <c r="S236" s="98"/>
      <c r="T236" s="97"/>
      <c r="U236" s="98"/>
      <c r="V236" s="100"/>
      <c r="W236" s="98"/>
      <c r="X236" s="96"/>
      <c r="Y236" s="98"/>
      <c r="Z236" s="96"/>
      <c r="AA236" s="97"/>
      <c r="AB236" s="96"/>
      <c r="AC236" s="98"/>
      <c r="AD236" s="98"/>
      <c r="AE236" s="98"/>
    </row>
    <row r="237" spans="2:31" x14ac:dyDescent="0.3">
      <c r="B237" s="96"/>
      <c r="C237" s="96"/>
      <c r="D237" s="96"/>
      <c r="E237" s="97"/>
      <c r="F237" s="96"/>
      <c r="G237" s="98"/>
      <c r="H237" s="96"/>
      <c r="I237" s="98"/>
      <c r="J237" s="97"/>
      <c r="K237" s="98"/>
      <c r="L237" s="100"/>
      <c r="M237" s="98"/>
      <c r="N237" s="96"/>
      <c r="O237" s="97"/>
      <c r="P237" s="70"/>
      <c r="Q237" s="97"/>
      <c r="R237" s="97"/>
      <c r="S237" s="98"/>
      <c r="T237" s="97"/>
      <c r="U237" s="98"/>
      <c r="V237" s="100"/>
      <c r="W237" s="98"/>
      <c r="X237" s="96"/>
      <c r="Y237" s="98"/>
      <c r="Z237" s="96"/>
      <c r="AA237" s="97"/>
      <c r="AB237" s="96"/>
      <c r="AC237" s="98"/>
      <c r="AD237" s="98"/>
      <c r="AE237" s="98"/>
    </row>
    <row r="238" spans="2:31" x14ac:dyDescent="0.3">
      <c r="B238" s="96"/>
      <c r="C238" s="96"/>
      <c r="D238" s="96"/>
      <c r="E238" s="97"/>
      <c r="F238" s="96"/>
      <c r="G238" s="98"/>
      <c r="H238" s="96"/>
      <c r="I238" s="98"/>
      <c r="J238" s="97"/>
      <c r="K238" s="98"/>
      <c r="L238" s="100"/>
      <c r="M238" s="98"/>
      <c r="N238" s="96"/>
      <c r="O238" s="97"/>
      <c r="P238" s="70"/>
      <c r="Q238" s="97"/>
      <c r="R238" s="97"/>
      <c r="S238" s="98"/>
      <c r="T238" s="97"/>
      <c r="U238" s="98"/>
      <c r="V238" s="100"/>
      <c r="W238" s="98"/>
      <c r="X238" s="96"/>
      <c r="Y238" s="98"/>
      <c r="Z238" s="96"/>
      <c r="AA238" s="97"/>
      <c r="AB238" s="96"/>
      <c r="AC238" s="98"/>
      <c r="AD238" s="98"/>
      <c r="AE238" s="98"/>
    </row>
    <row r="239" spans="2:31" x14ac:dyDescent="0.3">
      <c r="B239" s="96"/>
      <c r="C239" s="96"/>
      <c r="D239" s="96"/>
      <c r="E239" s="97"/>
      <c r="F239" s="96"/>
      <c r="G239" s="98"/>
      <c r="H239" s="96"/>
      <c r="I239" s="98"/>
      <c r="J239" s="97"/>
      <c r="K239" s="98"/>
      <c r="L239" s="100"/>
      <c r="M239" s="98"/>
      <c r="N239" s="96"/>
      <c r="O239" s="97"/>
      <c r="P239" s="70"/>
      <c r="Q239" s="97"/>
      <c r="R239" s="97"/>
      <c r="S239" s="98"/>
      <c r="T239" s="97"/>
      <c r="U239" s="98"/>
      <c r="V239" s="100"/>
      <c r="W239" s="98"/>
      <c r="X239" s="96"/>
      <c r="Y239" s="98"/>
      <c r="Z239" s="96"/>
      <c r="AA239" s="97"/>
      <c r="AB239" s="96"/>
      <c r="AC239" s="98"/>
      <c r="AD239" s="98"/>
      <c r="AE239" s="98"/>
    </row>
    <row r="240" spans="2:31" x14ac:dyDescent="0.3">
      <c r="B240" s="96"/>
      <c r="C240" s="96"/>
      <c r="D240" s="96"/>
      <c r="E240" s="97"/>
      <c r="F240" s="96"/>
      <c r="G240" s="98"/>
      <c r="H240" s="96"/>
      <c r="I240" s="98"/>
      <c r="J240" s="97"/>
      <c r="K240" s="98"/>
      <c r="L240" s="100"/>
      <c r="M240" s="98"/>
      <c r="N240" s="96"/>
      <c r="O240" s="97"/>
      <c r="P240" s="70"/>
      <c r="Q240" s="97"/>
      <c r="R240" s="97"/>
      <c r="S240" s="98"/>
      <c r="T240" s="97"/>
      <c r="U240" s="98"/>
      <c r="V240" s="100"/>
      <c r="W240" s="98"/>
      <c r="X240" s="96"/>
      <c r="Y240" s="98"/>
      <c r="Z240" s="96"/>
      <c r="AA240" s="97"/>
      <c r="AB240" s="96"/>
      <c r="AC240" s="98"/>
      <c r="AD240" s="98"/>
      <c r="AE240" s="98"/>
    </row>
    <row r="241" spans="2:31" x14ac:dyDescent="0.3">
      <c r="B241" s="96"/>
      <c r="C241" s="96"/>
      <c r="D241" s="96"/>
      <c r="E241" s="97"/>
      <c r="F241" s="96"/>
      <c r="G241" s="98"/>
      <c r="H241" s="96"/>
      <c r="I241" s="98"/>
      <c r="J241" s="97"/>
      <c r="K241" s="98"/>
      <c r="L241" s="100"/>
      <c r="M241" s="98"/>
      <c r="N241" s="96"/>
      <c r="O241" s="97"/>
      <c r="P241" s="70"/>
      <c r="Q241" s="97"/>
      <c r="R241" s="97"/>
      <c r="S241" s="98"/>
      <c r="T241" s="97"/>
      <c r="U241" s="98"/>
      <c r="V241" s="100"/>
      <c r="W241" s="98"/>
      <c r="X241" s="96"/>
      <c r="Y241" s="98"/>
      <c r="Z241" s="96"/>
      <c r="AA241" s="97"/>
      <c r="AB241" s="96"/>
      <c r="AC241" s="98"/>
      <c r="AD241" s="98"/>
      <c r="AE241" s="98"/>
    </row>
    <row r="242" spans="2:31" x14ac:dyDescent="0.3">
      <c r="B242" s="96"/>
      <c r="C242" s="96"/>
      <c r="D242" s="96"/>
      <c r="E242" s="97"/>
      <c r="F242" s="96"/>
      <c r="G242" s="98"/>
      <c r="H242" s="96"/>
      <c r="I242" s="98"/>
      <c r="J242" s="97"/>
      <c r="K242" s="98"/>
      <c r="L242" s="100"/>
      <c r="M242" s="98"/>
      <c r="N242" s="96"/>
      <c r="O242" s="97"/>
      <c r="P242" s="70"/>
      <c r="Q242" s="97"/>
      <c r="R242" s="97"/>
      <c r="S242" s="98"/>
      <c r="T242" s="97"/>
      <c r="U242" s="98"/>
      <c r="V242" s="100"/>
      <c r="W242" s="98"/>
      <c r="X242" s="96"/>
      <c r="Y242" s="98"/>
      <c r="Z242" s="96"/>
      <c r="AA242" s="97"/>
      <c r="AB242" s="96"/>
      <c r="AC242" s="98"/>
      <c r="AD242" s="98"/>
      <c r="AE242" s="98"/>
    </row>
    <row r="243" spans="2:31" x14ac:dyDescent="0.3">
      <c r="B243" s="96"/>
      <c r="C243" s="96"/>
      <c r="D243" s="96"/>
      <c r="E243" s="97"/>
      <c r="F243" s="96"/>
      <c r="G243" s="98"/>
      <c r="H243" s="96"/>
      <c r="I243" s="98"/>
      <c r="J243" s="97"/>
      <c r="K243" s="98"/>
      <c r="L243" s="100"/>
      <c r="M243" s="98"/>
      <c r="N243" s="96"/>
      <c r="O243" s="97"/>
      <c r="P243" s="70"/>
      <c r="Q243" s="97"/>
      <c r="R243" s="97"/>
      <c r="S243" s="98"/>
      <c r="T243" s="97"/>
      <c r="U243" s="98"/>
      <c r="V243" s="100"/>
      <c r="W243" s="98"/>
      <c r="X243" s="96"/>
      <c r="Y243" s="98"/>
      <c r="Z243" s="96"/>
      <c r="AA243" s="97"/>
      <c r="AB243" s="96"/>
      <c r="AC243" s="98"/>
      <c r="AD243" s="98"/>
      <c r="AE243" s="98"/>
    </row>
    <row r="244" spans="2:31" x14ac:dyDescent="0.3">
      <c r="B244" s="96"/>
      <c r="C244" s="96"/>
      <c r="D244" s="96"/>
      <c r="E244" s="97"/>
      <c r="F244" s="96"/>
      <c r="G244" s="98"/>
      <c r="H244" s="96"/>
      <c r="I244" s="98"/>
      <c r="J244" s="97"/>
      <c r="K244" s="98"/>
      <c r="L244" s="100"/>
      <c r="M244" s="98"/>
      <c r="N244" s="96"/>
      <c r="O244" s="97"/>
      <c r="P244" s="70"/>
      <c r="Q244" s="97"/>
      <c r="R244" s="97"/>
      <c r="S244" s="98"/>
      <c r="T244" s="97"/>
      <c r="U244" s="98"/>
      <c r="V244" s="100"/>
      <c r="W244" s="98"/>
      <c r="X244" s="96"/>
      <c r="Y244" s="98"/>
      <c r="Z244" s="96"/>
      <c r="AA244" s="97"/>
      <c r="AB244" s="96"/>
      <c r="AC244" s="98"/>
      <c r="AD244" s="98"/>
      <c r="AE244" s="98"/>
    </row>
    <row r="245" spans="2:31" x14ac:dyDescent="0.3">
      <c r="B245" s="96"/>
      <c r="C245" s="96"/>
      <c r="D245" s="96"/>
      <c r="E245" s="97"/>
      <c r="F245" s="96"/>
      <c r="G245" s="98"/>
      <c r="H245" s="96"/>
      <c r="I245" s="98"/>
      <c r="J245" s="97"/>
      <c r="K245" s="98"/>
      <c r="L245" s="100"/>
      <c r="M245" s="98"/>
      <c r="N245" s="96"/>
      <c r="O245" s="97"/>
      <c r="P245" s="70"/>
      <c r="Q245" s="97"/>
      <c r="R245" s="97"/>
      <c r="S245" s="98"/>
      <c r="T245" s="97"/>
      <c r="U245" s="98"/>
      <c r="V245" s="100"/>
      <c r="W245" s="98"/>
      <c r="X245" s="96"/>
      <c r="Y245" s="98"/>
      <c r="Z245" s="96"/>
      <c r="AA245" s="97"/>
      <c r="AB245" s="96"/>
      <c r="AC245" s="98"/>
      <c r="AD245" s="98"/>
      <c r="AE245" s="98"/>
    </row>
    <row r="246" spans="2:31" x14ac:dyDescent="0.3">
      <c r="B246" s="96"/>
      <c r="C246" s="96"/>
      <c r="D246" s="96"/>
      <c r="E246" s="97"/>
      <c r="F246" s="96"/>
      <c r="G246" s="98"/>
      <c r="H246" s="96"/>
      <c r="I246" s="98"/>
      <c r="J246" s="97"/>
      <c r="K246" s="98"/>
      <c r="L246" s="100"/>
      <c r="M246" s="98"/>
      <c r="N246" s="96"/>
      <c r="O246" s="97"/>
      <c r="P246" s="70"/>
      <c r="Q246" s="97"/>
      <c r="R246" s="97"/>
      <c r="S246" s="98"/>
      <c r="T246" s="97"/>
      <c r="U246" s="98"/>
      <c r="V246" s="100"/>
      <c r="W246" s="98"/>
      <c r="X246" s="96"/>
      <c r="Y246" s="98"/>
      <c r="Z246" s="96"/>
      <c r="AA246" s="97"/>
      <c r="AB246" s="96"/>
      <c r="AC246" s="98"/>
      <c r="AD246" s="98"/>
      <c r="AE246" s="98"/>
    </row>
    <row r="247" spans="2:31" x14ac:dyDescent="0.3">
      <c r="B247" s="96"/>
      <c r="C247" s="96"/>
      <c r="D247" s="96"/>
      <c r="E247" s="97"/>
      <c r="F247" s="96"/>
      <c r="G247" s="98"/>
      <c r="H247" s="96"/>
      <c r="I247" s="98"/>
      <c r="J247" s="97"/>
      <c r="K247" s="98"/>
      <c r="L247" s="100"/>
      <c r="M247" s="98"/>
      <c r="N247" s="96"/>
      <c r="O247" s="97"/>
      <c r="P247" s="70"/>
      <c r="Q247" s="97"/>
      <c r="R247" s="97"/>
      <c r="S247" s="98"/>
      <c r="T247" s="97"/>
      <c r="U247" s="98"/>
      <c r="V247" s="100"/>
      <c r="W247" s="98"/>
      <c r="X247" s="96"/>
      <c r="Y247" s="98"/>
      <c r="Z247" s="96"/>
      <c r="AA247" s="97"/>
      <c r="AB247" s="96"/>
      <c r="AC247" s="98"/>
      <c r="AD247" s="98"/>
      <c r="AE247" s="98"/>
    </row>
    <row r="248" spans="2:31" x14ac:dyDescent="0.3">
      <c r="B248" s="96"/>
      <c r="C248" s="96"/>
      <c r="D248" s="96"/>
      <c r="E248" s="97"/>
      <c r="F248" s="96"/>
      <c r="G248" s="98"/>
      <c r="H248" s="96"/>
      <c r="I248" s="98"/>
      <c r="J248" s="97"/>
      <c r="K248" s="98"/>
      <c r="L248" s="100"/>
      <c r="M248" s="98"/>
      <c r="N248" s="96"/>
      <c r="O248" s="97"/>
      <c r="P248" s="70"/>
      <c r="Q248" s="97"/>
      <c r="R248" s="97"/>
      <c r="S248" s="98"/>
      <c r="T248" s="97"/>
      <c r="U248" s="98"/>
      <c r="V248" s="100"/>
      <c r="W248" s="98"/>
      <c r="X248" s="96"/>
      <c r="Y248" s="98"/>
      <c r="Z248" s="96"/>
      <c r="AA248" s="97"/>
      <c r="AB248" s="96"/>
      <c r="AC248" s="98"/>
      <c r="AD248" s="98"/>
      <c r="AE248" s="98"/>
    </row>
    <row r="249" spans="2:31" x14ac:dyDescent="0.3">
      <c r="B249" s="96"/>
      <c r="C249" s="96"/>
      <c r="D249" s="96"/>
      <c r="E249" s="97"/>
      <c r="F249" s="96"/>
      <c r="G249" s="98"/>
      <c r="H249" s="96"/>
      <c r="I249" s="98"/>
      <c r="J249" s="97"/>
      <c r="K249" s="98"/>
      <c r="L249" s="100"/>
      <c r="M249" s="98"/>
      <c r="N249" s="96"/>
      <c r="O249" s="97"/>
      <c r="P249" s="70"/>
      <c r="Q249" s="97"/>
      <c r="R249" s="97"/>
      <c r="S249" s="98"/>
      <c r="T249" s="97"/>
      <c r="U249" s="98"/>
      <c r="V249" s="100"/>
      <c r="W249" s="98"/>
      <c r="X249" s="96"/>
      <c r="Y249" s="98"/>
      <c r="Z249" s="96"/>
      <c r="AA249" s="97"/>
      <c r="AB249" s="96"/>
      <c r="AC249" s="98"/>
      <c r="AD249" s="98"/>
      <c r="AE249" s="98"/>
    </row>
    <row r="250" spans="2:31" x14ac:dyDescent="0.3">
      <c r="B250" s="96"/>
      <c r="C250" s="96"/>
      <c r="D250" s="96"/>
      <c r="E250" s="97"/>
      <c r="F250" s="96"/>
      <c r="G250" s="98"/>
      <c r="H250" s="96"/>
      <c r="I250" s="98"/>
      <c r="J250" s="97"/>
      <c r="K250" s="98"/>
      <c r="L250" s="100"/>
      <c r="M250" s="98"/>
      <c r="N250" s="96"/>
      <c r="O250" s="97"/>
      <c r="P250" s="70"/>
      <c r="Q250" s="97"/>
      <c r="R250" s="97"/>
      <c r="S250" s="98"/>
      <c r="T250" s="97"/>
      <c r="U250" s="98"/>
      <c r="V250" s="100"/>
      <c r="W250" s="98"/>
      <c r="X250" s="96"/>
      <c r="Y250" s="98"/>
      <c r="Z250" s="96"/>
      <c r="AA250" s="97"/>
      <c r="AB250" s="96"/>
      <c r="AC250" s="98"/>
      <c r="AD250" s="98"/>
      <c r="AE250" s="98"/>
    </row>
    <row r="251" spans="2:31" x14ac:dyDescent="0.3">
      <c r="B251" s="96"/>
      <c r="C251" s="96"/>
      <c r="D251" s="96"/>
      <c r="E251" s="97"/>
      <c r="F251" s="96"/>
      <c r="G251" s="98"/>
      <c r="H251" s="96"/>
      <c r="I251" s="98"/>
      <c r="J251" s="97"/>
      <c r="K251" s="98"/>
      <c r="L251" s="100"/>
      <c r="M251" s="98"/>
      <c r="N251" s="96"/>
      <c r="O251" s="97"/>
      <c r="P251" s="70"/>
      <c r="Q251" s="97"/>
      <c r="R251" s="97"/>
      <c r="S251" s="98"/>
      <c r="T251" s="97"/>
      <c r="U251" s="98"/>
      <c r="V251" s="100"/>
      <c r="W251" s="98"/>
      <c r="X251" s="96"/>
      <c r="Y251" s="98"/>
      <c r="Z251" s="96"/>
      <c r="AA251" s="97"/>
      <c r="AB251" s="96"/>
      <c r="AC251" s="98"/>
      <c r="AD251" s="98"/>
      <c r="AE251" s="98"/>
    </row>
    <row r="252" spans="2:31" x14ac:dyDescent="0.3">
      <c r="B252" s="96"/>
      <c r="C252" s="96"/>
      <c r="D252" s="96"/>
      <c r="E252" s="97"/>
      <c r="F252" s="96"/>
      <c r="G252" s="98"/>
      <c r="H252" s="96"/>
      <c r="I252" s="98"/>
      <c r="J252" s="97"/>
      <c r="K252" s="98"/>
      <c r="L252" s="100"/>
      <c r="M252" s="98"/>
      <c r="N252" s="96"/>
      <c r="O252" s="97"/>
      <c r="P252" s="70"/>
      <c r="Q252" s="97"/>
      <c r="R252" s="97"/>
      <c r="S252" s="98"/>
      <c r="T252" s="97"/>
      <c r="U252" s="98"/>
      <c r="V252" s="100"/>
      <c r="W252" s="98"/>
      <c r="X252" s="96"/>
      <c r="Y252" s="98"/>
      <c r="Z252" s="96"/>
      <c r="AA252" s="97"/>
      <c r="AB252" s="96"/>
      <c r="AC252" s="98"/>
      <c r="AD252" s="98"/>
      <c r="AE252" s="98"/>
    </row>
    <row r="253" spans="2:31" x14ac:dyDescent="0.3">
      <c r="B253" s="96"/>
      <c r="C253" s="96"/>
      <c r="D253" s="96"/>
      <c r="E253" s="97"/>
      <c r="F253" s="96"/>
      <c r="G253" s="98"/>
      <c r="H253" s="96"/>
      <c r="I253" s="98"/>
      <c r="J253" s="97"/>
      <c r="K253" s="98"/>
      <c r="L253" s="100"/>
      <c r="M253" s="98"/>
      <c r="N253" s="96"/>
      <c r="O253" s="97"/>
      <c r="P253" s="70"/>
      <c r="Q253" s="97"/>
      <c r="R253" s="97"/>
      <c r="S253" s="98"/>
      <c r="T253" s="97"/>
      <c r="U253" s="98"/>
      <c r="V253" s="100"/>
      <c r="W253" s="98"/>
      <c r="X253" s="96"/>
      <c r="Y253" s="98"/>
      <c r="Z253" s="96"/>
      <c r="AA253" s="97"/>
      <c r="AB253" s="96"/>
      <c r="AC253" s="98"/>
      <c r="AD253" s="98"/>
      <c r="AE253" s="98"/>
    </row>
    <row r="254" spans="2:31" x14ac:dyDescent="0.3">
      <c r="B254" s="96"/>
      <c r="C254" s="96"/>
      <c r="D254" s="96"/>
      <c r="E254" s="97"/>
      <c r="F254" s="96"/>
      <c r="G254" s="98"/>
      <c r="H254" s="96"/>
      <c r="I254" s="98"/>
      <c r="J254" s="97"/>
      <c r="K254" s="98"/>
      <c r="L254" s="100"/>
      <c r="M254" s="98"/>
      <c r="N254" s="96"/>
      <c r="O254" s="97"/>
      <c r="P254" s="70"/>
      <c r="Q254" s="97"/>
      <c r="R254" s="97"/>
      <c r="S254" s="98"/>
      <c r="T254" s="97"/>
      <c r="U254" s="98"/>
      <c r="V254" s="100"/>
      <c r="W254" s="98"/>
      <c r="X254" s="96"/>
      <c r="Y254" s="98"/>
      <c r="Z254" s="96"/>
      <c r="AA254" s="97"/>
      <c r="AB254" s="96"/>
      <c r="AC254" s="98"/>
      <c r="AD254" s="98"/>
      <c r="AE254" s="98"/>
    </row>
    <row r="255" spans="2:31" x14ac:dyDescent="0.3">
      <c r="B255" s="96"/>
      <c r="C255" s="96"/>
      <c r="D255" s="96"/>
      <c r="E255" s="97"/>
      <c r="F255" s="96"/>
      <c r="G255" s="98"/>
      <c r="H255" s="96"/>
      <c r="I255" s="98"/>
      <c r="J255" s="97"/>
      <c r="K255" s="98"/>
      <c r="L255" s="100"/>
      <c r="M255" s="98"/>
      <c r="N255" s="96"/>
      <c r="O255" s="97"/>
      <c r="P255" s="70"/>
      <c r="Q255" s="97"/>
      <c r="R255" s="97"/>
      <c r="S255" s="98"/>
      <c r="T255" s="97"/>
      <c r="U255" s="98"/>
      <c r="V255" s="100"/>
      <c r="W255" s="98"/>
      <c r="X255" s="96"/>
      <c r="Y255" s="98"/>
      <c r="Z255" s="96"/>
      <c r="AA255" s="97"/>
      <c r="AB255" s="96"/>
      <c r="AC255" s="98"/>
      <c r="AD255" s="98"/>
      <c r="AE255" s="98"/>
    </row>
    <row r="256" spans="2:31" x14ac:dyDescent="0.3">
      <c r="B256" s="96"/>
      <c r="C256" s="96"/>
      <c r="D256" s="96"/>
      <c r="E256" s="97"/>
      <c r="F256" s="96"/>
      <c r="G256" s="98"/>
      <c r="H256" s="96"/>
      <c r="I256" s="98"/>
      <c r="J256" s="97"/>
      <c r="K256" s="98"/>
      <c r="L256" s="100"/>
      <c r="M256" s="98"/>
      <c r="N256" s="96"/>
      <c r="O256" s="97"/>
      <c r="P256" s="70"/>
      <c r="Q256" s="97"/>
      <c r="R256" s="97"/>
      <c r="S256" s="98"/>
      <c r="T256" s="97"/>
      <c r="U256" s="98"/>
      <c r="V256" s="100"/>
      <c r="W256" s="98"/>
      <c r="X256" s="96"/>
      <c r="Y256" s="98"/>
      <c r="Z256" s="96"/>
      <c r="AA256" s="97"/>
      <c r="AB256" s="96"/>
      <c r="AC256" s="98"/>
      <c r="AD256" s="98"/>
      <c r="AE256" s="98"/>
    </row>
    <row r="257" spans="2:31" x14ac:dyDescent="0.3">
      <c r="B257" s="96"/>
      <c r="C257" s="96"/>
      <c r="D257" s="96"/>
      <c r="E257" s="97"/>
      <c r="F257" s="96"/>
      <c r="G257" s="98"/>
      <c r="H257" s="96"/>
      <c r="I257" s="98"/>
      <c r="J257" s="97"/>
      <c r="K257" s="98"/>
      <c r="L257" s="100"/>
      <c r="M257" s="98"/>
      <c r="N257" s="96"/>
      <c r="O257" s="97"/>
      <c r="P257" s="70"/>
      <c r="Q257" s="97"/>
      <c r="R257" s="97"/>
      <c r="S257" s="98"/>
      <c r="T257" s="97"/>
      <c r="U257" s="98"/>
      <c r="V257" s="100"/>
      <c r="W257" s="98"/>
      <c r="X257" s="96"/>
      <c r="Y257" s="98"/>
      <c r="Z257" s="96"/>
      <c r="AA257" s="97"/>
      <c r="AB257" s="96"/>
      <c r="AC257" s="98"/>
      <c r="AD257" s="98"/>
      <c r="AE257" s="98"/>
    </row>
    <row r="258" spans="2:31" x14ac:dyDescent="0.3">
      <c r="B258" s="96"/>
      <c r="C258" s="96"/>
      <c r="D258" s="96"/>
      <c r="E258" s="97"/>
      <c r="F258" s="96"/>
      <c r="G258" s="98"/>
      <c r="H258" s="96"/>
      <c r="I258" s="98"/>
      <c r="J258" s="97"/>
      <c r="K258" s="98"/>
      <c r="L258" s="100"/>
      <c r="M258" s="98"/>
      <c r="N258" s="96"/>
      <c r="O258" s="97"/>
      <c r="P258" s="70"/>
      <c r="Q258" s="97"/>
      <c r="R258" s="97"/>
      <c r="S258" s="98"/>
      <c r="T258" s="97"/>
      <c r="U258" s="98"/>
      <c r="V258" s="100"/>
      <c r="W258" s="98"/>
      <c r="X258" s="96"/>
      <c r="Y258" s="98"/>
      <c r="Z258" s="96"/>
      <c r="AA258" s="97"/>
      <c r="AB258" s="96"/>
      <c r="AC258" s="98"/>
      <c r="AD258" s="98"/>
      <c r="AE258" s="98"/>
    </row>
    <row r="259" spans="2:31" x14ac:dyDescent="0.3">
      <c r="B259" s="96"/>
      <c r="C259" s="96"/>
      <c r="D259" s="96"/>
      <c r="E259" s="97"/>
      <c r="F259" s="96"/>
      <c r="G259" s="98"/>
      <c r="H259" s="96"/>
      <c r="I259" s="98"/>
      <c r="J259" s="97"/>
      <c r="K259" s="98"/>
      <c r="L259" s="100"/>
      <c r="M259" s="98"/>
      <c r="N259" s="96"/>
      <c r="O259" s="97"/>
      <c r="P259" s="70"/>
      <c r="Q259" s="97"/>
      <c r="R259" s="97"/>
      <c r="S259" s="98"/>
      <c r="T259" s="97"/>
      <c r="U259" s="98"/>
      <c r="V259" s="100"/>
      <c r="W259" s="98"/>
      <c r="X259" s="96"/>
      <c r="Y259" s="98"/>
      <c r="Z259" s="96"/>
      <c r="AA259" s="97"/>
      <c r="AB259" s="96"/>
      <c r="AC259" s="98"/>
      <c r="AD259" s="98"/>
      <c r="AE259" s="98"/>
    </row>
    <row r="260" spans="2:31" x14ac:dyDescent="0.3">
      <c r="B260" s="96"/>
      <c r="C260" s="96"/>
      <c r="D260" s="96"/>
      <c r="E260" s="97"/>
      <c r="F260" s="96"/>
      <c r="G260" s="98"/>
      <c r="H260" s="96"/>
      <c r="I260" s="98"/>
      <c r="J260" s="97"/>
      <c r="K260" s="98"/>
      <c r="L260" s="100"/>
      <c r="M260" s="98"/>
      <c r="N260" s="96"/>
      <c r="O260" s="97"/>
      <c r="P260" s="70"/>
      <c r="Q260" s="97"/>
      <c r="R260" s="97"/>
      <c r="S260" s="98"/>
      <c r="T260" s="97"/>
      <c r="U260" s="98"/>
      <c r="V260" s="100"/>
      <c r="W260" s="98"/>
      <c r="X260" s="96"/>
      <c r="Y260" s="98"/>
      <c r="Z260" s="96"/>
      <c r="AA260" s="97"/>
      <c r="AB260" s="96"/>
      <c r="AC260" s="98"/>
      <c r="AD260" s="98"/>
      <c r="AE260" s="98"/>
    </row>
    <row r="261" spans="2:31" x14ac:dyDescent="0.3">
      <c r="B261" s="96"/>
      <c r="C261" s="96"/>
      <c r="D261" s="96"/>
      <c r="E261" s="97"/>
      <c r="F261" s="96"/>
      <c r="G261" s="98"/>
      <c r="H261" s="96"/>
      <c r="I261" s="98"/>
      <c r="J261" s="97"/>
      <c r="K261" s="98"/>
      <c r="L261" s="100"/>
      <c r="M261" s="98"/>
      <c r="N261" s="96"/>
      <c r="O261" s="97"/>
      <c r="P261" s="70"/>
      <c r="Q261" s="97"/>
      <c r="R261" s="97"/>
      <c r="S261" s="98"/>
      <c r="T261" s="97"/>
      <c r="U261" s="98"/>
      <c r="V261" s="100"/>
      <c r="W261" s="98"/>
      <c r="X261" s="96"/>
      <c r="Y261" s="98"/>
      <c r="Z261" s="96"/>
      <c r="AA261" s="97"/>
      <c r="AB261" s="96"/>
      <c r="AC261" s="98"/>
      <c r="AD261" s="98"/>
      <c r="AE261" s="98"/>
    </row>
    <row r="262" spans="2:31" x14ac:dyDescent="0.3">
      <c r="B262" s="96"/>
      <c r="C262" s="96"/>
      <c r="D262" s="96"/>
      <c r="E262" s="97"/>
      <c r="F262" s="96"/>
      <c r="G262" s="98"/>
      <c r="H262" s="96"/>
      <c r="I262" s="98"/>
      <c r="J262" s="97"/>
      <c r="K262" s="98"/>
      <c r="L262" s="100"/>
      <c r="M262" s="98"/>
      <c r="N262" s="96"/>
      <c r="O262" s="97"/>
      <c r="P262" s="70"/>
      <c r="Q262" s="97"/>
      <c r="R262" s="97"/>
      <c r="S262" s="98"/>
      <c r="T262" s="97"/>
      <c r="U262" s="98"/>
      <c r="V262" s="100"/>
      <c r="W262" s="98"/>
      <c r="X262" s="96"/>
      <c r="Y262" s="98"/>
      <c r="Z262" s="96"/>
      <c r="AA262" s="97"/>
      <c r="AB262" s="96"/>
      <c r="AC262" s="98"/>
      <c r="AD262" s="98"/>
      <c r="AE262" s="98"/>
    </row>
    <row r="263" spans="2:31" x14ac:dyDescent="0.3">
      <c r="B263" s="96"/>
      <c r="C263" s="96"/>
      <c r="D263" s="96"/>
      <c r="E263" s="97"/>
      <c r="F263" s="96"/>
      <c r="G263" s="98"/>
      <c r="H263" s="96"/>
      <c r="I263" s="98"/>
      <c r="J263" s="97"/>
      <c r="K263" s="98"/>
      <c r="L263" s="100"/>
      <c r="M263" s="98"/>
      <c r="N263" s="96"/>
      <c r="O263" s="97"/>
      <c r="P263" s="70"/>
      <c r="Q263" s="97"/>
      <c r="R263" s="97"/>
      <c r="S263" s="98"/>
      <c r="T263" s="97"/>
      <c r="U263" s="98"/>
      <c r="V263" s="100"/>
      <c r="W263" s="98"/>
      <c r="X263" s="96"/>
      <c r="Y263" s="98"/>
      <c r="Z263" s="96"/>
      <c r="AA263" s="97"/>
      <c r="AB263" s="96"/>
      <c r="AC263" s="98"/>
      <c r="AD263" s="98"/>
      <c r="AE263" s="98"/>
    </row>
    <row r="264" spans="2:31" x14ac:dyDescent="0.3">
      <c r="B264" s="96"/>
      <c r="C264" s="96"/>
      <c r="D264" s="96"/>
      <c r="E264" s="97"/>
      <c r="F264" s="96"/>
      <c r="G264" s="98"/>
      <c r="H264" s="96"/>
      <c r="I264" s="98"/>
      <c r="J264" s="97"/>
      <c r="K264" s="98"/>
      <c r="L264" s="100"/>
      <c r="M264" s="98"/>
      <c r="N264" s="96"/>
      <c r="O264" s="97"/>
      <c r="P264" s="70"/>
      <c r="Q264" s="97"/>
      <c r="R264" s="97"/>
      <c r="S264" s="98"/>
      <c r="T264" s="97"/>
      <c r="U264" s="98"/>
      <c r="V264" s="100"/>
      <c r="W264" s="98"/>
      <c r="X264" s="96"/>
      <c r="Y264" s="98"/>
      <c r="Z264" s="96"/>
      <c r="AA264" s="97"/>
      <c r="AB264" s="96"/>
      <c r="AC264" s="98"/>
      <c r="AD264" s="98"/>
      <c r="AE264" s="98"/>
    </row>
    <row r="265" spans="2:31" x14ac:dyDescent="0.3">
      <c r="B265" s="96"/>
      <c r="C265" s="96"/>
      <c r="D265" s="96"/>
      <c r="E265" s="97"/>
      <c r="F265" s="96"/>
      <c r="G265" s="98"/>
      <c r="H265" s="96"/>
      <c r="I265" s="98"/>
      <c r="J265" s="97"/>
      <c r="K265" s="98"/>
      <c r="L265" s="100"/>
      <c r="M265" s="98"/>
      <c r="N265" s="96"/>
      <c r="O265" s="97"/>
      <c r="P265" s="70"/>
      <c r="Q265" s="97"/>
      <c r="R265" s="97"/>
      <c r="S265" s="98"/>
      <c r="T265" s="97"/>
      <c r="U265" s="98"/>
      <c r="V265" s="100"/>
      <c r="W265" s="98"/>
      <c r="X265" s="96"/>
      <c r="Y265" s="98"/>
      <c r="Z265" s="96"/>
      <c r="AA265" s="97"/>
      <c r="AB265" s="96"/>
      <c r="AC265" s="98"/>
      <c r="AD265" s="98"/>
      <c r="AE265" s="98"/>
    </row>
    <row r="266" spans="2:31" x14ac:dyDescent="0.3">
      <c r="B266" s="96"/>
      <c r="C266" s="96"/>
      <c r="D266" s="96"/>
      <c r="E266" s="97"/>
      <c r="F266" s="96"/>
      <c r="G266" s="98"/>
      <c r="H266" s="96"/>
      <c r="I266" s="98"/>
      <c r="J266" s="97"/>
      <c r="K266" s="98"/>
      <c r="L266" s="100"/>
      <c r="M266" s="98"/>
      <c r="N266" s="96"/>
      <c r="O266" s="97"/>
      <c r="P266" s="70"/>
      <c r="Q266" s="97"/>
      <c r="R266" s="97"/>
      <c r="S266" s="98"/>
      <c r="T266" s="97"/>
      <c r="U266" s="98"/>
      <c r="V266" s="100"/>
      <c r="W266" s="98"/>
      <c r="X266" s="96"/>
      <c r="Y266" s="98"/>
      <c r="Z266" s="96"/>
      <c r="AA266" s="97"/>
      <c r="AB266" s="96"/>
      <c r="AC266" s="98"/>
      <c r="AD266" s="98"/>
      <c r="AE266" s="98"/>
    </row>
    <row r="267" spans="2:31" x14ac:dyDescent="0.3">
      <c r="B267" s="96"/>
      <c r="C267" s="96"/>
      <c r="D267" s="96"/>
      <c r="E267" s="97"/>
      <c r="F267" s="96"/>
      <c r="G267" s="98"/>
      <c r="H267" s="96"/>
      <c r="I267" s="98"/>
      <c r="J267" s="97"/>
      <c r="K267" s="98"/>
      <c r="L267" s="100"/>
      <c r="M267" s="98"/>
      <c r="N267" s="96"/>
      <c r="O267" s="97"/>
      <c r="P267" s="70"/>
      <c r="Q267" s="97"/>
      <c r="R267" s="97"/>
      <c r="S267" s="98"/>
      <c r="T267" s="97"/>
      <c r="U267" s="98"/>
      <c r="V267" s="100"/>
      <c r="W267" s="98"/>
      <c r="X267" s="96"/>
      <c r="Y267" s="98"/>
      <c r="Z267" s="96"/>
      <c r="AA267" s="97"/>
      <c r="AB267" s="96"/>
      <c r="AC267" s="98"/>
      <c r="AD267" s="98"/>
      <c r="AE267" s="98"/>
    </row>
    <row r="268" spans="2:31" x14ac:dyDescent="0.3">
      <c r="B268" s="96"/>
      <c r="C268" s="96"/>
      <c r="D268" s="96"/>
      <c r="E268" s="97"/>
      <c r="F268" s="96"/>
      <c r="G268" s="98"/>
      <c r="H268" s="96"/>
      <c r="I268" s="98"/>
      <c r="J268" s="97"/>
      <c r="K268" s="98"/>
      <c r="L268" s="100"/>
      <c r="M268" s="98"/>
      <c r="N268" s="96"/>
      <c r="O268" s="97"/>
      <c r="P268" s="70"/>
      <c r="Q268" s="97"/>
      <c r="R268" s="97"/>
      <c r="S268" s="98"/>
      <c r="T268" s="97"/>
      <c r="U268" s="98"/>
      <c r="V268" s="100"/>
      <c r="W268" s="98"/>
      <c r="X268" s="96"/>
      <c r="Y268" s="98"/>
      <c r="Z268" s="96"/>
      <c r="AA268" s="97"/>
      <c r="AB268" s="96"/>
      <c r="AC268" s="98"/>
      <c r="AD268" s="98"/>
      <c r="AE268" s="98"/>
    </row>
    <row r="269" spans="2:31" x14ac:dyDescent="0.3">
      <c r="B269" s="96"/>
      <c r="C269" s="96"/>
      <c r="D269" s="96"/>
      <c r="E269" s="97"/>
      <c r="F269" s="96"/>
      <c r="G269" s="98"/>
      <c r="H269" s="96"/>
      <c r="I269" s="98"/>
      <c r="J269" s="97"/>
      <c r="K269" s="98"/>
      <c r="L269" s="100"/>
      <c r="M269" s="98"/>
      <c r="N269" s="96"/>
      <c r="O269" s="97"/>
      <c r="P269" s="70"/>
      <c r="Q269" s="97"/>
      <c r="R269" s="97"/>
      <c r="S269" s="98"/>
      <c r="T269" s="97"/>
      <c r="U269" s="98"/>
      <c r="V269" s="100"/>
      <c r="W269" s="98"/>
      <c r="X269" s="96"/>
      <c r="Y269" s="98"/>
      <c r="Z269" s="96"/>
      <c r="AA269" s="97"/>
      <c r="AB269" s="96"/>
      <c r="AC269" s="98"/>
      <c r="AD269" s="98"/>
      <c r="AE269" s="98"/>
    </row>
    <row r="270" spans="2:31" x14ac:dyDescent="0.3">
      <c r="B270" s="96"/>
      <c r="C270" s="96"/>
      <c r="D270" s="96"/>
      <c r="E270" s="97"/>
      <c r="F270" s="96"/>
      <c r="G270" s="98"/>
      <c r="H270" s="96"/>
      <c r="I270" s="98"/>
      <c r="J270" s="97"/>
      <c r="K270" s="98"/>
      <c r="L270" s="100"/>
      <c r="M270" s="98"/>
      <c r="N270" s="96"/>
      <c r="O270" s="97"/>
      <c r="P270" s="70"/>
      <c r="Q270" s="97"/>
      <c r="R270" s="97"/>
      <c r="S270" s="98"/>
      <c r="T270" s="97"/>
      <c r="U270" s="98"/>
      <c r="V270" s="100"/>
      <c r="W270" s="98"/>
      <c r="X270" s="96"/>
      <c r="Y270" s="98"/>
      <c r="Z270" s="96"/>
      <c r="AA270" s="97"/>
      <c r="AB270" s="96"/>
      <c r="AC270" s="98"/>
      <c r="AD270" s="98"/>
      <c r="AE270" s="98"/>
    </row>
    <row r="271" spans="2:31" x14ac:dyDescent="0.3">
      <c r="B271" s="96"/>
      <c r="C271" s="96"/>
      <c r="D271" s="96"/>
      <c r="E271" s="97"/>
      <c r="F271" s="96"/>
      <c r="G271" s="98"/>
      <c r="H271" s="96"/>
      <c r="I271" s="98"/>
      <c r="J271" s="97"/>
      <c r="K271" s="98"/>
      <c r="L271" s="100"/>
      <c r="M271" s="98"/>
      <c r="N271" s="96"/>
      <c r="O271" s="97"/>
      <c r="P271" s="70"/>
      <c r="Q271" s="97"/>
      <c r="R271" s="97"/>
      <c r="S271" s="98"/>
      <c r="T271" s="97"/>
      <c r="U271" s="98"/>
      <c r="V271" s="100"/>
      <c r="W271" s="98"/>
      <c r="X271" s="96"/>
      <c r="Y271" s="98"/>
      <c r="Z271" s="96"/>
      <c r="AA271" s="97"/>
      <c r="AB271" s="96"/>
      <c r="AC271" s="98"/>
      <c r="AD271" s="98"/>
      <c r="AE271" s="98"/>
    </row>
    <row r="272" spans="2:31" x14ac:dyDescent="0.3">
      <c r="B272" s="96"/>
      <c r="C272" s="96"/>
      <c r="D272" s="96"/>
      <c r="E272" s="97"/>
      <c r="F272" s="96"/>
      <c r="G272" s="98"/>
      <c r="H272" s="96"/>
      <c r="I272" s="98"/>
      <c r="J272" s="97"/>
      <c r="K272" s="98"/>
      <c r="L272" s="100"/>
      <c r="M272" s="98"/>
      <c r="N272" s="96"/>
      <c r="O272" s="97"/>
      <c r="P272" s="70"/>
      <c r="Q272" s="97"/>
      <c r="R272" s="97"/>
      <c r="S272" s="98"/>
      <c r="T272" s="97"/>
      <c r="U272" s="98"/>
      <c r="V272" s="100"/>
      <c r="W272" s="98"/>
      <c r="X272" s="96"/>
      <c r="Y272" s="98"/>
      <c r="Z272" s="96"/>
      <c r="AA272" s="97"/>
      <c r="AB272" s="96"/>
      <c r="AC272" s="98"/>
      <c r="AD272" s="98"/>
      <c r="AE272" s="98"/>
    </row>
    <row r="273" spans="2:31" x14ac:dyDescent="0.3">
      <c r="B273" s="96"/>
      <c r="C273" s="96"/>
      <c r="D273" s="96"/>
      <c r="E273" s="97"/>
      <c r="F273" s="96"/>
      <c r="G273" s="98"/>
      <c r="H273" s="96"/>
      <c r="I273" s="98"/>
      <c r="J273" s="97"/>
      <c r="K273" s="98"/>
      <c r="L273" s="100"/>
      <c r="M273" s="98"/>
      <c r="N273" s="96"/>
      <c r="O273" s="97"/>
      <c r="P273" s="70"/>
      <c r="Q273" s="97"/>
      <c r="R273" s="97"/>
      <c r="S273" s="98"/>
      <c r="T273" s="97"/>
      <c r="U273" s="98"/>
      <c r="V273" s="100"/>
      <c r="W273" s="98"/>
      <c r="X273" s="96"/>
      <c r="Y273" s="98"/>
      <c r="Z273" s="96"/>
      <c r="AA273" s="97"/>
      <c r="AB273" s="96"/>
      <c r="AC273" s="98"/>
      <c r="AD273" s="98"/>
      <c r="AE273" s="98"/>
    </row>
    <row r="274" spans="2:31" x14ac:dyDescent="0.3">
      <c r="B274" s="96"/>
      <c r="C274" s="96"/>
      <c r="D274" s="96"/>
      <c r="E274" s="97"/>
      <c r="F274" s="96"/>
      <c r="G274" s="98"/>
      <c r="H274" s="96"/>
      <c r="I274" s="98"/>
      <c r="J274" s="97"/>
      <c r="K274" s="98"/>
      <c r="L274" s="100"/>
      <c r="M274" s="98"/>
      <c r="N274" s="96"/>
      <c r="O274" s="97"/>
      <c r="P274" s="70"/>
      <c r="Q274" s="97"/>
      <c r="R274" s="97"/>
      <c r="S274" s="98"/>
      <c r="T274" s="97"/>
      <c r="U274" s="98"/>
      <c r="V274" s="100"/>
      <c r="W274" s="98"/>
      <c r="X274" s="96"/>
      <c r="Y274" s="98"/>
      <c r="Z274" s="96"/>
      <c r="AA274" s="97"/>
      <c r="AB274" s="96"/>
      <c r="AC274" s="98"/>
      <c r="AD274" s="98"/>
      <c r="AE274" s="98"/>
    </row>
    <row r="275" spans="2:31" x14ac:dyDescent="0.3">
      <c r="B275" s="96"/>
      <c r="C275" s="96"/>
      <c r="D275" s="96"/>
      <c r="E275" s="97"/>
      <c r="F275" s="96"/>
      <c r="G275" s="98"/>
      <c r="H275" s="96"/>
      <c r="I275" s="98"/>
      <c r="J275" s="97"/>
      <c r="K275" s="98"/>
      <c r="L275" s="100"/>
      <c r="M275" s="98"/>
      <c r="N275" s="96"/>
      <c r="O275" s="97"/>
      <c r="P275" s="70"/>
      <c r="Q275" s="97"/>
      <c r="R275" s="97"/>
      <c r="S275" s="98"/>
      <c r="T275" s="97"/>
      <c r="U275" s="98"/>
      <c r="V275" s="100"/>
      <c r="W275" s="98"/>
      <c r="X275" s="96"/>
      <c r="Y275" s="98"/>
      <c r="Z275" s="96"/>
      <c r="AA275" s="97"/>
      <c r="AB275" s="96"/>
      <c r="AC275" s="98"/>
      <c r="AD275" s="98"/>
      <c r="AE275" s="98"/>
    </row>
    <row r="276" spans="2:31" x14ac:dyDescent="0.3">
      <c r="B276" s="96"/>
      <c r="C276" s="96"/>
      <c r="D276" s="96"/>
      <c r="E276" s="97"/>
      <c r="F276" s="96"/>
      <c r="G276" s="98"/>
      <c r="H276" s="96"/>
      <c r="I276" s="98"/>
      <c r="J276" s="97"/>
      <c r="K276" s="98"/>
      <c r="L276" s="100"/>
      <c r="M276" s="98"/>
      <c r="N276" s="96"/>
      <c r="O276" s="97"/>
      <c r="P276" s="70"/>
      <c r="Q276" s="97"/>
      <c r="R276" s="97"/>
      <c r="S276" s="98"/>
      <c r="T276" s="97"/>
      <c r="U276" s="98"/>
      <c r="V276" s="100"/>
      <c r="W276" s="98"/>
      <c r="X276" s="96"/>
      <c r="Y276" s="98"/>
      <c r="Z276" s="96"/>
      <c r="AA276" s="97"/>
      <c r="AB276" s="96"/>
      <c r="AC276" s="98"/>
      <c r="AD276" s="98"/>
      <c r="AE276" s="98"/>
    </row>
    <row r="277" spans="2:31" x14ac:dyDescent="0.3">
      <c r="B277" s="96"/>
      <c r="C277" s="96"/>
      <c r="D277" s="96"/>
      <c r="E277" s="97"/>
      <c r="F277" s="96"/>
      <c r="G277" s="98"/>
      <c r="H277" s="96"/>
      <c r="I277" s="98"/>
      <c r="J277" s="97"/>
      <c r="K277" s="98"/>
      <c r="L277" s="100"/>
      <c r="M277" s="98"/>
      <c r="N277" s="96"/>
      <c r="O277" s="97"/>
      <c r="P277" s="70"/>
      <c r="Q277" s="97"/>
      <c r="R277" s="97"/>
      <c r="S277" s="98"/>
      <c r="T277" s="97"/>
      <c r="U277" s="98"/>
      <c r="V277" s="100"/>
      <c r="W277" s="98"/>
      <c r="X277" s="96"/>
      <c r="Y277" s="98"/>
      <c r="Z277" s="96"/>
      <c r="AA277" s="97"/>
      <c r="AB277" s="96"/>
      <c r="AC277" s="98"/>
      <c r="AD277" s="98"/>
      <c r="AE277" s="98"/>
    </row>
    <row r="278" spans="2:31" x14ac:dyDescent="0.3">
      <c r="B278" s="96"/>
      <c r="C278" s="96"/>
      <c r="D278" s="96"/>
      <c r="E278" s="97"/>
      <c r="F278" s="96"/>
      <c r="G278" s="98"/>
      <c r="H278" s="96"/>
      <c r="I278" s="98"/>
      <c r="J278" s="97"/>
      <c r="K278" s="98"/>
      <c r="L278" s="100"/>
      <c r="M278" s="98"/>
      <c r="N278" s="96"/>
      <c r="O278" s="97"/>
      <c r="P278" s="70"/>
      <c r="Q278" s="97"/>
      <c r="R278" s="97"/>
      <c r="S278" s="98"/>
      <c r="T278" s="97"/>
      <c r="U278" s="98"/>
      <c r="V278" s="100"/>
      <c r="W278" s="98"/>
      <c r="X278" s="96"/>
      <c r="Y278" s="98"/>
      <c r="Z278" s="96"/>
      <c r="AA278" s="97"/>
      <c r="AB278" s="96"/>
      <c r="AC278" s="98"/>
      <c r="AD278" s="98"/>
      <c r="AE278" s="98"/>
    </row>
    <row r="279" spans="2:31" x14ac:dyDescent="0.3">
      <c r="B279" s="96"/>
      <c r="C279" s="96"/>
      <c r="D279" s="96"/>
      <c r="E279" s="97"/>
      <c r="F279" s="96"/>
      <c r="G279" s="98"/>
      <c r="H279" s="96"/>
      <c r="I279" s="98"/>
      <c r="J279" s="97"/>
      <c r="K279" s="98"/>
      <c r="L279" s="100"/>
      <c r="M279" s="98"/>
      <c r="N279" s="96"/>
      <c r="O279" s="97"/>
      <c r="P279" s="70"/>
      <c r="Q279" s="97"/>
      <c r="R279" s="97"/>
      <c r="S279" s="98"/>
      <c r="T279" s="97"/>
      <c r="U279" s="98"/>
      <c r="V279" s="100"/>
      <c r="W279" s="98"/>
      <c r="X279" s="96"/>
      <c r="Y279" s="98"/>
      <c r="Z279" s="96"/>
      <c r="AA279" s="97"/>
      <c r="AB279" s="96"/>
      <c r="AC279" s="98"/>
      <c r="AD279" s="98"/>
      <c r="AE279" s="98"/>
    </row>
    <row r="280" spans="2:31" x14ac:dyDescent="0.3">
      <c r="B280" s="96"/>
      <c r="C280" s="96"/>
      <c r="D280" s="96"/>
      <c r="E280" s="97"/>
      <c r="F280" s="96"/>
      <c r="G280" s="98"/>
      <c r="H280" s="96"/>
      <c r="I280" s="98"/>
      <c r="J280" s="97"/>
      <c r="K280" s="98"/>
      <c r="L280" s="100"/>
      <c r="M280" s="98"/>
      <c r="N280" s="96"/>
      <c r="O280" s="97"/>
      <c r="P280" s="70"/>
      <c r="Q280" s="97"/>
      <c r="R280" s="97"/>
      <c r="S280" s="98"/>
      <c r="T280" s="97"/>
      <c r="U280" s="98"/>
      <c r="V280" s="100"/>
      <c r="W280" s="98"/>
      <c r="X280" s="96"/>
      <c r="Y280" s="98"/>
      <c r="Z280" s="96"/>
      <c r="AA280" s="97"/>
      <c r="AB280" s="96"/>
      <c r="AC280" s="98"/>
      <c r="AD280" s="98"/>
      <c r="AE280" s="98"/>
    </row>
    <row r="281" spans="2:31" x14ac:dyDescent="0.3">
      <c r="B281" s="96"/>
      <c r="C281" s="96"/>
      <c r="D281" s="96"/>
      <c r="E281" s="97"/>
      <c r="F281" s="96"/>
      <c r="G281" s="98"/>
      <c r="H281" s="96"/>
      <c r="I281" s="98"/>
      <c r="J281" s="97"/>
      <c r="K281" s="98"/>
      <c r="L281" s="100"/>
      <c r="M281" s="98"/>
      <c r="N281" s="96"/>
      <c r="O281" s="97"/>
      <c r="P281" s="70"/>
      <c r="Q281" s="97"/>
      <c r="R281" s="97"/>
      <c r="S281" s="98"/>
      <c r="T281" s="97"/>
      <c r="U281" s="98"/>
      <c r="V281" s="100"/>
      <c r="W281" s="98"/>
      <c r="X281" s="96"/>
      <c r="Y281" s="98"/>
      <c r="Z281" s="96"/>
      <c r="AA281" s="97"/>
      <c r="AB281" s="96"/>
      <c r="AC281" s="98"/>
      <c r="AD281" s="98"/>
      <c r="AE281" s="98"/>
    </row>
    <row r="282" spans="2:31" x14ac:dyDescent="0.3">
      <c r="B282" s="96"/>
      <c r="C282" s="96"/>
      <c r="D282" s="96"/>
      <c r="E282" s="97"/>
      <c r="F282" s="96"/>
      <c r="G282" s="98"/>
      <c r="H282" s="96"/>
      <c r="I282" s="98"/>
      <c r="J282" s="97"/>
      <c r="K282" s="98"/>
      <c r="L282" s="100"/>
      <c r="M282" s="98"/>
      <c r="N282" s="96"/>
      <c r="O282" s="97"/>
      <c r="P282" s="70"/>
      <c r="Q282" s="97"/>
      <c r="R282" s="97"/>
      <c r="S282" s="98"/>
      <c r="T282" s="97"/>
      <c r="U282" s="98"/>
      <c r="V282" s="100"/>
      <c r="W282" s="98"/>
      <c r="X282" s="96"/>
      <c r="Y282" s="98"/>
      <c r="Z282" s="96"/>
      <c r="AA282" s="97"/>
      <c r="AB282" s="96"/>
      <c r="AC282" s="98"/>
      <c r="AD282" s="98"/>
      <c r="AE282" s="98"/>
    </row>
    <row r="283" spans="2:31" x14ac:dyDescent="0.3">
      <c r="B283" s="96"/>
      <c r="C283" s="96"/>
      <c r="D283" s="96"/>
      <c r="E283" s="97"/>
      <c r="F283" s="96"/>
      <c r="G283" s="98"/>
      <c r="H283" s="96"/>
      <c r="I283" s="98"/>
      <c r="J283" s="97"/>
      <c r="K283" s="98"/>
      <c r="L283" s="100"/>
      <c r="M283" s="98"/>
      <c r="N283" s="96"/>
      <c r="O283" s="97"/>
      <c r="P283" s="70"/>
      <c r="Q283" s="97"/>
      <c r="R283" s="97"/>
      <c r="S283" s="98"/>
      <c r="T283" s="97"/>
      <c r="U283" s="98"/>
      <c r="V283" s="100"/>
      <c r="W283" s="98"/>
      <c r="X283" s="96"/>
      <c r="Y283" s="98"/>
      <c r="Z283" s="96"/>
      <c r="AA283" s="97"/>
      <c r="AB283" s="96"/>
      <c r="AC283" s="98"/>
      <c r="AD283" s="98"/>
      <c r="AE283" s="98"/>
    </row>
    <row r="284" spans="2:31" x14ac:dyDescent="0.3">
      <c r="B284" s="96"/>
      <c r="C284" s="96"/>
      <c r="D284" s="96"/>
      <c r="E284" s="97"/>
      <c r="F284" s="96"/>
      <c r="G284" s="98"/>
      <c r="H284" s="96"/>
      <c r="I284" s="98"/>
      <c r="J284" s="97"/>
      <c r="K284" s="98"/>
      <c r="L284" s="100"/>
      <c r="M284" s="98"/>
      <c r="N284" s="96"/>
      <c r="O284" s="97"/>
      <c r="P284" s="70"/>
      <c r="Q284" s="97"/>
      <c r="R284" s="97"/>
      <c r="S284" s="98"/>
      <c r="T284" s="97"/>
      <c r="U284" s="98"/>
      <c r="V284" s="100"/>
      <c r="W284" s="98"/>
      <c r="X284" s="96"/>
      <c r="Y284" s="98"/>
      <c r="Z284" s="96"/>
      <c r="AA284" s="97"/>
      <c r="AB284" s="96"/>
      <c r="AC284" s="98"/>
      <c r="AD284" s="98"/>
      <c r="AE284" s="98"/>
    </row>
    <row r="285" spans="2:31" x14ac:dyDescent="0.3">
      <c r="B285" s="96"/>
      <c r="C285" s="96"/>
      <c r="D285" s="96"/>
      <c r="E285" s="97"/>
      <c r="F285" s="96"/>
      <c r="G285" s="98"/>
      <c r="H285" s="96"/>
      <c r="I285" s="98"/>
      <c r="J285" s="97"/>
      <c r="K285" s="98"/>
      <c r="L285" s="100"/>
      <c r="M285" s="98"/>
      <c r="N285" s="96"/>
      <c r="O285" s="97"/>
      <c r="P285" s="70"/>
      <c r="Q285" s="97"/>
      <c r="R285" s="97"/>
      <c r="S285" s="98"/>
      <c r="T285" s="97"/>
      <c r="U285" s="98"/>
      <c r="V285" s="100"/>
      <c r="W285" s="98"/>
      <c r="X285" s="96"/>
      <c r="Y285" s="98"/>
      <c r="Z285" s="96"/>
      <c r="AA285" s="97"/>
      <c r="AB285" s="96"/>
      <c r="AC285" s="98"/>
      <c r="AD285" s="98"/>
      <c r="AE285" s="98"/>
    </row>
    <row r="286" spans="2:31" x14ac:dyDescent="0.3">
      <c r="B286" s="96"/>
      <c r="C286" s="96"/>
      <c r="D286" s="96"/>
      <c r="E286" s="97"/>
      <c r="F286" s="96"/>
      <c r="G286" s="98"/>
      <c r="H286" s="96"/>
      <c r="I286" s="98"/>
      <c r="J286" s="97"/>
      <c r="K286" s="98"/>
      <c r="L286" s="100"/>
      <c r="M286" s="98"/>
      <c r="N286" s="96"/>
      <c r="O286" s="97"/>
      <c r="P286" s="70"/>
      <c r="Q286" s="97"/>
      <c r="R286" s="97"/>
      <c r="S286" s="98"/>
      <c r="T286" s="97"/>
      <c r="U286" s="98"/>
      <c r="V286" s="100"/>
      <c r="W286" s="98"/>
      <c r="X286" s="96"/>
      <c r="Y286" s="98"/>
      <c r="Z286" s="96"/>
      <c r="AA286" s="97"/>
      <c r="AB286" s="96"/>
      <c r="AC286" s="98"/>
      <c r="AD286" s="98"/>
      <c r="AE286" s="98"/>
    </row>
    <row r="287" spans="2:31" x14ac:dyDescent="0.3">
      <c r="B287" s="96"/>
      <c r="C287" s="96"/>
      <c r="D287" s="96"/>
      <c r="E287" s="97"/>
      <c r="F287" s="96"/>
      <c r="G287" s="98"/>
      <c r="H287" s="96"/>
      <c r="I287" s="98"/>
      <c r="J287" s="97"/>
      <c r="K287" s="98"/>
      <c r="L287" s="100"/>
      <c r="M287" s="98"/>
      <c r="N287" s="96"/>
      <c r="O287" s="97"/>
      <c r="P287" s="70"/>
      <c r="Q287" s="97"/>
      <c r="R287" s="97"/>
      <c r="S287" s="98"/>
      <c r="T287" s="97"/>
      <c r="U287" s="98"/>
      <c r="V287" s="100"/>
      <c r="W287" s="98"/>
      <c r="X287" s="96"/>
      <c r="Y287" s="98"/>
      <c r="Z287" s="96"/>
      <c r="AA287" s="97"/>
      <c r="AB287" s="96"/>
      <c r="AC287" s="98"/>
      <c r="AD287" s="98"/>
      <c r="AE287" s="98"/>
    </row>
    <row r="288" spans="2:31" x14ac:dyDescent="0.3">
      <c r="B288" s="96"/>
      <c r="C288" s="96"/>
      <c r="D288" s="96"/>
      <c r="E288" s="97"/>
      <c r="F288" s="96"/>
      <c r="G288" s="98"/>
      <c r="H288" s="96"/>
      <c r="I288" s="98"/>
      <c r="J288" s="97"/>
      <c r="K288" s="98"/>
      <c r="L288" s="100"/>
      <c r="M288" s="98"/>
      <c r="N288" s="96"/>
      <c r="O288" s="97"/>
      <c r="P288" s="70"/>
      <c r="Q288" s="97"/>
      <c r="R288" s="97"/>
      <c r="S288" s="98"/>
      <c r="T288" s="97"/>
      <c r="U288" s="98"/>
      <c r="V288" s="100"/>
      <c r="W288" s="98"/>
      <c r="X288" s="96"/>
      <c r="Y288" s="98"/>
      <c r="Z288" s="96"/>
      <c r="AA288" s="97"/>
      <c r="AB288" s="96"/>
      <c r="AC288" s="98"/>
      <c r="AD288" s="98"/>
      <c r="AE288" s="98"/>
    </row>
    <row r="289" spans="2:31" x14ac:dyDescent="0.3">
      <c r="B289" s="96"/>
      <c r="C289" s="96"/>
      <c r="D289" s="96"/>
      <c r="E289" s="97"/>
      <c r="F289" s="96"/>
      <c r="G289" s="98"/>
      <c r="H289" s="96"/>
      <c r="I289" s="98"/>
      <c r="J289" s="97"/>
      <c r="K289" s="98"/>
      <c r="L289" s="100"/>
      <c r="M289" s="98"/>
      <c r="N289" s="96"/>
      <c r="O289" s="97"/>
      <c r="P289" s="70"/>
      <c r="Q289" s="97"/>
      <c r="R289" s="97"/>
      <c r="S289" s="98"/>
      <c r="T289" s="97"/>
      <c r="U289" s="98"/>
      <c r="V289" s="100"/>
      <c r="W289" s="98"/>
      <c r="X289" s="96"/>
      <c r="Y289" s="98"/>
      <c r="Z289" s="96"/>
      <c r="AA289" s="97"/>
      <c r="AB289" s="96"/>
      <c r="AC289" s="98"/>
      <c r="AD289" s="98"/>
      <c r="AE289" s="98"/>
    </row>
    <row r="290" spans="2:31" x14ac:dyDescent="0.3">
      <c r="B290" s="96"/>
      <c r="C290" s="96"/>
      <c r="D290" s="96"/>
      <c r="E290" s="97"/>
      <c r="F290" s="96"/>
      <c r="G290" s="98"/>
      <c r="H290" s="96"/>
      <c r="I290" s="98"/>
      <c r="J290" s="97"/>
      <c r="K290" s="98"/>
      <c r="L290" s="100"/>
      <c r="M290" s="98"/>
      <c r="N290" s="96"/>
      <c r="O290" s="97"/>
      <c r="P290" s="70"/>
      <c r="Q290" s="97"/>
      <c r="R290" s="97"/>
      <c r="S290" s="98"/>
      <c r="T290" s="97"/>
      <c r="U290" s="98"/>
      <c r="V290" s="100"/>
      <c r="W290" s="98"/>
      <c r="X290" s="96"/>
      <c r="Y290" s="98"/>
      <c r="Z290" s="96"/>
      <c r="AA290" s="97"/>
      <c r="AB290" s="96"/>
      <c r="AC290" s="98"/>
      <c r="AD290" s="98"/>
      <c r="AE290" s="98"/>
    </row>
    <row r="291" spans="2:31" x14ac:dyDescent="0.3">
      <c r="B291" s="96"/>
      <c r="C291" s="96"/>
      <c r="D291" s="96"/>
      <c r="E291" s="97"/>
      <c r="F291" s="96"/>
      <c r="G291" s="98"/>
      <c r="H291" s="96"/>
      <c r="I291" s="98"/>
      <c r="J291" s="97"/>
      <c r="K291" s="98"/>
      <c r="L291" s="100"/>
      <c r="M291" s="98"/>
      <c r="N291" s="96"/>
      <c r="O291" s="97"/>
      <c r="P291" s="70"/>
      <c r="Q291" s="97"/>
      <c r="R291" s="97"/>
      <c r="S291" s="98"/>
      <c r="T291" s="97"/>
      <c r="U291" s="98"/>
      <c r="V291" s="100"/>
      <c r="W291" s="98"/>
      <c r="X291" s="96"/>
      <c r="Y291" s="98"/>
      <c r="Z291" s="96"/>
      <c r="AA291" s="97"/>
      <c r="AB291" s="96"/>
      <c r="AC291" s="98"/>
      <c r="AD291" s="98"/>
      <c r="AE291" s="98"/>
    </row>
    <row r="292" spans="2:31" x14ac:dyDescent="0.3">
      <c r="B292" s="96"/>
      <c r="C292" s="96"/>
      <c r="D292" s="96"/>
      <c r="E292" s="97"/>
      <c r="F292" s="96"/>
      <c r="G292" s="98"/>
      <c r="H292" s="96"/>
      <c r="I292" s="98"/>
      <c r="J292" s="97"/>
      <c r="K292" s="98"/>
      <c r="L292" s="100"/>
      <c r="M292" s="98"/>
      <c r="N292" s="96"/>
      <c r="O292" s="97"/>
      <c r="P292" s="70"/>
      <c r="Q292" s="97"/>
      <c r="R292" s="97"/>
      <c r="S292" s="98"/>
      <c r="T292" s="97"/>
      <c r="U292" s="98"/>
      <c r="V292" s="100"/>
      <c r="W292" s="98"/>
      <c r="X292" s="96"/>
      <c r="Y292" s="98"/>
      <c r="Z292" s="96"/>
      <c r="AA292" s="97"/>
      <c r="AB292" s="96"/>
      <c r="AC292" s="98"/>
      <c r="AD292" s="98"/>
      <c r="AE292" s="98"/>
    </row>
    <row r="293" spans="2:31" x14ac:dyDescent="0.3">
      <c r="B293" s="96"/>
      <c r="C293" s="96"/>
      <c r="D293" s="96"/>
      <c r="E293" s="97"/>
      <c r="F293" s="96"/>
      <c r="G293" s="98"/>
      <c r="H293" s="96"/>
      <c r="I293" s="98"/>
      <c r="J293" s="97"/>
      <c r="K293" s="98"/>
      <c r="L293" s="100"/>
      <c r="M293" s="98"/>
      <c r="N293" s="96"/>
      <c r="O293" s="97"/>
      <c r="P293" s="70"/>
      <c r="Q293" s="97"/>
      <c r="R293" s="97"/>
      <c r="S293" s="98"/>
      <c r="T293" s="97"/>
      <c r="U293" s="98"/>
      <c r="V293" s="100"/>
      <c r="W293" s="98"/>
      <c r="X293" s="96"/>
      <c r="Y293" s="98"/>
      <c r="Z293" s="96"/>
      <c r="AA293" s="97"/>
      <c r="AB293" s="96"/>
      <c r="AC293" s="98"/>
      <c r="AD293" s="98"/>
      <c r="AE293" s="98"/>
    </row>
    <row r="294" spans="2:31" x14ac:dyDescent="0.3">
      <c r="B294" s="96"/>
      <c r="C294" s="96"/>
      <c r="D294" s="96"/>
      <c r="E294" s="97"/>
      <c r="F294" s="96"/>
      <c r="G294" s="98"/>
      <c r="H294" s="96"/>
      <c r="I294" s="98"/>
      <c r="J294" s="97"/>
      <c r="K294" s="98"/>
      <c r="L294" s="100"/>
      <c r="M294" s="98"/>
      <c r="N294" s="96"/>
      <c r="O294" s="97"/>
      <c r="P294" s="70"/>
      <c r="Q294" s="97"/>
      <c r="R294" s="97"/>
      <c r="S294" s="98"/>
      <c r="T294" s="97"/>
      <c r="U294" s="98"/>
      <c r="V294" s="100"/>
      <c r="W294" s="98"/>
      <c r="X294" s="96"/>
      <c r="Y294" s="98"/>
      <c r="Z294" s="96"/>
      <c r="AA294" s="97"/>
      <c r="AB294" s="96"/>
      <c r="AC294" s="98"/>
      <c r="AD294" s="98"/>
      <c r="AE294" s="98"/>
    </row>
    <row r="295" spans="2:31" x14ac:dyDescent="0.3">
      <c r="B295" s="96"/>
      <c r="C295" s="96"/>
      <c r="D295" s="96"/>
      <c r="E295" s="97"/>
      <c r="F295" s="96"/>
      <c r="G295" s="98"/>
      <c r="H295" s="96"/>
      <c r="I295" s="98"/>
      <c r="J295" s="97"/>
      <c r="K295" s="98"/>
      <c r="L295" s="100"/>
      <c r="M295" s="98"/>
      <c r="N295" s="96"/>
      <c r="O295" s="97"/>
      <c r="P295" s="70"/>
      <c r="Q295" s="97"/>
      <c r="R295" s="97"/>
      <c r="S295" s="98"/>
      <c r="T295" s="97"/>
      <c r="U295" s="98"/>
      <c r="V295" s="100"/>
      <c r="W295" s="98"/>
      <c r="X295" s="96"/>
      <c r="Y295" s="98"/>
      <c r="Z295" s="96"/>
      <c r="AA295" s="97"/>
      <c r="AB295" s="96"/>
      <c r="AC295" s="98"/>
      <c r="AD295" s="98"/>
      <c r="AE295" s="98"/>
    </row>
    <row r="296" spans="2:31" x14ac:dyDescent="0.3">
      <c r="B296" s="96"/>
      <c r="C296" s="96"/>
      <c r="D296" s="96"/>
      <c r="E296" s="97"/>
      <c r="F296" s="96"/>
      <c r="G296" s="98"/>
      <c r="H296" s="96"/>
      <c r="I296" s="98"/>
      <c r="J296" s="97"/>
      <c r="K296" s="98"/>
      <c r="L296" s="100"/>
      <c r="M296" s="98"/>
      <c r="N296" s="96"/>
      <c r="O296" s="97"/>
      <c r="P296" s="70"/>
      <c r="Q296" s="97"/>
      <c r="R296" s="97"/>
      <c r="S296" s="98"/>
      <c r="T296" s="97"/>
      <c r="U296" s="98"/>
      <c r="V296" s="100"/>
      <c r="W296" s="98"/>
      <c r="X296" s="96"/>
      <c r="Y296" s="98"/>
      <c r="Z296" s="96"/>
      <c r="AA296" s="97"/>
      <c r="AB296" s="96"/>
      <c r="AC296" s="98"/>
      <c r="AD296" s="98"/>
      <c r="AE296" s="98"/>
    </row>
    <row r="297" spans="2:31" x14ac:dyDescent="0.3">
      <c r="B297" s="96"/>
      <c r="C297" s="96"/>
      <c r="D297" s="96"/>
      <c r="E297" s="97"/>
      <c r="F297" s="96"/>
      <c r="G297" s="98"/>
      <c r="H297" s="96"/>
      <c r="I297" s="98"/>
      <c r="J297" s="97"/>
      <c r="K297" s="98"/>
      <c r="L297" s="100"/>
      <c r="M297" s="98"/>
      <c r="N297" s="96"/>
      <c r="O297" s="97"/>
      <c r="P297" s="70"/>
      <c r="Q297" s="97"/>
      <c r="R297" s="97"/>
      <c r="S297" s="98"/>
      <c r="T297" s="97"/>
      <c r="U297" s="98"/>
      <c r="V297" s="100"/>
      <c r="W297" s="98"/>
      <c r="X297" s="96"/>
      <c r="Y297" s="98"/>
      <c r="Z297" s="96"/>
      <c r="AA297" s="97"/>
      <c r="AB297" s="96"/>
      <c r="AC297" s="98"/>
      <c r="AD297" s="98"/>
      <c r="AE297" s="98"/>
    </row>
    <row r="298" spans="2:31" x14ac:dyDescent="0.3">
      <c r="B298" s="96"/>
      <c r="C298" s="96"/>
      <c r="D298" s="96"/>
      <c r="E298" s="97"/>
      <c r="F298" s="96"/>
      <c r="G298" s="98"/>
      <c r="H298" s="96"/>
      <c r="I298" s="98"/>
      <c r="J298" s="97"/>
      <c r="K298" s="98"/>
      <c r="L298" s="100"/>
      <c r="M298" s="98"/>
      <c r="N298" s="96"/>
      <c r="O298" s="97"/>
      <c r="P298" s="70"/>
      <c r="Q298" s="97"/>
      <c r="R298" s="97"/>
      <c r="S298" s="98"/>
      <c r="T298" s="97"/>
      <c r="U298" s="98"/>
      <c r="V298" s="100"/>
      <c r="W298" s="98"/>
      <c r="X298" s="96"/>
      <c r="Y298" s="98"/>
      <c r="Z298" s="96"/>
      <c r="AA298" s="97"/>
      <c r="AB298" s="96"/>
      <c r="AC298" s="98"/>
      <c r="AD298" s="98"/>
      <c r="AE298" s="98"/>
    </row>
    <row r="299" spans="2:31" x14ac:dyDescent="0.3">
      <c r="B299" s="96"/>
      <c r="C299" s="96"/>
      <c r="D299" s="96"/>
      <c r="E299" s="97"/>
      <c r="F299" s="96"/>
      <c r="G299" s="98"/>
      <c r="H299" s="96"/>
      <c r="I299" s="98"/>
      <c r="J299" s="97"/>
      <c r="K299" s="98"/>
      <c r="L299" s="100"/>
      <c r="M299" s="98"/>
      <c r="N299" s="96"/>
      <c r="O299" s="97"/>
      <c r="P299" s="70"/>
      <c r="Q299" s="97"/>
      <c r="R299" s="97"/>
      <c r="S299" s="98"/>
      <c r="T299" s="97"/>
      <c r="U299" s="98"/>
      <c r="V299" s="100"/>
      <c r="W299" s="98"/>
      <c r="X299" s="96"/>
      <c r="Y299" s="98"/>
      <c r="Z299" s="96"/>
      <c r="AA299" s="97"/>
      <c r="AB299" s="96"/>
      <c r="AC299" s="98"/>
      <c r="AD299" s="98"/>
      <c r="AE299" s="98"/>
    </row>
    <row r="300" spans="2:31" x14ac:dyDescent="0.3">
      <c r="B300" s="96"/>
      <c r="C300" s="96"/>
      <c r="D300" s="96"/>
      <c r="E300" s="97"/>
      <c r="F300" s="96"/>
      <c r="G300" s="98"/>
      <c r="H300" s="96"/>
      <c r="I300" s="98"/>
      <c r="J300" s="97"/>
      <c r="K300" s="98"/>
      <c r="L300" s="100"/>
      <c r="M300" s="98"/>
      <c r="N300" s="96"/>
      <c r="O300" s="97"/>
      <c r="P300" s="70"/>
      <c r="Q300" s="97"/>
      <c r="R300" s="97"/>
      <c r="S300" s="98"/>
      <c r="T300" s="97"/>
      <c r="U300" s="98"/>
      <c r="V300" s="100"/>
      <c r="W300" s="98"/>
      <c r="X300" s="96"/>
      <c r="Y300" s="98"/>
      <c r="Z300" s="96"/>
      <c r="AA300" s="97"/>
      <c r="AB300" s="96"/>
      <c r="AC300" s="98"/>
      <c r="AD300" s="98"/>
      <c r="AE300" s="98"/>
    </row>
    <row r="301" spans="2:31" x14ac:dyDescent="0.3">
      <c r="B301" s="96"/>
      <c r="C301" s="96"/>
      <c r="D301" s="96"/>
      <c r="E301" s="97"/>
      <c r="F301" s="96"/>
      <c r="G301" s="98"/>
      <c r="H301" s="96"/>
      <c r="I301" s="98"/>
      <c r="J301" s="97"/>
      <c r="K301" s="98"/>
      <c r="L301" s="100"/>
      <c r="M301" s="98"/>
      <c r="N301" s="96"/>
      <c r="O301" s="97"/>
      <c r="P301" s="70"/>
      <c r="Q301" s="97"/>
      <c r="R301" s="97"/>
      <c r="S301" s="98"/>
      <c r="T301" s="97"/>
      <c r="U301" s="98"/>
      <c r="V301" s="100"/>
      <c r="W301" s="98"/>
      <c r="X301" s="96"/>
      <c r="Y301" s="98"/>
      <c r="Z301" s="96"/>
      <c r="AA301" s="97"/>
      <c r="AB301" s="96"/>
      <c r="AC301" s="98"/>
      <c r="AD301" s="98"/>
      <c r="AE301" s="98"/>
    </row>
    <row r="302" spans="2:31" x14ac:dyDescent="0.3">
      <c r="B302" s="96"/>
      <c r="C302" s="96"/>
      <c r="D302" s="96"/>
      <c r="E302" s="97"/>
      <c r="F302" s="96"/>
      <c r="G302" s="98"/>
      <c r="H302" s="96"/>
      <c r="I302" s="98"/>
      <c r="J302" s="97"/>
      <c r="K302" s="98"/>
      <c r="L302" s="100"/>
      <c r="M302" s="98"/>
      <c r="N302" s="96"/>
      <c r="O302" s="97"/>
      <c r="P302" s="70"/>
      <c r="Q302" s="97"/>
      <c r="R302" s="97"/>
      <c r="S302" s="98"/>
      <c r="T302" s="97"/>
      <c r="U302" s="98"/>
      <c r="V302" s="100"/>
      <c r="W302" s="98"/>
      <c r="X302" s="96"/>
      <c r="Y302" s="98"/>
      <c r="Z302" s="96"/>
      <c r="AA302" s="97"/>
      <c r="AB302" s="96"/>
      <c r="AC302" s="98"/>
      <c r="AD302" s="98"/>
      <c r="AE302" s="98"/>
    </row>
    <row r="303" spans="2:31" x14ac:dyDescent="0.3">
      <c r="B303" s="96"/>
      <c r="C303" s="96"/>
      <c r="D303" s="96"/>
      <c r="E303" s="97"/>
      <c r="F303" s="96"/>
      <c r="G303" s="98"/>
      <c r="H303" s="96"/>
      <c r="I303" s="98"/>
      <c r="J303" s="97"/>
      <c r="K303" s="98"/>
      <c r="L303" s="100"/>
      <c r="M303" s="98"/>
      <c r="N303" s="96"/>
      <c r="O303" s="97"/>
      <c r="P303" s="70"/>
      <c r="Q303" s="97"/>
      <c r="R303" s="97"/>
      <c r="S303" s="98"/>
      <c r="T303" s="97"/>
      <c r="U303" s="98"/>
      <c r="V303" s="100"/>
      <c r="W303" s="98"/>
      <c r="X303" s="96"/>
      <c r="Y303" s="98"/>
      <c r="Z303" s="96"/>
      <c r="AA303" s="97"/>
      <c r="AB303" s="96"/>
      <c r="AC303" s="98"/>
      <c r="AD303" s="98"/>
      <c r="AE303" s="98"/>
    </row>
    <row r="304" spans="2:31" x14ac:dyDescent="0.3">
      <c r="B304" s="96"/>
      <c r="C304" s="96"/>
      <c r="D304" s="96"/>
      <c r="E304" s="97"/>
      <c r="F304" s="96"/>
      <c r="G304" s="98"/>
      <c r="H304" s="96"/>
      <c r="I304" s="98"/>
      <c r="J304" s="97"/>
      <c r="K304" s="98"/>
      <c r="L304" s="100"/>
      <c r="M304" s="98"/>
      <c r="N304" s="96"/>
      <c r="O304" s="97"/>
      <c r="P304" s="70"/>
      <c r="Q304" s="97"/>
      <c r="R304" s="97"/>
      <c r="S304" s="98"/>
      <c r="T304" s="97"/>
      <c r="U304" s="98"/>
      <c r="V304" s="100"/>
      <c r="W304" s="98"/>
      <c r="X304" s="96"/>
      <c r="Y304" s="98"/>
      <c r="Z304" s="96"/>
      <c r="AA304" s="97"/>
      <c r="AB304" s="96"/>
      <c r="AC304" s="98"/>
      <c r="AD304" s="98"/>
      <c r="AE304" s="98"/>
    </row>
    <row r="305" spans="2:31" x14ac:dyDescent="0.3">
      <c r="B305" s="96"/>
      <c r="C305" s="96"/>
      <c r="D305" s="96"/>
      <c r="E305" s="97"/>
      <c r="F305" s="96"/>
      <c r="G305" s="98"/>
      <c r="H305" s="96"/>
      <c r="I305" s="98"/>
      <c r="J305" s="97"/>
      <c r="K305" s="98"/>
      <c r="L305" s="100"/>
      <c r="M305" s="98"/>
      <c r="N305" s="96"/>
      <c r="O305" s="97"/>
      <c r="P305" s="70"/>
      <c r="Q305" s="97"/>
      <c r="R305" s="97"/>
      <c r="S305" s="98"/>
      <c r="T305" s="97"/>
      <c r="U305" s="98"/>
      <c r="V305" s="100"/>
      <c r="W305" s="98"/>
      <c r="X305" s="96"/>
      <c r="Y305" s="98"/>
      <c r="Z305" s="96"/>
      <c r="AA305" s="97"/>
      <c r="AB305" s="96"/>
      <c r="AC305" s="98"/>
      <c r="AD305" s="98"/>
      <c r="AE305" s="98"/>
    </row>
    <row r="306" spans="2:31" x14ac:dyDescent="0.3">
      <c r="B306" s="96"/>
      <c r="C306" s="96"/>
      <c r="D306" s="96"/>
      <c r="E306" s="97"/>
      <c r="F306" s="96"/>
      <c r="G306" s="98"/>
      <c r="H306" s="96"/>
      <c r="I306" s="98"/>
      <c r="J306" s="97"/>
      <c r="K306" s="98"/>
      <c r="L306" s="100"/>
      <c r="M306" s="98"/>
      <c r="N306" s="96"/>
      <c r="O306" s="97"/>
      <c r="P306" s="70"/>
      <c r="Q306" s="97"/>
      <c r="R306" s="97"/>
      <c r="S306" s="98"/>
      <c r="T306" s="97"/>
      <c r="U306" s="98"/>
      <c r="V306" s="100"/>
      <c r="W306" s="98"/>
      <c r="X306" s="96"/>
      <c r="Y306" s="98"/>
      <c r="Z306" s="96"/>
      <c r="AA306" s="97"/>
      <c r="AB306" s="96"/>
      <c r="AC306" s="98"/>
      <c r="AD306" s="98"/>
      <c r="AE306" s="98"/>
    </row>
    <row r="307" spans="2:31" x14ac:dyDescent="0.3">
      <c r="B307" s="96"/>
      <c r="C307" s="96"/>
      <c r="D307" s="96"/>
      <c r="E307" s="97"/>
      <c r="F307" s="96"/>
      <c r="G307" s="98"/>
      <c r="H307" s="96"/>
      <c r="I307" s="98"/>
      <c r="J307" s="97"/>
      <c r="K307" s="98"/>
      <c r="L307" s="100"/>
      <c r="M307" s="98"/>
      <c r="N307" s="96"/>
      <c r="O307" s="97"/>
      <c r="P307" s="70"/>
      <c r="Q307" s="97"/>
      <c r="R307" s="97"/>
      <c r="S307" s="98"/>
      <c r="T307" s="97"/>
      <c r="U307" s="98"/>
      <c r="V307" s="100"/>
      <c r="W307" s="98"/>
      <c r="X307" s="96"/>
      <c r="Y307" s="98"/>
      <c r="Z307" s="96"/>
      <c r="AA307" s="97"/>
      <c r="AB307" s="96"/>
      <c r="AC307" s="98"/>
      <c r="AD307" s="98"/>
      <c r="AE307" s="98"/>
    </row>
    <row r="308" spans="2:31" x14ac:dyDescent="0.3">
      <c r="B308" s="96"/>
      <c r="C308" s="96"/>
      <c r="D308" s="96"/>
      <c r="E308" s="97"/>
      <c r="F308" s="96"/>
      <c r="G308" s="98"/>
      <c r="H308" s="96"/>
      <c r="I308" s="98"/>
      <c r="J308" s="97"/>
      <c r="K308" s="98"/>
      <c r="L308" s="100"/>
      <c r="M308" s="98"/>
      <c r="N308" s="96"/>
      <c r="O308" s="97"/>
      <c r="P308" s="70"/>
      <c r="Q308" s="97"/>
      <c r="R308" s="97"/>
      <c r="S308" s="98"/>
      <c r="T308" s="97"/>
      <c r="U308" s="98"/>
      <c r="V308" s="100"/>
      <c r="W308" s="98"/>
      <c r="X308" s="96"/>
      <c r="Y308" s="98"/>
      <c r="Z308" s="96"/>
      <c r="AA308" s="97"/>
      <c r="AB308" s="96"/>
      <c r="AC308" s="98"/>
      <c r="AD308" s="98"/>
      <c r="AE308" s="98"/>
    </row>
    <row r="309" spans="2:31" x14ac:dyDescent="0.3">
      <c r="B309" s="96"/>
      <c r="C309" s="96"/>
      <c r="D309" s="96"/>
      <c r="E309" s="97"/>
      <c r="F309" s="96"/>
      <c r="G309" s="98"/>
      <c r="H309" s="96"/>
      <c r="I309" s="98"/>
      <c r="J309" s="97"/>
      <c r="K309" s="98"/>
      <c r="L309" s="100"/>
      <c r="M309" s="98"/>
      <c r="N309" s="96"/>
      <c r="O309" s="97"/>
      <c r="P309" s="70"/>
      <c r="Q309" s="97"/>
      <c r="R309" s="97"/>
      <c r="S309" s="98"/>
      <c r="T309" s="97"/>
      <c r="U309" s="98"/>
      <c r="V309" s="100"/>
      <c r="W309" s="98"/>
      <c r="X309" s="96"/>
      <c r="Y309" s="98"/>
      <c r="Z309" s="96"/>
      <c r="AA309" s="97"/>
      <c r="AB309" s="96"/>
      <c r="AC309" s="98"/>
      <c r="AD309" s="98"/>
      <c r="AE309" s="98"/>
    </row>
    <row r="310" spans="2:31" x14ac:dyDescent="0.3">
      <c r="B310" s="96"/>
      <c r="C310" s="96"/>
      <c r="D310" s="96"/>
      <c r="E310" s="97"/>
      <c r="F310" s="96"/>
      <c r="G310" s="98"/>
      <c r="H310" s="96"/>
      <c r="I310" s="98"/>
      <c r="J310" s="97"/>
      <c r="K310" s="98"/>
      <c r="L310" s="100"/>
      <c r="M310" s="98"/>
      <c r="N310" s="96"/>
      <c r="O310" s="97"/>
      <c r="P310" s="70"/>
      <c r="Q310" s="97"/>
      <c r="R310" s="97"/>
      <c r="S310" s="98"/>
      <c r="T310" s="97"/>
      <c r="U310" s="98"/>
      <c r="V310" s="100"/>
      <c r="W310" s="98"/>
      <c r="X310" s="96"/>
      <c r="Y310" s="98"/>
      <c r="Z310" s="96"/>
      <c r="AA310" s="97"/>
      <c r="AB310" s="96"/>
      <c r="AC310" s="98"/>
      <c r="AD310" s="98"/>
      <c r="AE310" s="98"/>
    </row>
    <row r="311" spans="2:31" x14ac:dyDescent="0.3">
      <c r="B311" s="96"/>
      <c r="C311" s="96"/>
      <c r="D311" s="96"/>
      <c r="E311" s="97"/>
      <c r="F311" s="96"/>
      <c r="G311" s="98"/>
      <c r="H311" s="96"/>
      <c r="I311" s="98"/>
      <c r="J311" s="97"/>
      <c r="K311" s="98"/>
      <c r="L311" s="100"/>
      <c r="M311" s="98"/>
      <c r="N311" s="96"/>
      <c r="O311" s="97"/>
      <c r="P311" s="70"/>
      <c r="Q311" s="97"/>
      <c r="R311" s="97"/>
      <c r="S311" s="98"/>
      <c r="T311" s="97"/>
      <c r="U311" s="98"/>
      <c r="V311" s="100"/>
      <c r="W311" s="98"/>
      <c r="X311" s="96"/>
      <c r="Y311" s="98"/>
      <c r="Z311" s="96"/>
      <c r="AA311" s="97"/>
      <c r="AB311" s="96"/>
      <c r="AC311" s="98"/>
      <c r="AD311" s="98"/>
      <c r="AE311" s="98"/>
    </row>
    <row r="312" spans="2:31" x14ac:dyDescent="0.3">
      <c r="B312" s="96"/>
      <c r="C312" s="96"/>
      <c r="D312" s="96"/>
      <c r="E312" s="97"/>
      <c r="F312" s="96"/>
      <c r="G312" s="98"/>
      <c r="H312" s="96"/>
      <c r="I312" s="98"/>
      <c r="J312" s="97"/>
      <c r="K312" s="98"/>
      <c r="L312" s="100"/>
      <c r="M312" s="98"/>
      <c r="N312" s="96"/>
      <c r="O312" s="97"/>
      <c r="P312" s="70"/>
      <c r="Q312" s="97"/>
      <c r="R312" s="97"/>
      <c r="S312" s="98"/>
      <c r="T312" s="97"/>
      <c r="U312" s="98"/>
      <c r="V312" s="100"/>
      <c r="W312" s="98"/>
      <c r="X312" s="96"/>
      <c r="Y312" s="98"/>
      <c r="Z312" s="96"/>
      <c r="AA312" s="97"/>
      <c r="AB312" s="96"/>
      <c r="AC312" s="98"/>
      <c r="AD312" s="98"/>
      <c r="AE312" s="98"/>
    </row>
    <row r="313" spans="2:31" x14ac:dyDescent="0.3">
      <c r="B313" s="96"/>
      <c r="C313" s="96"/>
      <c r="D313" s="96"/>
      <c r="E313" s="97"/>
      <c r="F313" s="96"/>
      <c r="G313" s="98"/>
      <c r="H313" s="96"/>
      <c r="I313" s="98"/>
      <c r="J313" s="97"/>
      <c r="K313" s="98"/>
      <c r="L313" s="100"/>
      <c r="M313" s="98"/>
      <c r="N313" s="96"/>
      <c r="O313" s="97"/>
      <c r="P313" s="70"/>
      <c r="Q313" s="97"/>
      <c r="R313" s="97"/>
      <c r="S313" s="98"/>
      <c r="T313" s="97"/>
      <c r="U313" s="98"/>
      <c r="V313" s="100"/>
      <c r="W313" s="98"/>
      <c r="X313" s="96"/>
      <c r="Y313" s="98"/>
      <c r="Z313" s="96"/>
      <c r="AA313" s="97"/>
      <c r="AB313" s="96"/>
      <c r="AC313" s="98"/>
      <c r="AD313" s="98"/>
      <c r="AE313" s="98"/>
    </row>
    <row r="314" spans="2:31" x14ac:dyDescent="0.3">
      <c r="B314" s="96"/>
      <c r="C314" s="96"/>
      <c r="D314" s="96"/>
      <c r="E314" s="97"/>
      <c r="F314" s="96"/>
      <c r="G314" s="98"/>
      <c r="H314" s="96"/>
      <c r="I314" s="98"/>
      <c r="J314" s="97"/>
      <c r="K314" s="98"/>
      <c r="L314" s="100"/>
      <c r="M314" s="98"/>
      <c r="N314" s="96"/>
      <c r="O314" s="97"/>
      <c r="P314" s="70"/>
      <c r="Q314" s="97"/>
      <c r="R314" s="97"/>
      <c r="S314" s="98"/>
      <c r="T314" s="97"/>
      <c r="U314" s="98"/>
      <c r="V314" s="100"/>
      <c r="W314" s="98"/>
      <c r="X314" s="96"/>
      <c r="Y314" s="98"/>
      <c r="Z314" s="96"/>
      <c r="AA314" s="97"/>
      <c r="AB314" s="96"/>
      <c r="AC314" s="98"/>
      <c r="AD314" s="98"/>
      <c r="AE314" s="98"/>
    </row>
    <row r="315" spans="2:31" x14ac:dyDescent="0.3">
      <c r="B315" s="96"/>
      <c r="C315" s="96"/>
      <c r="D315" s="96"/>
      <c r="E315" s="97"/>
      <c r="F315" s="96"/>
      <c r="G315" s="98"/>
      <c r="H315" s="96"/>
      <c r="I315" s="98"/>
      <c r="J315" s="97"/>
      <c r="K315" s="98"/>
      <c r="L315" s="100"/>
      <c r="M315" s="98"/>
      <c r="N315" s="96"/>
      <c r="O315" s="97"/>
      <c r="P315" s="70"/>
      <c r="Q315" s="97"/>
      <c r="R315" s="97"/>
      <c r="S315" s="98"/>
      <c r="T315" s="97"/>
      <c r="U315" s="98"/>
      <c r="V315" s="100"/>
      <c r="W315" s="98"/>
      <c r="X315" s="96"/>
      <c r="Y315" s="98"/>
      <c r="Z315" s="96"/>
      <c r="AA315" s="97"/>
      <c r="AB315" s="96"/>
      <c r="AC315" s="98"/>
      <c r="AD315" s="98"/>
      <c r="AE315" s="98"/>
    </row>
    <row r="316" spans="2:31" x14ac:dyDescent="0.3">
      <c r="B316" s="96"/>
      <c r="C316" s="96"/>
      <c r="D316" s="96"/>
      <c r="E316" s="97"/>
      <c r="F316" s="96"/>
      <c r="G316" s="98"/>
      <c r="H316" s="96"/>
      <c r="I316" s="98"/>
      <c r="J316" s="97"/>
      <c r="K316" s="98"/>
      <c r="L316" s="100"/>
      <c r="M316" s="98"/>
      <c r="N316" s="96"/>
      <c r="O316" s="97"/>
      <c r="P316" s="70"/>
      <c r="Q316" s="97"/>
      <c r="R316" s="97"/>
      <c r="S316" s="98"/>
      <c r="T316" s="97"/>
      <c r="U316" s="98"/>
      <c r="V316" s="100"/>
      <c r="W316" s="98"/>
      <c r="X316" s="96"/>
      <c r="Y316" s="98"/>
      <c r="Z316" s="96"/>
      <c r="AA316" s="97"/>
      <c r="AB316" s="96"/>
      <c r="AC316" s="98"/>
      <c r="AD316" s="98"/>
      <c r="AE316" s="98"/>
    </row>
    <row r="317" spans="2:31" x14ac:dyDescent="0.3">
      <c r="B317" s="96"/>
      <c r="C317" s="96"/>
      <c r="D317" s="96"/>
      <c r="E317" s="97"/>
      <c r="F317" s="96"/>
      <c r="G317" s="98"/>
      <c r="H317" s="96"/>
      <c r="I317" s="98"/>
      <c r="J317" s="97"/>
      <c r="K317" s="98"/>
      <c r="L317" s="100"/>
      <c r="M317" s="98"/>
      <c r="N317" s="96"/>
      <c r="O317" s="97"/>
      <c r="P317" s="70"/>
      <c r="Q317" s="97"/>
      <c r="R317" s="97"/>
      <c r="S317" s="98"/>
      <c r="T317" s="97"/>
      <c r="U317" s="98"/>
      <c r="V317" s="100"/>
      <c r="W317" s="98"/>
      <c r="X317" s="96"/>
      <c r="Y317" s="98"/>
      <c r="Z317" s="96"/>
      <c r="AA317" s="97"/>
      <c r="AB317" s="96"/>
      <c r="AC317" s="98"/>
      <c r="AD317" s="98"/>
      <c r="AE317" s="98"/>
    </row>
    <row r="318" spans="2:31" x14ac:dyDescent="0.3">
      <c r="B318" s="96"/>
      <c r="C318" s="96"/>
      <c r="D318" s="96"/>
      <c r="E318" s="97"/>
      <c r="F318" s="96"/>
      <c r="G318" s="98"/>
      <c r="H318" s="96"/>
      <c r="I318" s="98"/>
      <c r="J318" s="97"/>
      <c r="K318" s="98"/>
      <c r="L318" s="100"/>
      <c r="M318" s="98"/>
      <c r="N318" s="96"/>
      <c r="O318" s="97"/>
      <c r="P318" s="70"/>
      <c r="Q318" s="97"/>
      <c r="R318" s="97"/>
      <c r="S318" s="98"/>
      <c r="T318" s="97"/>
      <c r="U318" s="98"/>
      <c r="V318" s="100"/>
      <c r="W318" s="98"/>
      <c r="X318" s="96"/>
      <c r="Y318" s="98"/>
      <c r="Z318" s="96"/>
      <c r="AA318" s="97"/>
      <c r="AB318" s="96"/>
      <c r="AC318" s="98"/>
      <c r="AD318" s="98"/>
      <c r="AE318" s="98"/>
    </row>
    <row r="319" spans="2:31" x14ac:dyDescent="0.3">
      <c r="B319" s="96"/>
      <c r="C319" s="96"/>
      <c r="D319" s="96"/>
      <c r="E319" s="97"/>
      <c r="F319" s="96"/>
      <c r="G319" s="98"/>
      <c r="H319" s="96"/>
      <c r="I319" s="98"/>
      <c r="J319" s="97"/>
      <c r="K319" s="98"/>
      <c r="L319" s="100"/>
      <c r="M319" s="98"/>
      <c r="N319" s="96"/>
      <c r="O319" s="97"/>
      <c r="P319" s="70"/>
      <c r="Q319" s="97"/>
      <c r="R319" s="97"/>
      <c r="S319" s="98"/>
      <c r="T319" s="97"/>
      <c r="U319" s="98"/>
      <c r="V319" s="100"/>
      <c r="W319" s="98"/>
      <c r="X319" s="96"/>
      <c r="Y319" s="98"/>
      <c r="Z319" s="96"/>
      <c r="AA319" s="97"/>
      <c r="AB319" s="96"/>
      <c r="AC319" s="98"/>
      <c r="AD319" s="98"/>
      <c r="AE319" s="98"/>
    </row>
    <row r="320" spans="2:31" x14ac:dyDescent="0.3">
      <c r="B320" s="96"/>
      <c r="C320" s="96"/>
      <c r="D320" s="96"/>
      <c r="E320" s="97"/>
      <c r="F320" s="96"/>
      <c r="G320" s="98"/>
      <c r="H320" s="96"/>
      <c r="I320" s="98"/>
      <c r="J320" s="97"/>
      <c r="K320" s="98"/>
      <c r="L320" s="100"/>
      <c r="M320" s="98"/>
      <c r="N320" s="96"/>
      <c r="O320" s="97"/>
      <c r="P320" s="70"/>
      <c r="Q320" s="97"/>
      <c r="R320" s="97"/>
      <c r="S320" s="98"/>
      <c r="T320" s="97"/>
      <c r="U320" s="98"/>
      <c r="V320" s="100"/>
      <c r="W320" s="98"/>
      <c r="X320" s="96"/>
      <c r="Y320" s="98"/>
      <c r="Z320" s="96"/>
      <c r="AA320" s="97"/>
      <c r="AB320" s="96"/>
      <c r="AC320" s="98"/>
      <c r="AD320" s="98"/>
      <c r="AE320" s="98"/>
    </row>
    <row r="321" spans="2:31" x14ac:dyDescent="0.3">
      <c r="B321" s="96"/>
      <c r="C321" s="96"/>
      <c r="D321" s="96"/>
      <c r="E321" s="97"/>
      <c r="F321" s="96"/>
      <c r="G321" s="98"/>
      <c r="H321" s="96"/>
      <c r="I321" s="98"/>
      <c r="J321" s="97"/>
      <c r="K321" s="98"/>
      <c r="L321" s="100"/>
      <c r="M321" s="98"/>
      <c r="N321" s="96"/>
      <c r="O321" s="97"/>
      <c r="P321" s="70"/>
      <c r="Q321" s="97"/>
      <c r="R321" s="97"/>
      <c r="S321" s="98"/>
      <c r="T321" s="97"/>
      <c r="U321" s="98"/>
      <c r="V321" s="100"/>
      <c r="W321" s="98"/>
      <c r="X321" s="96"/>
      <c r="Y321" s="98"/>
      <c r="Z321" s="96"/>
      <c r="AA321" s="97"/>
      <c r="AB321" s="96"/>
      <c r="AC321" s="98"/>
      <c r="AD321" s="98"/>
      <c r="AE321" s="98"/>
    </row>
    <row r="322" spans="2:31" x14ac:dyDescent="0.3">
      <c r="B322" s="96"/>
      <c r="C322" s="96"/>
      <c r="D322" s="96"/>
      <c r="E322" s="97"/>
      <c r="F322" s="96"/>
      <c r="G322" s="98"/>
      <c r="H322" s="96"/>
      <c r="I322" s="98"/>
      <c r="J322" s="97"/>
      <c r="K322" s="98"/>
      <c r="L322" s="100"/>
      <c r="M322" s="98"/>
      <c r="N322" s="96"/>
      <c r="O322" s="97"/>
      <c r="P322" s="70"/>
      <c r="Q322" s="97"/>
      <c r="R322" s="97"/>
      <c r="S322" s="98"/>
      <c r="T322" s="97"/>
      <c r="U322" s="98"/>
      <c r="V322" s="100"/>
      <c r="W322" s="98"/>
      <c r="X322" s="96"/>
      <c r="Y322" s="98"/>
      <c r="Z322" s="96"/>
      <c r="AA322" s="97"/>
      <c r="AB322" s="96"/>
      <c r="AC322" s="98"/>
      <c r="AD322" s="98"/>
      <c r="AE322" s="98"/>
    </row>
    <row r="323" spans="2:31" x14ac:dyDescent="0.3">
      <c r="B323" s="96"/>
      <c r="C323" s="96"/>
      <c r="D323" s="96"/>
      <c r="E323" s="97"/>
      <c r="F323" s="96"/>
      <c r="G323" s="98"/>
      <c r="H323" s="96"/>
      <c r="I323" s="98"/>
      <c r="J323" s="97"/>
      <c r="K323" s="98"/>
      <c r="L323" s="100"/>
      <c r="M323" s="98"/>
      <c r="N323" s="96"/>
      <c r="O323" s="97"/>
      <c r="P323" s="70"/>
      <c r="Q323" s="97"/>
      <c r="R323" s="97"/>
      <c r="S323" s="98"/>
      <c r="T323" s="97"/>
      <c r="U323" s="98"/>
      <c r="V323" s="100"/>
      <c r="W323" s="98"/>
      <c r="X323" s="96"/>
      <c r="Y323" s="98"/>
      <c r="Z323" s="96"/>
      <c r="AA323" s="97"/>
      <c r="AB323" s="96"/>
      <c r="AC323" s="98"/>
      <c r="AD323" s="98"/>
      <c r="AE323" s="98"/>
    </row>
    <row r="324" spans="2:31" x14ac:dyDescent="0.3">
      <c r="B324" s="96"/>
      <c r="C324" s="96"/>
      <c r="D324" s="96"/>
      <c r="E324" s="97"/>
      <c r="F324" s="96"/>
      <c r="G324" s="98"/>
      <c r="H324" s="96"/>
      <c r="I324" s="98"/>
      <c r="J324" s="97"/>
      <c r="K324" s="98"/>
      <c r="L324" s="100"/>
      <c r="M324" s="98"/>
      <c r="N324" s="96"/>
      <c r="O324" s="97"/>
      <c r="P324" s="70"/>
      <c r="Q324" s="97"/>
      <c r="R324" s="97"/>
      <c r="S324" s="98"/>
      <c r="T324" s="97"/>
      <c r="U324" s="98"/>
      <c r="V324" s="100"/>
      <c r="W324" s="98"/>
      <c r="X324" s="96"/>
      <c r="Y324" s="98"/>
      <c r="Z324" s="96"/>
      <c r="AA324" s="97"/>
      <c r="AB324" s="96"/>
      <c r="AC324" s="98"/>
      <c r="AD324" s="98"/>
      <c r="AE324" s="98"/>
    </row>
    <row r="325" spans="2:31" x14ac:dyDescent="0.3">
      <c r="B325" s="96"/>
      <c r="C325" s="96"/>
      <c r="D325" s="96"/>
      <c r="E325" s="97"/>
      <c r="F325" s="96"/>
      <c r="G325" s="98"/>
      <c r="H325" s="96"/>
      <c r="I325" s="98"/>
      <c r="J325" s="97"/>
      <c r="K325" s="98"/>
      <c r="L325" s="100"/>
      <c r="M325" s="98"/>
      <c r="N325" s="96"/>
      <c r="O325" s="97"/>
      <c r="P325" s="70"/>
      <c r="Q325" s="97"/>
      <c r="R325" s="97"/>
      <c r="S325" s="98"/>
      <c r="T325" s="97"/>
      <c r="U325" s="98"/>
      <c r="V325" s="100"/>
      <c r="W325" s="98"/>
      <c r="X325" s="96"/>
      <c r="Y325" s="98"/>
      <c r="Z325" s="96"/>
      <c r="AA325" s="97"/>
      <c r="AB325" s="96"/>
      <c r="AC325" s="98"/>
      <c r="AD325" s="98"/>
      <c r="AE325" s="98"/>
    </row>
    <row r="326" spans="2:31" x14ac:dyDescent="0.3">
      <c r="B326" s="96"/>
      <c r="C326" s="96"/>
      <c r="D326" s="96"/>
      <c r="E326" s="97"/>
      <c r="F326" s="96"/>
      <c r="G326" s="98"/>
      <c r="H326" s="96"/>
      <c r="I326" s="98"/>
      <c r="J326" s="97"/>
      <c r="K326" s="98"/>
      <c r="L326" s="100"/>
      <c r="M326" s="98"/>
      <c r="N326" s="96"/>
      <c r="O326" s="97"/>
      <c r="P326" s="70"/>
      <c r="Q326" s="97"/>
      <c r="R326" s="97"/>
      <c r="S326" s="98"/>
      <c r="T326" s="97"/>
      <c r="U326" s="98"/>
      <c r="V326" s="100"/>
      <c r="W326" s="98"/>
      <c r="X326" s="96"/>
      <c r="Y326" s="98"/>
      <c r="Z326" s="96"/>
      <c r="AA326" s="97"/>
      <c r="AB326" s="96"/>
      <c r="AC326" s="98"/>
      <c r="AD326" s="98"/>
      <c r="AE326" s="98"/>
    </row>
    <row r="327" spans="2:31" x14ac:dyDescent="0.3">
      <c r="B327" s="96"/>
      <c r="C327" s="96"/>
      <c r="D327" s="96"/>
      <c r="E327" s="97"/>
      <c r="F327" s="96"/>
      <c r="G327" s="98"/>
      <c r="H327" s="96"/>
      <c r="I327" s="98"/>
      <c r="J327" s="97"/>
      <c r="K327" s="98"/>
      <c r="L327" s="100"/>
      <c r="M327" s="98"/>
      <c r="N327" s="96"/>
      <c r="O327" s="97"/>
      <c r="P327" s="70"/>
      <c r="Q327" s="97"/>
      <c r="R327" s="97"/>
      <c r="S327" s="98"/>
      <c r="T327" s="97"/>
      <c r="U327" s="98"/>
      <c r="V327" s="100"/>
      <c r="W327" s="98"/>
      <c r="X327" s="96"/>
      <c r="Y327" s="98"/>
      <c r="Z327" s="96"/>
      <c r="AA327" s="97"/>
      <c r="AB327" s="96"/>
      <c r="AC327" s="98"/>
      <c r="AD327" s="98"/>
      <c r="AE327" s="98"/>
    </row>
    <row r="328" spans="2:31" x14ac:dyDescent="0.3">
      <c r="B328" s="96"/>
      <c r="C328" s="96"/>
      <c r="D328" s="96"/>
      <c r="E328" s="97"/>
      <c r="F328" s="96"/>
      <c r="G328" s="98"/>
      <c r="H328" s="96"/>
      <c r="I328" s="98"/>
      <c r="J328" s="97"/>
      <c r="K328" s="98"/>
      <c r="L328" s="100"/>
      <c r="M328" s="98"/>
      <c r="N328" s="96"/>
      <c r="O328" s="97"/>
      <c r="P328" s="70"/>
      <c r="Q328" s="97"/>
      <c r="R328" s="97"/>
      <c r="S328" s="98"/>
      <c r="T328" s="97"/>
      <c r="U328" s="98"/>
      <c r="V328" s="100"/>
      <c r="W328" s="98"/>
      <c r="X328" s="96"/>
      <c r="Y328" s="98"/>
      <c r="Z328" s="96"/>
      <c r="AA328" s="97"/>
      <c r="AB328" s="96"/>
      <c r="AC328" s="98"/>
      <c r="AD328" s="98"/>
      <c r="AE328" s="98"/>
    </row>
    <row r="329" spans="2:31" x14ac:dyDescent="0.3">
      <c r="B329" s="96"/>
      <c r="C329" s="96"/>
      <c r="D329" s="96"/>
      <c r="E329" s="97"/>
      <c r="F329" s="96"/>
      <c r="G329" s="98"/>
      <c r="H329" s="96"/>
      <c r="I329" s="98"/>
      <c r="J329" s="97"/>
      <c r="K329" s="98"/>
      <c r="L329" s="100"/>
      <c r="M329" s="98"/>
      <c r="N329" s="96"/>
      <c r="O329" s="97"/>
      <c r="P329" s="70"/>
      <c r="Q329" s="97"/>
      <c r="R329" s="97"/>
      <c r="S329" s="98"/>
      <c r="T329" s="97"/>
      <c r="U329" s="98"/>
      <c r="V329" s="100"/>
      <c r="W329" s="98"/>
      <c r="X329" s="96"/>
      <c r="Y329" s="98"/>
      <c r="Z329" s="96"/>
      <c r="AA329" s="97"/>
      <c r="AB329" s="96"/>
      <c r="AC329" s="98"/>
      <c r="AD329" s="98"/>
      <c r="AE329" s="98"/>
    </row>
    <row r="330" spans="2:31" x14ac:dyDescent="0.3">
      <c r="B330" s="96"/>
      <c r="C330" s="96"/>
      <c r="D330" s="96"/>
      <c r="E330" s="97"/>
      <c r="F330" s="96"/>
      <c r="G330" s="98"/>
      <c r="H330" s="96"/>
      <c r="I330" s="98"/>
      <c r="J330" s="97"/>
      <c r="K330" s="98"/>
      <c r="L330" s="100"/>
      <c r="M330" s="98"/>
      <c r="N330" s="96"/>
      <c r="O330" s="97"/>
      <c r="P330" s="70"/>
      <c r="Q330" s="97"/>
      <c r="R330" s="97"/>
      <c r="S330" s="98"/>
      <c r="T330" s="97"/>
      <c r="U330" s="98"/>
      <c r="V330" s="100"/>
      <c r="W330" s="98"/>
      <c r="X330" s="96"/>
      <c r="Y330" s="98"/>
      <c r="Z330" s="96"/>
      <c r="AA330" s="97"/>
      <c r="AB330" s="96"/>
      <c r="AC330" s="98"/>
      <c r="AD330" s="98"/>
      <c r="AE330" s="98"/>
    </row>
    <row r="331" spans="2:31" x14ac:dyDescent="0.3">
      <c r="B331" s="96"/>
      <c r="C331" s="96"/>
      <c r="D331" s="96"/>
      <c r="E331" s="97"/>
      <c r="F331" s="96"/>
      <c r="G331" s="98"/>
      <c r="H331" s="96"/>
      <c r="I331" s="98"/>
      <c r="J331" s="97"/>
      <c r="K331" s="98"/>
      <c r="L331" s="100"/>
      <c r="M331" s="98"/>
      <c r="N331" s="96"/>
      <c r="O331" s="97"/>
      <c r="P331" s="70"/>
      <c r="Q331" s="97"/>
      <c r="R331" s="97"/>
      <c r="S331" s="98"/>
      <c r="T331" s="97"/>
      <c r="U331" s="98"/>
      <c r="V331" s="100"/>
      <c r="W331" s="98"/>
      <c r="X331" s="96"/>
      <c r="Y331" s="98"/>
      <c r="Z331" s="96"/>
      <c r="AA331" s="97"/>
      <c r="AB331" s="96"/>
      <c r="AC331" s="98"/>
      <c r="AD331" s="98"/>
      <c r="AE331" s="98"/>
    </row>
    <row r="332" spans="2:31" x14ac:dyDescent="0.3">
      <c r="B332" s="96"/>
      <c r="C332" s="96"/>
      <c r="D332" s="96"/>
      <c r="E332" s="97"/>
      <c r="F332" s="96"/>
      <c r="G332" s="98"/>
      <c r="H332" s="96"/>
      <c r="I332" s="98"/>
      <c r="J332" s="97"/>
      <c r="K332" s="98"/>
      <c r="L332" s="100"/>
      <c r="M332" s="98"/>
      <c r="N332" s="96"/>
      <c r="O332" s="97"/>
      <c r="P332" s="70"/>
      <c r="Q332" s="97"/>
      <c r="R332" s="97"/>
      <c r="S332" s="98"/>
      <c r="T332" s="97"/>
      <c r="U332" s="98"/>
      <c r="V332" s="100"/>
      <c r="W332" s="98"/>
      <c r="X332" s="96"/>
      <c r="Y332" s="98"/>
      <c r="Z332" s="96"/>
      <c r="AA332" s="97"/>
      <c r="AB332" s="96"/>
      <c r="AC332" s="98"/>
      <c r="AD332" s="98"/>
      <c r="AE332" s="98"/>
    </row>
    <row r="333" spans="2:31" x14ac:dyDescent="0.3">
      <c r="B333" s="96"/>
      <c r="C333" s="96"/>
      <c r="D333" s="96"/>
      <c r="E333" s="97"/>
      <c r="F333" s="96"/>
      <c r="G333" s="98"/>
      <c r="H333" s="96"/>
      <c r="I333" s="98"/>
      <c r="J333" s="97"/>
      <c r="K333" s="98"/>
      <c r="L333" s="100"/>
      <c r="M333" s="98"/>
      <c r="N333" s="96"/>
      <c r="O333" s="97"/>
      <c r="P333" s="70"/>
      <c r="Q333" s="97"/>
      <c r="R333" s="97"/>
      <c r="S333" s="98"/>
      <c r="T333" s="97"/>
      <c r="U333" s="98"/>
      <c r="V333" s="100"/>
      <c r="W333" s="98"/>
      <c r="X333" s="96"/>
      <c r="Y333" s="98"/>
      <c r="Z333" s="96"/>
      <c r="AA333" s="97"/>
      <c r="AB333" s="96"/>
      <c r="AC333" s="98"/>
      <c r="AD333" s="98"/>
      <c r="AE333" s="98"/>
    </row>
    <row r="334" spans="2:31" x14ac:dyDescent="0.3">
      <c r="B334" s="96"/>
      <c r="C334" s="96"/>
      <c r="D334" s="96"/>
      <c r="E334" s="97"/>
      <c r="F334" s="96"/>
      <c r="G334" s="98"/>
      <c r="H334" s="96"/>
      <c r="I334" s="98"/>
      <c r="J334" s="97"/>
      <c r="K334" s="98"/>
      <c r="L334" s="100"/>
      <c r="M334" s="98"/>
      <c r="N334" s="96"/>
      <c r="O334" s="97"/>
      <c r="P334" s="70"/>
      <c r="Q334" s="97"/>
      <c r="R334" s="97"/>
      <c r="S334" s="98"/>
      <c r="T334" s="97"/>
      <c r="U334" s="98"/>
      <c r="V334" s="100"/>
      <c r="W334" s="98"/>
      <c r="X334" s="96"/>
      <c r="Y334" s="98"/>
      <c r="Z334" s="96"/>
      <c r="AA334" s="97"/>
      <c r="AB334" s="96"/>
      <c r="AC334" s="98"/>
      <c r="AD334" s="98"/>
      <c r="AE334" s="98"/>
    </row>
    <row r="335" spans="2:31" x14ac:dyDescent="0.3">
      <c r="B335" s="96"/>
      <c r="C335" s="96"/>
      <c r="D335" s="96"/>
      <c r="E335" s="97"/>
      <c r="F335" s="96"/>
      <c r="G335" s="98"/>
      <c r="H335" s="96"/>
      <c r="I335" s="98"/>
      <c r="J335" s="97"/>
      <c r="K335" s="98"/>
      <c r="L335" s="100"/>
      <c r="M335" s="98"/>
      <c r="N335" s="96"/>
      <c r="O335" s="97"/>
      <c r="P335" s="70"/>
      <c r="Q335" s="97"/>
      <c r="R335" s="97"/>
      <c r="S335" s="98"/>
      <c r="T335" s="97"/>
      <c r="U335" s="98"/>
      <c r="V335" s="100"/>
      <c r="W335" s="98"/>
      <c r="X335" s="96"/>
      <c r="Y335" s="98"/>
      <c r="Z335" s="96"/>
      <c r="AA335" s="97"/>
      <c r="AB335" s="96"/>
      <c r="AC335" s="98"/>
      <c r="AD335" s="98"/>
      <c r="AE335" s="98"/>
    </row>
    <row r="336" spans="2:31" x14ac:dyDescent="0.3">
      <c r="B336" s="96"/>
      <c r="C336" s="96"/>
      <c r="D336" s="96"/>
      <c r="E336" s="97"/>
      <c r="F336" s="96"/>
      <c r="G336" s="98"/>
      <c r="H336" s="96"/>
      <c r="I336" s="98"/>
      <c r="J336" s="97"/>
      <c r="K336" s="98"/>
      <c r="L336" s="100"/>
      <c r="M336" s="98"/>
      <c r="N336" s="96"/>
      <c r="O336" s="97"/>
      <c r="P336" s="70"/>
      <c r="Q336" s="97"/>
      <c r="R336" s="97"/>
      <c r="S336" s="98"/>
      <c r="T336" s="97"/>
      <c r="U336" s="98"/>
      <c r="V336" s="100"/>
      <c r="W336" s="98"/>
      <c r="X336" s="96"/>
      <c r="Y336" s="98"/>
      <c r="Z336" s="96"/>
      <c r="AA336" s="97"/>
      <c r="AB336" s="96"/>
      <c r="AC336" s="98"/>
      <c r="AD336" s="98"/>
      <c r="AE336" s="98"/>
    </row>
    <row r="337" spans="2:31" x14ac:dyDescent="0.3">
      <c r="B337" s="96"/>
      <c r="C337" s="96"/>
      <c r="D337" s="96"/>
      <c r="E337" s="97"/>
      <c r="F337" s="96"/>
      <c r="G337" s="98"/>
      <c r="H337" s="96"/>
      <c r="I337" s="98"/>
      <c r="J337" s="97"/>
      <c r="K337" s="98"/>
      <c r="L337" s="100"/>
      <c r="M337" s="98"/>
      <c r="N337" s="96"/>
      <c r="O337" s="97"/>
      <c r="P337" s="70"/>
      <c r="Q337" s="97"/>
      <c r="R337" s="97"/>
      <c r="S337" s="98"/>
      <c r="T337" s="97"/>
      <c r="U337" s="98"/>
      <c r="V337" s="100"/>
      <c r="W337" s="98"/>
      <c r="X337" s="96"/>
      <c r="Y337" s="98"/>
      <c r="Z337" s="96"/>
      <c r="AA337" s="97"/>
      <c r="AB337" s="96"/>
      <c r="AC337" s="98"/>
      <c r="AD337" s="98"/>
      <c r="AE337" s="98"/>
    </row>
    <row r="338" spans="2:31" x14ac:dyDescent="0.3">
      <c r="B338" s="96"/>
      <c r="C338" s="96"/>
      <c r="D338" s="96"/>
      <c r="E338" s="97"/>
      <c r="F338" s="96"/>
      <c r="G338" s="98"/>
      <c r="H338" s="96"/>
      <c r="I338" s="98"/>
      <c r="J338" s="97"/>
      <c r="K338" s="98"/>
      <c r="L338" s="100"/>
      <c r="M338" s="98"/>
      <c r="N338" s="96"/>
      <c r="O338" s="97"/>
      <c r="P338" s="70"/>
      <c r="Q338" s="97"/>
      <c r="R338" s="97"/>
      <c r="S338" s="98"/>
      <c r="T338" s="97"/>
      <c r="U338" s="98"/>
      <c r="V338" s="100"/>
      <c r="W338" s="98"/>
      <c r="X338" s="96"/>
      <c r="Y338" s="98"/>
      <c r="Z338" s="96"/>
      <c r="AA338" s="97"/>
      <c r="AB338" s="96"/>
      <c r="AC338" s="98"/>
      <c r="AD338" s="98"/>
      <c r="AE338" s="98"/>
    </row>
    <row r="339" spans="2:31" x14ac:dyDescent="0.3">
      <c r="B339" s="96"/>
      <c r="C339" s="96"/>
      <c r="D339" s="96"/>
      <c r="E339" s="97"/>
      <c r="F339" s="96"/>
      <c r="G339" s="98"/>
      <c r="H339" s="96"/>
      <c r="I339" s="98"/>
      <c r="J339" s="97"/>
      <c r="K339" s="98"/>
      <c r="L339" s="100"/>
      <c r="M339" s="98"/>
      <c r="N339" s="96"/>
      <c r="O339" s="97"/>
      <c r="P339" s="70"/>
      <c r="Q339" s="97"/>
      <c r="R339" s="97"/>
      <c r="S339" s="98"/>
      <c r="T339" s="97"/>
      <c r="U339" s="98"/>
      <c r="V339" s="100"/>
      <c r="W339" s="98"/>
      <c r="X339" s="96"/>
      <c r="Y339" s="98"/>
      <c r="Z339" s="96"/>
      <c r="AA339" s="97"/>
      <c r="AB339" s="96"/>
      <c r="AC339" s="98"/>
      <c r="AD339" s="98"/>
      <c r="AE339" s="98"/>
    </row>
    <row r="340" spans="2:31" x14ac:dyDescent="0.3">
      <c r="B340" s="96"/>
      <c r="C340" s="96"/>
      <c r="D340" s="96"/>
      <c r="E340" s="97"/>
      <c r="F340" s="96"/>
      <c r="G340" s="98"/>
      <c r="H340" s="96"/>
      <c r="I340" s="98"/>
      <c r="J340" s="97"/>
      <c r="K340" s="98"/>
      <c r="L340" s="100"/>
      <c r="M340" s="98"/>
      <c r="N340" s="96"/>
      <c r="O340" s="97"/>
      <c r="P340" s="70"/>
      <c r="Q340" s="97"/>
      <c r="R340" s="97"/>
      <c r="S340" s="98"/>
      <c r="T340" s="97"/>
      <c r="U340" s="98"/>
      <c r="V340" s="100"/>
      <c r="W340" s="98"/>
      <c r="X340" s="96"/>
      <c r="Y340" s="98"/>
      <c r="Z340" s="96"/>
      <c r="AA340" s="97"/>
      <c r="AB340" s="96"/>
      <c r="AC340" s="98"/>
      <c r="AD340" s="98"/>
      <c r="AE340" s="98"/>
    </row>
    <row r="341" spans="2:31" x14ac:dyDescent="0.3">
      <c r="B341" s="96"/>
      <c r="C341" s="96"/>
      <c r="D341" s="96"/>
      <c r="E341" s="97"/>
      <c r="F341" s="96"/>
      <c r="G341" s="98"/>
      <c r="H341" s="96"/>
      <c r="I341" s="98"/>
      <c r="J341" s="97"/>
      <c r="K341" s="98"/>
      <c r="L341" s="100"/>
      <c r="M341" s="98"/>
      <c r="N341" s="96"/>
      <c r="O341" s="97"/>
      <c r="P341" s="70"/>
      <c r="Q341" s="97"/>
      <c r="R341" s="97"/>
      <c r="S341" s="98"/>
      <c r="T341" s="97"/>
      <c r="U341" s="98"/>
      <c r="V341" s="100"/>
      <c r="W341" s="98"/>
      <c r="X341" s="96"/>
      <c r="Y341" s="98"/>
      <c r="Z341" s="96"/>
      <c r="AA341" s="97"/>
      <c r="AB341" s="96"/>
      <c r="AC341" s="98"/>
      <c r="AD341" s="98"/>
      <c r="AE341" s="98"/>
    </row>
    <row r="342" spans="2:31" x14ac:dyDescent="0.3">
      <c r="B342" s="96"/>
      <c r="C342" s="96"/>
      <c r="D342" s="96"/>
      <c r="E342" s="97"/>
      <c r="F342" s="96"/>
      <c r="G342" s="98"/>
      <c r="H342" s="96"/>
      <c r="I342" s="98"/>
      <c r="J342" s="97"/>
      <c r="K342" s="98"/>
      <c r="L342" s="100"/>
      <c r="M342" s="98"/>
      <c r="N342" s="96"/>
      <c r="O342" s="97"/>
      <c r="P342" s="70"/>
      <c r="Q342" s="97"/>
      <c r="R342" s="97"/>
      <c r="S342" s="98"/>
      <c r="T342" s="97"/>
      <c r="U342" s="98"/>
      <c r="V342" s="100"/>
      <c r="W342" s="98"/>
      <c r="X342" s="96"/>
      <c r="Y342" s="98"/>
      <c r="Z342" s="96"/>
      <c r="AA342" s="97"/>
      <c r="AB342" s="96"/>
      <c r="AC342" s="98"/>
      <c r="AD342" s="98"/>
      <c r="AE342" s="98"/>
    </row>
    <row r="343" spans="2:31" x14ac:dyDescent="0.3">
      <c r="B343" s="96"/>
      <c r="C343" s="96"/>
      <c r="D343" s="96"/>
      <c r="E343" s="97"/>
      <c r="F343" s="96"/>
      <c r="G343" s="98"/>
      <c r="H343" s="96"/>
      <c r="I343" s="98"/>
      <c r="J343" s="97"/>
      <c r="K343" s="98"/>
      <c r="L343" s="100"/>
      <c r="M343" s="98"/>
      <c r="N343" s="96"/>
      <c r="O343" s="97"/>
      <c r="P343" s="70"/>
      <c r="Q343" s="97"/>
      <c r="R343" s="97"/>
      <c r="S343" s="98"/>
      <c r="T343" s="97"/>
      <c r="U343" s="98"/>
      <c r="V343" s="100"/>
      <c r="W343" s="98"/>
      <c r="X343" s="96"/>
      <c r="Y343" s="98"/>
      <c r="Z343" s="96"/>
      <c r="AA343" s="97"/>
      <c r="AB343" s="96"/>
      <c r="AC343" s="98"/>
      <c r="AD343" s="98"/>
      <c r="AE343" s="98"/>
    </row>
    <row r="344" spans="2:31" x14ac:dyDescent="0.3">
      <c r="B344" s="96"/>
      <c r="C344" s="96"/>
      <c r="D344" s="96"/>
      <c r="E344" s="97"/>
      <c r="F344" s="96"/>
      <c r="G344" s="98"/>
      <c r="H344" s="96"/>
      <c r="I344" s="98"/>
      <c r="J344" s="97"/>
      <c r="K344" s="98"/>
      <c r="L344" s="100"/>
      <c r="M344" s="98"/>
      <c r="N344" s="96"/>
      <c r="O344" s="97"/>
      <c r="P344" s="70"/>
      <c r="Q344" s="97"/>
      <c r="R344" s="97"/>
      <c r="S344" s="98"/>
      <c r="T344" s="97"/>
      <c r="U344" s="98"/>
      <c r="V344" s="100"/>
      <c r="W344" s="98"/>
      <c r="X344" s="96"/>
      <c r="Y344" s="98"/>
      <c r="Z344" s="96"/>
      <c r="AA344" s="97"/>
      <c r="AB344" s="96"/>
      <c r="AC344" s="98"/>
      <c r="AD344" s="98"/>
      <c r="AE344" s="98"/>
    </row>
    <row r="345" spans="2:31" x14ac:dyDescent="0.3">
      <c r="B345" s="96"/>
      <c r="C345" s="96"/>
      <c r="D345" s="96"/>
      <c r="E345" s="97"/>
      <c r="F345" s="96"/>
      <c r="G345" s="98"/>
      <c r="H345" s="96"/>
      <c r="I345" s="98"/>
      <c r="J345" s="97"/>
      <c r="K345" s="98"/>
      <c r="L345" s="100"/>
      <c r="M345" s="98"/>
      <c r="N345" s="96"/>
      <c r="O345" s="97"/>
      <c r="P345" s="70"/>
      <c r="Q345" s="97"/>
      <c r="R345" s="97"/>
      <c r="S345" s="98"/>
      <c r="T345" s="97"/>
      <c r="U345" s="98"/>
      <c r="V345" s="100"/>
      <c r="W345" s="98"/>
      <c r="X345" s="96"/>
      <c r="Y345" s="98"/>
      <c r="Z345" s="96"/>
      <c r="AA345" s="97"/>
      <c r="AB345" s="96"/>
      <c r="AC345" s="98"/>
      <c r="AD345" s="98"/>
      <c r="AE345" s="98"/>
    </row>
    <row r="346" spans="2:31" x14ac:dyDescent="0.3">
      <c r="B346" s="96"/>
      <c r="C346" s="96"/>
      <c r="D346" s="96"/>
      <c r="E346" s="97"/>
      <c r="F346" s="96"/>
      <c r="G346" s="98"/>
      <c r="H346" s="96"/>
      <c r="I346" s="98"/>
      <c r="J346" s="97"/>
      <c r="K346" s="98"/>
      <c r="L346" s="100"/>
      <c r="M346" s="98"/>
      <c r="N346" s="96"/>
      <c r="O346" s="97"/>
      <c r="P346" s="70"/>
      <c r="Q346" s="97"/>
      <c r="R346" s="97"/>
      <c r="S346" s="98"/>
      <c r="T346" s="97"/>
      <c r="U346" s="98"/>
      <c r="V346" s="100"/>
      <c r="W346" s="98"/>
      <c r="X346" s="96"/>
      <c r="Y346" s="98"/>
      <c r="Z346" s="96"/>
      <c r="AA346" s="97"/>
      <c r="AB346" s="96"/>
      <c r="AC346" s="98"/>
      <c r="AD346" s="98"/>
      <c r="AE346" s="98"/>
    </row>
    <row r="347" spans="2:31" x14ac:dyDescent="0.3">
      <c r="B347" s="96"/>
      <c r="C347" s="96"/>
      <c r="D347" s="96"/>
      <c r="E347" s="97"/>
      <c r="F347" s="96"/>
      <c r="G347" s="98"/>
      <c r="H347" s="96"/>
      <c r="I347" s="98"/>
      <c r="J347" s="97"/>
      <c r="K347" s="98"/>
      <c r="L347" s="100"/>
      <c r="M347" s="98"/>
      <c r="N347" s="96"/>
      <c r="O347" s="97"/>
      <c r="P347" s="70"/>
      <c r="Q347" s="97"/>
      <c r="R347" s="97"/>
      <c r="S347" s="98"/>
      <c r="T347" s="97"/>
      <c r="U347" s="98"/>
      <c r="V347" s="100"/>
      <c r="W347" s="98"/>
      <c r="X347" s="96"/>
      <c r="Y347" s="98"/>
      <c r="Z347" s="96"/>
      <c r="AA347" s="97"/>
      <c r="AB347" s="96"/>
      <c r="AC347" s="98"/>
      <c r="AD347" s="98"/>
      <c r="AE347" s="98"/>
    </row>
    <row r="348" spans="2:31" x14ac:dyDescent="0.3">
      <c r="B348" s="96"/>
      <c r="C348" s="96"/>
      <c r="D348" s="96"/>
      <c r="E348" s="97"/>
      <c r="F348" s="96"/>
      <c r="G348" s="98"/>
      <c r="H348" s="96"/>
      <c r="I348" s="98"/>
      <c r="J348" s="97"/>
      <c r="K348" s="98"/>
      <c r="L348" s="100"/>
      <c r="M348" s="98"/>
      <c r="N348" s="96"/>
      <c r="O348" s="97"/>
      <c r="P348" s="70"/>
      <c r="Q348" s="97"/>
      <c r="R348" s="97"/>
      <c r="S348" s="98"/>
      <c r="T348" s="97"/>
      <c r="U348" s="98"/>
      <c r="V348" s="100"/>
      <c r="W348" s="98"/>
      <c r="X348" s="96"/>
      <c r="Y348" s="98"/>
      <c r="Z348" s="96"/>
      <c r="AA348" s="97"/>
      <c r="AB348" s="96"/>
      <c r="AC348" s="98"/>
      <c r="AD348" s="98"/>
      <c r="AE348" s="98"/>
    </row>
    <row r="349" spans="2:31" x14ac:dyDescent="0.3">
      <c r="B349" s="96"/>
      <c r="C349" s="96"/>
      <c r="D349" s="96"/>
      <c r="E349" s="97"/>
      <c r="F349" s="96"/>
      <c r="G349" s="98"/>
      <c r="H349" s="96"/>
      <c r="I349" s="98"/>
      <c r="J349" s="97"/>
      <c r="K349" s="98"/>
      <c r="L349" s="100"/>
      <c r="M349" s="98"/>
      <c r="N349" s="96"/>
      <c r="O349" s="97"/>
      <c r="P349" s="70"/>
      <c r="Q349" s="97"/>
      <c r="R349" s="97"/>
      <c r="S349" s="98"/>
      <c r="T349" s="97"/>
      <c r="U349" s="98"/>
      <c r="V349" s="100"/>
      <c r="W349" s="98"/>
      <c r="X349" s="96"/>
      <c r="Y349" s="98"/>
      <c r="Z349" s="96"/>
      <c r="AA349" s="97"/>
      <c r="AB349" s="96"/>
      <c r="AC349" s="98"/>
      <c r="AD349" s="98"/>
      <c r="AE349" s="98"/>
    </row>
    <row r="350" spans="2:31" x14ac:dyDescent="0.3">
      <c r="B350" s="96"/>
      <c r="C350" s="96"/>
      <c r="D350" s="96"/>
      <c r="E350" s="97"/>
      <c r="F350" s="96"/>
      <c r="G350" s="98"/>
      <c r="H350" s="96"/>
      <c r="I350" s="98"/>
      <c r="J350" s="97"/>
      <c r="K350" s="98"/>
      <c r="L350" s="100"/>
      <c r="M350" s="98"/>
      <c r="N350" s="96"/>
      <c r="O350" s="97"/>
      <c r="P350" s="70"/>
      <c r="Q350" s="97"/>
      <c r="R350" s="97"/>
      <c r="S350" s="98"/>
      <c r="T350" s="97"/>
      <c r="U350" s="98"/>
      <c r="V350" s="100"/>
      <c r="W350" s="98"/>
      <c r="X350" s="96"/>
      <c r="Y350" s="98"/>
      <c r="Z350" s="96"/>
      <c r="AA350" s="97"/>
      <c r="AB350" s="96"/>
      <c r="AC350" s="98"/>
      <c r="AD350" s="98"/>
      <c r="AE350" s="98"/>
    </row>
    <row r="351" spans="2:31" x14ac:dyDescent="0.3">
      <c r="B351" s="96"/>
      <c r="C351" s="96"/>
      <c r="D351" s="96"/>
      <c r="E351" s="97"/>
      <c r="F351" s="96"/>
      <c r="G351" s="98"/>
      <c r="H351" s="96"/>
      <c r="I351" s="98"/>
      <c r="J351" s="97"/>
      <c r="K351" s="98"/>
      <c r="L351" s="100"/>
      <c r="M351" s="98"/>
      <c r="N351" s="96"/>
      <c r="O351" s="97"/>
      <c r="P351" s="70"/>
      <c r="Q351" s="97"/>
      <c r="R351" s="97"/>
      <c r="S351" s="98"/>
      <c r="T351" s="97"/>
      <c r="U351" s="98"/>
      <c r="V351" s="100"/>
      <c r="W351" s="98"/>
      <c r="X351" s="96"/>
      <c r="Y351" s="98"/>
      <c r="Z351" s="96"/>
      <c r="AA351" s="97"/>
      <c r="AB351" s="96"/>
      <c r="AC351" s="98"/>
      <c r="AD351" s="98"/>
      <c r="AE351" s="98"/>
    </row>
    <row r="352" spans="2:31" x14ac:dyDescent="0.3">
      <c r="B352" s="96"/>
      <c r="C352" s="96"/>
      <c r="D352" s="96"/>
      <c r="E352" s="97"/>
      <c r="F352" s="96"/>
      <c r="G352" s="98"/>
      <c r="H352" s="96"/>
      <c r="I352" s="98"/>
      <c r="J352" s="97"/>
      <c r="K352" s="98"/>
      <c r="L352" s="100"/>
      <c r="M352" s="98"/>
      <c r="N352" s="96"/>
      <c r="O352" s="97"/>
      <c r="P352" s="70"/>
      <c r="Q352" s="97"/>
      <c r="R352" s="97"/>
      <c r="S352" s="98"/>
      <c r="T352" s="97"/>
      <c r="U352" s="98"/>
      <c r="V352" s="100"/>
      <c r="W352" s="98"/>
      <c r="X352" s="96"/>
      <c r="Y352" s="98"/>
      <c r="Z352" s="96"/>
      <c r="AA352" s="97"/>
      <c r="AB352" s="96"/>
      <c r="AC352" s="98"/>
      <c r="AD352" s="98"/>
      <c r="AE352" s="98"/>
    </row>
    <row r="353" spans="2:31" x14ac:dyDescent="0.3">
      <c r="B353" s="96"/>
      <c r="C353" s="96"/>
      <c r="D353" s="96"/>
      <c r="E353" s="97"/>
      <c r="F353" s="96"/>
      <c r="G353" s="98"/>
      <c r="H353" s="96"/>
      <c r="I353" s="98"/>
      <c r="J353" s="97"/>
      <c r="K353" s="98"/>
      <c r="L353" s="100"/>
      <c r="M353" s="98"/>
      <c r="N353" s="96"/>
      <c r="O353" s="97"/>
      <c r="P353" s="70"/>
      <c r="Q353" s="97"/>
      <c r="R353" s="97"/>
      <c r="S353" s="98"/>
      <c r="T353" s="97"/>
      <c r="U353" s="98"/>
      <c r="V353" s="100"/>
      <c r="W353" s="98"/>
      <c r="X353" s="96"/>
      <c r="Y353" s="98"/>
      <c r="Z353" s="96"/>
      <c r="AA353" s="97"/>
      <c r="AB353" s="96"/>
      <c r="AC353" s="98"/>
      <c r="AD353" s="98"/>
      <c r="AE353" s="98"/>
    </row>
    <row r="354" spans="2:31" x14ac:dyDescent="0.3">
      <c r="B354" s="96"/>
      <c r="C354" s="96"/>
      <c r="D354" s="96"/>
      <c r="E354" s="97"/>
      <c r="F354" s="96"/>
      <c r="G354" s="98"/>
      <c r="H354" s="96"/>
      <c r="I354" s="98"/>
      <c r="J354" s="97"/>
      <c r="K354" s="98"/>
      <c r="L354" s="100"/>
      <c r="M354" s="98"/>
      <c r="N354" s="96"/>
      <c r="O354" s="97"/>
      <c r="P354" s="70"/>
      <c r="Q354" s="97"/>
      <c r="R354" s="97"/>
      <c r="S354" s="98"/>
      <c r="T354" s="97"/>
      <c r="U354" s="98"/>
      <c r="V354" s="100"/>
      <c r="W354" s="98"/>
      <c r="X354" s="96"/>
      <c r="Y354" s="98"/>
      <c r="Z354" s="96"/>
      <c r="AA354" s="97"/>
      <c r="AB354" s="96"/>
      <c r="AC354" s="98"/>
      <c r="AD354" s="98"/>
      <c r="AE354" s="98"/>
    </row>
    <row r="355" spans="2:31" x14ac:dyDescent="0.3">
      <c r="B355" s="96"/>
      <c r="C355" s="96"/>
      <c r="D355" s="96"/>
      <c r="E355" s="97"/>
      <c r="F355" s="96"/>
      <c r="G355" s="98"/>
      <c r="H355" s="96"/>
      <c r="I355" s="98"/>
      <c r="J355" s="97"/>
      <c r="K355" s="98"/>
      <c r="L355" s="100"/>
      <c r="M355" s="98"/>
      <c r="N355" s="96"/>
      <c r="O355" s="97"/>
      <c r="P355" s="70"/>
      <c r="Q355" s="97"/>
      <c r="R355" s="97"/>
      <c r="S355" s="98"/>
      <c r="T355" s="97"/>
      <c r="U355" s="98"/>
      <c r="V355" s="100"/>
      <c r="W355" s="98"/>
      <c r="X355" s="96"/>
      <c r="Y355" s="98"/>
      <c r="Z355" s="96"/>
      <c r="AA355" s="97"/>
      <c r="AB355" s="96"/>
      <c r="AC355" s="98"/>
      <c r="AD355" s="98"/>
      <c r="AE355" s="98"/>
    </row>
    <row r="356" spans="2:31" x14ac:dyDescent="0.3">
      <c r="B356" s="96"/>
      <c r="C356" s="96"/>
      <c r="D356" s="96"/>
      <c r="E356" s="97"/>
      <c r="F356" s="96"/>
      <c r="G356" s="98"/>
      <c r="H356" s="96"/>
      <c r="I356" s="98"/>
      <c r="J356" s="97"/>
      <c r="K356" s="98"/>
      <c r="L356" s="100"/>
      <c r="M356" s="98"/>
      <c r="N356" s="96"/>
      <c r="O356" s="97"/>
      <c r="P356" s="70"/>
      <c r="Q356" s="97"/>
      <c r="R356" s="97"/>
      <c r="S356" s="98"/>
      <c r="T356" s="97"/>
      <c r="U356" s="98"/>
      <c r="V356" s="100"/>
      <c r="W356" s="98"/>
      <c r="X356" s="96"/>
      <c r="Y356" s="98"/>
      <c r="Z356" s="96"/>
      <c r="AA356" s="97"/>
      <c r="AB356" s="96"/>
      <c r="AC356" s="98"/>
      <c r="AD356" s="98"/>
      <c r="AE356" s="98"/>
    </row>
    <row r="357" spans="2:31" x14ac:dyDescent="0.3">
      <c r="B357" s="96"/>
      <c r="C357" s="96"/>
      <c r="D357" s="96"/>
      <c r="E357" s="97"/>
      <c r="F357" s="96"/>
      <c r="G357" s="98"/>
      <c r="H357" s="96"/>
      <c r="I357" s="98"/>
      <c r="J357" s="97"/>
      <c r="K357" s="98"/>
      <c r="L357" s="100"/>
      <c r="M357" s="98"/>
      <c r="N357" s="96"/>
      <c r="O357" s="97"/>
      <c r="P357" s="70"/>
      <c r="Q357" s="97"/>
      <c r="R357" s="97"/>
      <c r="S357" s="98"/>
      <c r="T357" s="97"/>
      <c r="U357" s="98"/>
      <c r="V357" s="100"/>
      <c r="W357" s="98"/>
      <c r="X357" s="96"/>
      <c r="Y357" s="98"/>
      <c r="Z357" s="96"/>
      <c r="AA357" s="97"/>
      <c r="AB357" s="96"/>
      <c r="AC357" s="98"/>
      <c r="AD357" s="98"/>
      <c r="AE357" s="98"/>
    </row>
    <row r="358" spans="2:31" x14ac:dyDescent="0.3">
      <c r="B358" s="96"/>
      <c r="C358" s="96"/>
      <c r="D358" s="96"/>
      <c r="E358" s="97"/>
      <c r="F358" s="96"/>
      <c r="G358" s="98"/>
      <c r="H358" s="96"/>
      <c r="I358" s="98"/>
      <c r="J358" s="97"/>
      <c r="K358" s="98"/>
      <c r="L358" s="100"/>
      <c r="M358" s="98"/>
      <c r="N358" s="96"/>
      <c r="O358" s="97"/>
      <c r="P358" s="70"/>
      <c r="Q358" s="97"/>
      <c r="R358" s="97"/>
      <c r="S358" s="98"/>
      <c r="T358" s="97"/>
      <c r="U358" s="98"/>
      <c r="V358" s="100"/>
      <c r="W358" s="98"/>
      <c r="X358" s="96"/>
      <c r="Y358" s="98"/>
      <c r="Z358" s="96"/>
      <c r="AA358" s="97"/>
      <c r="AB358" s="96"/>
      <c r="AC358" s="98"/>
      <c r="AD358" s="98"/>
      <c r="AE358" s="98"/>
    </row>
    <row r="359" spans="2:31" x14ac:dyDescent="0.3">
      <c r="B359" s="96"/>
      <c r="C359" s="96"/>
      <c r="D359" s="96"/>
      <c r="E359" s="97"/>
      <c r="F359" s="96"/>
      <c r="G359" s="98"/>
      <c r="H359" s="96"/>
      <c r="I359" s="98"/>
      <c r="J359" s="97"/>
      <c r="K359" s="98"/>
      <c r="L359" s="100"/>
      <c r="M359" s="98"/>
      <c r="N359" s="96"/>
      <c r="O359" s="97"/>
      <c r="P359" s="70"/>
      <c r="Q359" s="97"/>
      <c r="R359" s="97"/>
      <c r="S359" s="98"/>
      <c r="T359" s="97"/>
      <c r="U359" s="98"/>
      <c r="V359" s="100"/>
      <c r="W359" s="98"/>
      <c r="X359" s="96"/>
      <c r="Y359" s="98"/>
      <c r="Z359" s="96"/>
      <c r="AA359" s="97"/>
      <c r="AB359" s="96"/>
      <c r="AC359" s="98"/>
      <c r="AD359" s="98"/>
      <c r="AE359" s="98"/>
    </row>
    <row r="360" spans="2:31" x14ac:dyDescent="0.3">
      <c r="B360" s="96"/>
      <c r="C360" s="96"/>
      <c r="D360" s="96"/>
      <c r="E360" s="97"/>
      <c r="F360" s="96"/>
      <c r="G360" s="98"/>
      <c r="H360" s="96"/>
      <c r="I360" s="98"/>
      <c r="J360" s="97"/>
      <c r="K360" s="98"/>
      <c r="L360" s="100"/>
      <c r="M360" s="98"/>
      <c r="N360" s="96"/>
      <c r="O360" s="97"/>
      <c r="P360" s="70"/>
      <c r="Q360" s="97"/>
      <c r="R360" s="97"/>
      <c r="S360" s="98"/>
      <c r="T360" s="97"/>
      <c r="U360" s="98"/>
      <c r="V360" s="100"/>
      <c r="W360" s="98"/>
      <c r="X360" s="96"/>
      <c r="Y360" s="98"/>
      <c r="Z360" s="96"/>
      <c r="AA360" s="97"/>
      <c r="AB360" s="96"/>
      <c r="AC360" s="98"/>
      <c r="AD360" s="98"/>
      <c r="AE360" s="98"/>
    </row>
    <row r="361" spans="2:31" x14ac:dyDescent="0.3">
      <c r="B361" s="96"/>
      <c r="C361" s="96"/>
      <c r="D361" s="96"/>
      <c r="E361" s="97"/>
      <c r="F361" s="96"/>
      <c r="G361" s="98"/>
      <c r="H361" s="96"/>
      <c r="I361" s="98"/>
      <c r="J361" s="97"/>
      <c r="K361" s="98"/>
      <c r="L361" s="100"/>
      <c r="M361" s="98"/>
      <c r="N361" s="96"/>
      <c r="O361" s="97"/>
      <c r="P361" s="70"/>
      <c r="Q361" s="97"/>
      <c r="R361" s="97"/>
      <c r="S361" s="98"/>
      <c r="T361" s="97"/>
      <c r="U361" s="98"/>
      <c r="V361" s="100"/>
      <c r="W361" s="98"/>
      <c r="X361" s="96"/>
      <c r="Y361" s="98"/>
      <c r="Z361" s="96"/>
      <c r="AA361" s="97"/>
      <c r="AB361" s="96"/>
      <c r="AC361" s="98"/>
      <c r="AD361" s="98"/>
      <c r="AE361" s="98"/>
    </row>
    <row r="362" spans="2:31" x14ac:dyDescent="0.3">
      <c r="B362" s="96"/>
      <c r="C362" s="96"/>
      <c r="D362" s="96"/>
      <c r="E362" s="97"/>
      <c r="F362" s="96"/>
      <c r="G362" s="98"/>
      <c r="H362" s="96"/>
      <c r="I362" s="98"/>
      <c r="J362" s="97"/>
      <c r="K362" s="98"/>
      <c r="L362" s="100"/>
      <c r="M362" s="98"/>
      <c r="N362" s="96"/>
      <c r="O362" s="97"/>
      <c r="P362" s="70"/>
      <c r="Q362" s="97"/>
      <c r="R362" s="97"/>
      <c r="S362" s="98"/>
      <c r="T362" s="97"/>
      <c r="U362" s="98"/>
      <c r="V362" s="100"/>
      <c r="W362" s="98"/>
      <c r="X362" s="96"/>
      <c r="Y362" s="98"/>
      <c r="Z362" s="96"/>
      <c r="AA362" s="97"/>
      <c r="AB362" s="96"/>
      <c r="AC362" s="98"/>
      <c r="AD362" s="98"/>
      <c r="AE362" s="98"/>
    </row>
    <row r="363" spans="2:31" x14ac:dyDescent="0.3">
      <c r="B363" s="96"/>
      <c r="C363" s="96"/>
      <c r="D363" s="96"/>
      <c r="E363" s="97"/>
      <c r="F363" s="96"/>
      <c r="G363" s="98"/>
      <c r="H363" s="96"/>
      <c r="I363" s="98"/>
      <c r="J363" s="97"/>
      <c r="K363" s="98"/>
      <c r="L363" s="100"/>
      <c r="M363" s="98"/>
      <c r="N363" s="96"/>
      <c r="O363" s="97"/>
      <c r="P363" s="70"/>
      <c r="Q363" s="97"/>
      <c r="R363" s="97"/>
      <c r="S363" s="98"/>
      <c r="T363" s="97"/>
      <c r="U363" s="98"/>
      <c r="V363" s="100"/>
      <c r="W363" s="98"/>
      <c r="X363" s="96"/>
      <c r="Y363" s="98"/>
      <c r="Z363" s="96"/>
      <c r="AA363" s="97"/>
      <c r="AB363" s="96"/>
      <c r="AC363" s="98"/>
      <c r="AD363" s="98"/>
      <c r="AE363" s="98"/>
    </row>
    <row r="364" spans="2:31" x14ac:dyDescent="0.3">
      <c r="B364" s="96"/>
      <c r="C364" s="96"/>
      <c r="D364" s="96"/>
      <c r="E364" s="97"/>
      <c r="F364" s="96"/>
      <c r="G364" s="98"/>
      <c r="H364" s="96"/>
      <c r="I364" s="98"/>
      <c r="J364" s="97"/>
      <c r="K364" s="98"/>
      <c r="L364" s="100"/>
      <c r="M364" s="98"/>
      <c r="N364" s="96"/>
      <c r="O364" s="97"/>
      <c r="P364" s="70"/>
      <c r="Q364" s="97"/>
      <c r="R364" s="97"/>
      <c r="S364" s="98"/>
      <c r="T364" s="97"/>
      <c r="U364" s="98"/>
      <c r="V364" s="100"/>
      <c r="W364" s="98"/>
      <c r="X364" s="96"/>
      <c r="Y364" s="98"/>
      <c r="Z364" s="96"/>
      <c r="AA364" s="97"/>
      <c r="AB364" s="96"/>
      <c r="AC364" s="98"/>
      <c r="AD364" s="98"/>
      <c r="AE364" s="98"/>
    </row>
    <row r="365" spans="2:31" x14ac:dyDescent="0.3">
      <c r="B365" s="96"/>
      <c r="C365" s="96"/>
      <c r="D365" s="96"/>
      <c r="E365" s="97"/>
      <c r="F365" s="96"/>
      <c r="G365" s="98"/>
      <c r="H365" s="96"/>
      <c r="I365" s="98"/>
      <c r="J365" s="97"/>
      <c r="K365" s="98"/>
      <c r="L365" s="100"/>
      <c r="M365" s="98"/>
      <c r="N365" s="96"/>
      <c r="O365" s="97"/>
      <c r="P365" s="70"/>
      <c r="Q365" s="97"/>
      <c r="R365" s="97"/>
      <c r="S365" s="98"/>
      <c r="T365" s="97"/>
      <c r="U365" s="98"/>
      <c r="V365" s="100"/>
      <c r="W365" s="98"/>
      <c r="X365" s="96"/>
      <c r="Y365" s="98"/>
      <c r="Z365" s="96"/>
      <c r="AA365" s="97"/>
      <c r="AB365" s="96"/>
      <c r="AC365" s="98"/>
      <c r="AD365" s="98"/>
      <c r="AE365" s="98"/>
    </row>
    <row r="366" spans="2:31" x14ac:dyDescent="0.3">
      <c r="B366" s="96"/>
      <c r="C366" s="96"/>
      <c r="D366" s="96"/>
      <c r="E366" s="97"/>
      <c r="F366" s="96"/>
      <c r="G366" s="98"/>
      <c r="H366" s="96"/>
      <c r="I366" s="98"/>
      <c r="J366" s="97"/>
      <c r="K366" s="98"/>
      <c r="L366" s="100"/>
      <c r="M366" s="98"/>
      <c r="N366" s="96"/>
      <c r="O366" s="97"/>
      <c r="P366" s="70"/>
      <c r="Q366" s="97"/>
      <c r="R366" s="97"/>
      <c r="S366" s="98"/>
      <c r="T366" s="97"/>
      <c r="U366" s="98"/>
      <c r="V366" s="100"/>
      <c r="W366" s="98"/>
      <c r="X366" s="96"/>
      <c r="Y366" s="98"/>
      <c r="Z366" s="96"/>
      <c r="AA366" s="97"/>
      <c r="AB366" s="96"/>
      <c r="AC366" s="98"/>
      <c r="AD366" s="98"/>
      <c r="AE366" s="98"/>
    </row>
    <row r="367" spans="2:31" x14ac:dyDescent="0.3">
      <c r="B367" s="96"/>
      <c r="C367" s="96"/>
      <c r="D367" s="96"/>
      <c r="E367" s="97"/>
      <c r="F367" s="96"/>
      <c r="G367" s="98"/>
      <c r="H367" s="96"/>
      <c r="I367" s="98"/>
      <c r="J367" s="97"/>
      <c r="K367" s="98"/>
      <c r="L367" s="100"/>
      <c r="M367" s="98"/>
      <c r="N367" s="96"/>
      <c r="O367" s="97"/>
      <c r="P367" s="70"/>
      <c r="Q367" s="97"/>
      <c r="R367" s="97"/>
      <c r="S367" s="98"/>
      <c r="T367" s="97"/>
      <c r="U367" s="98"/>
      <c r="V367" s="100"/>
      <c r="W367" s="98"/>
      <c r="X367" s="96"/>
      <c r="Y367" s="98"/>
      <c r="Z367" s="96"/>
      <c r="AA367" s="97"/>
      <c r="AB367" s="96"/>
      <c r="AC367" s="98"/>
      <c r="AD367" s="98"/>
      <c r="AE367" s="98"/>
    </row>
    <row r="368" spans="2:31" x14ac:dyDescent="0.3">
      <c r="B368" s="96"/>
      <c r="C368" s="96"/>
      <c r="D368" s="96"/>
      <c r="E368" s="97"/>
      <c r="F368" s="96"/>
      <c r="G368" s="98"/>
      <c r="H368" s="96"/>
      <c r="I368" s="98"/>
      <c r="J368" s="97"/>
      <c r="K368" s="98"/>
      <c r="L368" s="100"/>
      <c r="M368" s="98"/>
      <c r="N368" s="96"/>
      <c r="O368" s="97"/>
      <c r="P368" s="70"/>
      <c r="Q368" s="97"/>
      <c r="R368" s="97"/>
      <c r="S368" s="98"/>
      <c r="T368" s="97"/>
      <c r="U368" s="98"/>
      <c r="V368" s="100"/>
      <c r="W368" s="98"/>
      <c r="X368" s="96"/>
      <c r="Y368" s="98"/>
      <c r="Z368" s="96"/>
      <c r="AA368" s="97"/>
      <c r="AB368" s="96"/>
      <c r="AC368" s="98"/>
      <c r="AD368" s="98"/>
      <c r="AE368" s="98"/>
    </row>
    <row r="369" spans="2:31" x14ac:dyDescent="0.3">
      <c r="B369" s="96"/>
      <c r="C369" s="96"/>
      <c r="D369" s="96"/>
      <c r="E369" s="97"/>
      <c r="F369" s="96"/>
      <c r="G369" s="98"/>
      <c r="H369" s="96"/>
      <c r="I369" s="98"/>
      <c r="J369" s="97"/>
      <c r="K369" s="98"/>
      <c r="L369" s="100"/>
      <c r="M369" s="98"/>
      <c r="N369" s="96"/>
      <c r="O369" s="97"/>
      <c r="P369" s="70"/>
      <c r="Q369" s="97"/>
      <c r="R369" s="97"/>
      <c r="S369" s="98"/>
      <c r="T369" s="97"/>
      <c r="U369" s="98"/>
      <c r="V369" s="100"/>
      <c r="W369" s="98"/>
      <c r="X369" s="96"/>
      <c r="Y369" s="98"/>
      <c r="Z369" s="96"/>
      <c r="AA369" s="97"/>
      <c r="AB369" s="96"/>
      <c r="AC369" s="98"/>
      <c r="AD369" s="98"/>
      <c r="AE369" s="98"/>
    </row>
    <row r="370" spans="2:31" x14ac:dyDescent="0.3">
      <c r="B370" s="96"/>
      <c r="C370" s="96"/>
      <c r="D370" s="96"/>
      <c r="E370" s="97"/>
      <c r="F370" s="96"/>
      <c r="G370" s="98"/>
      <c r="H370" s="96"/>
      <c r="I370" s="98"/>
      <c r="J370" s="97"/>
      <c r="K370" s="98"/>
      <c r="L370" s="100"/>
      <c r="M370" s="98"/>
      <c r="N370" s="96"/>
      <c r="O370" s="97"/>
      <c r="P370" s="70"/>
      <c r="Q370" s="97"/>
      <c r="R370" s="97"/>
      <c r="S370" s="98"/>
      <c r="T370" s="97"/>
      <c r="U370" s="98"/>
      <c r="V370" s="100"/>
      <c r="W370" s="98"/>
      <c r="X370" s="96"/>
      <c r="Y370" s="98"/>
      <c r="Z370" s="96"/>
      <c r="AA370" s="97"/>
      <c r="AB370" s="96"/>
      <c r="AC370" s="98"/>
      <c r="AD370" s="98"/>
      <c r="AE370" s="98"/>
    </row>
    <row r="371" spans="2:31" x14ac:dyDescent="0.3">
      <c r="B371" s="96"/>
      <c r="C371" s="96"/>
      <c r="D371" s="96"/>
      <c r="E371" s="97"/>
      <c r="F371" s="96"/>
      <c r="G371" s="98"/>
      <c r="H371" s="96"/>
      <c r="I371" s="98"/>
      <c r="J371" s="97"/>
      <c r="K371" s="98"/>
      <c r="L371" s="100"/>
      <c r="M371" s="98"/>
      <c r="N371" s="96"/>
      <c r="O371" s="97"/>
      <c r="P371" s="70"/>
      <c r="Q371" s="97"/>
      <c r="R371" s="97"/>
      <c r="S371" s="98"/>
      <c r="T371" s="97"/>
      <c r="U371" s="98"/>
      <c r="V371" s="100"/>
      <c r="W371" s="98"/>
      <c r="X371" s="96"/>
      <c r="Y371" s="98"/>
      <c r="Z371" s="96"/>
      <c r="AA371" s="97"/>
      <c r="AB371" s="96"/>
      <c r="AC371" s="98"/>
      <c r="AD371" s="98"/>
      <c r="AE371" s="98"/>
    </row>
    <row r="372" spans="2:31" x14ac:dyDescent="0.3">
      <c r="B372" s="96"/>
      <c r="C372" s="96"/>
      <c r="D372" s="96"/>
      <c r="E372" s="97"/>
      <c r="F372" s="96"/>
      <c r="G372" s="98"/>
      <c r="H372" s="96"/>
      <c r="I372" s="98"/>
      <c r="J372" s="97"/>
      <c r="K372" s="98"/>
      <c r="L372" s="100"/>
      <c r="M372" s="98"/>
      <c r="N372" s="96"/>
      <c r="O372" s="97"/>
      <c r="P372" s="70"/>
      <c r="Q372" s="97"/>
      <c r="R372" s="97"/>
      <c r="S372" s="98"/>
      <c r="T372" s="97"/>
      <c r="U372" s="98"/>
      <c r="V372" s="100"/>
      <c r="W372" s="98"/>
      <c r="X372" s="96"/>
      <c r="Y372" s="98"/>
      <c r="Z372" s="96"/>
      <c r="AA372" s="97"/>
      <c r="AB372" s="96"/>
      <c r="AC372" s="98"/>
      <c r="AD372" s="98"/>
      <c r="AE372" s="98"/>
    </row>
    <row r="373" spans="2:31" x14ac:dyDescent="0.3">
      <c r="B373" s="96"/>
      <c r="C373" s="96"/>
      <c r="D373" s="96"/>
      <c r="E373" s="97"/>
      <c r="F373" s="96"/>
      <c r="G373" s="98"/>
      <c r="H373" s="96"/>
      <c r="I373" s="98"/>
      <c r="J373" s="97"/>
      <c r="K373" s="98"/>
      <c r="L373" s="100"/>
      <c r="M373" s="98"/>
      <c r="N373" s="96"/>
      <c r="O373" s="97"/>
      <c r="P373" s="70"/>
      <c r="Q373" s="97"/>
      <c r="R373" s="97"/>
      <c r="S373" s="98"/>
      <c r="T373" s="97"/>
      <c r="U373" s="98"/>
      <c r="V373" s="100"/>
      <c r="W373" s="98"/>
      <c r="X373" s="96"/>
      <c r="Y373" s="98"/>
      <c r="Z373" s="96"/>
      <c r="AA373" s="97"/>
      <c r="AB373" s="96"/>
      <c r="AC373" s="98"/>
      <c r="AD373" s="98"/>
      <c r="AE373" s="98"/>
    </row>
    <row r="374" spans="2:31" x14ac:dyDescent="0.3">
      <c r="B374" s="96"/>
      <c r="C374" s="96"/>
      <c r="D374" s="96"/>
      <c r="E374" s="97"/>
      <c r="F374" s="96"/>
      <c r="G374" s="98"/>
      <c r="H374" s="96"/>
      <c r="I374" s="98"/>
      <c r="J374" s="97"/>
      <c r="K374" s="98"/>
      <c r="L374" s="100"/>
      <c r="M374" s="98"/>
      <c r="N374" s="96"/>
      <c r="O374" s="97"/>
      <c r="P374" s="70"/>
      <c r="Q374" s="97"/>
      <c r="R374" s="97"/>
      <c r="S374" s="98"/>
      <c r="T374" s="97"/>
      <c r="U374" s="98"/>
      <c r="V374" s="100"/>
      <c r="W374" s="98"/>
      <c r="X374" s="96"/>
      <c r="Y374" s="98"/>
      <c r="Z374" s="96"/>
      <c r="AA374" s="97"/>
      <c r="AB374" s="96"/>
      <c r="AC374" s="98"/>
      <c r="AD374" s="98"/>
      <c r="AE374" s="98"/>
    </row>
    <row r="375" spans="2:31" x14ac:dyDescent="0.3">
      <c r="B375" s="96"/>
      <c r="C375" s="96"/>
      <c r="D375" s="96"/>
      <c r="E375" s="97"/>
      <c r="F375" s="96"/>
      <c r="G375" s="98"/>
      <c r="H375" s="96"/>
      <c r="I375" s="98"/>
      <c r="J375" s="97"/>
      <c r="K375" s="98"/>
      <c r="L375" s="100"/>
      <c r="M375" s="98"/>
      <c r="N375" s="96"/>
      <c r="O375" s="97"/>
      <c r="P375" s="70"/>
      <c r="Q375" s="97"/>
      <c r="R375" s="97"/>
      <c r="S375" s="98"/>
      <c r="T375" s="97"/>
      <c r="U375" s="98"/>
      <c r="V375" s="100"/>
      <c r="W375" s="98"/>
      <c r="X375" s="96"/>
      <c r="Y375" s="98"/>
      <c r="Z375" s="96"/>
      <c r="AA375" s="97"/>
      <c r="AB375" s="96"/>
      <c r="AC375" s="98"/>
      <c r="AD375" s="98"/>
      <c r="AE375" s="98"/>
    </row>
    <row r="376" spans="2:31" x14ac:dyDescent="0.3">
      <c r="B376" s="96"/>
      <c r="C376" s="96"/>
      <c r="D376" s="96"/>
      <c r="E376" s="97"/>
      <c r="F376" s="96"/>
      <c r="G376" s="98"/>
      <c r="H376" s="96"/>
      <c r="I376" s="98"/>
      <c r="J376" s="97"/>
      <c r="K376" s="98"/>
      <c r="L376" s="100"/>
      <c r="M376" s="98"/>
      <c r="N376" s="96"/>
      <c r="O376" s="97"/>
      <c r="P376" s="70"/>
      <c r="Q376" s="97"/>
      <c r="R376" s="97"/>
      <c r="S376" s="98"/>
      <c r="T376" s="97"/>
      <c r="U376" s="98"/>
      <c r="V376" s="100"/>
      <c r="W376" s="98"/>
      <c r="X376" s="96"/>
      <c r="Y376" s="98"/>
      <c r="Z376" s="96"/>
      <c r="AA376" s="97"/>
      <c r="AB376" s="96"/>
      <c r="AC376" s="98"/>
      <c r="AD376" s="98"/>
      <c r="AE376" s="98"/>
    </row>
    <row r="377" spans="2:31" x14ac:dyDescent="0.3">
      <c r="B377" s="96"/>
      <c r="C377" s="96"/>
      <c r="D377" s="96"/>
      <c r="E377" s="97"/>
      <c r="F377" s="96"/>
      <c r="G377" s="98"/>
      <c r="H377" s="96"/>
      <c r="I377" s="98"/>
      <c r="J377" s="97"/>
      <c r="K377" s="98"/>
      <c r="L377" s="100"/>
      <c r="M377" s="98"/>
      <c r="N377" s="96"/>
      <c r="O377" s="97"/>
      <c r="P377" s="70"/>
      <c r="Q377" s="97"/>
      <c r="R377" s="97"/>
      <c r="S377" s="98"/>
      <c r="T377" s="97"/>
      <c r="U377" s="98"/>
      <c r="V377" s="100"/>
      <c r="W377" s="98"/>
      <c r="X377" s="96"/>
      <c r="Y377" s="98"/>
      <c r="Z377" s="96"/>
      <c r="AA377" s="97"/>
      <c r="AB377" s="96"/>
      <c r="AC377" s="98"/>
      <c r="AD377" s="98"/>
      <c r="AE377" s="98"/>
    </row>
    <row r="378" spans="2:31" x14ac:dyDescent="0.3">
      <c r="B378" s="96"/>
      <c r="C378" s="96"/>
      <c r="D378" s="96"/>
      <c r="E378" s="97"/>
      <c r="F378" s="96"/>
      <c r="G378" s="98"/>
      <c r="H378" s="96"/>
      <c r="I378" s="98"/>
      <c r="J378" s="97"/>
      <c r="K378" s="98"/>
      <c r="L378" s="100"/>
      <c r="M378" s="98"/>
      <c r="N378" s="96"/>
      <c r="O378" s="97"/>
      <c r="P378" s="70"/>
      <c r="Q378" s="97"/>
      <c r="R378" s="97"/>
      <c r="S378" s="98"/>
      <c r="T378" s="97"/>
      <c r="U378" s="98"/>
      <c r="V378" s="100"/>
      <c r="W378" s="98"/>
      <c r="X378" s="96"/>
      <c r="Y378" s="98"/>
      <c r="Z378" s="96"/>
      <c r="AA378" s="97"/>
      <c r="AB378" s="96"/>
      <c r="AC378" s="98"/>
      <c r="AD378" s="98"/>
      <c r="AE378" s="98"/>
    </row>
    <row r="379" spans="2:31" x14ac:dyDescent="0.3">
      <c r="B379" s="96"/>
      <c r="C379" s="96"/>
      <c r="D379" s="96"/>
      <c r="E379" s="97"/>
      <c r="F379" s="96"/>
      <c r="G379" s="98"/>
      <c r="H379" s="96"/>
      <c r="I379" s="98"/>
      <c r="J379" s="97"/>
      <c r="K379" s="98"/>
      <c r="L379" s="100"/>
      <c r="M379" s="98"/>
      <c r="N379" s="96"/>
      <c r="O379" s="97"/>
      <c r="P379" s="70"/>
      <c r="Q379" s="97"/>
      <c r="R379" s="97"/>
      <c r="S379" s="98"/>
      <c r="T379" s="97"/>
      <c r="U379" s="98"/>
      <c r="V379" s="100"/>
      <c r="W379" s="98"/>
      <c r="X379" s="96"/>
      <c r="Y379" s="98"/>
      <c r="Z379" s="96"/>
      <c r="AA379" s="97"/>
      <c r="AB379" s="96"/>
      <c r="AC379" s="98"/>
      <c r="AD379" s="98"/>
      <c r="AE379" s="98"/>
    </row>
    <row r="380" spans="2:31" x14ac:dyDescent="0.3">
      <c r="B380" s="96"/>
      <c r="C380" s="96"/>
      <c r="D380" s="96"/>
      <c r="E380" s="97"/>
      <c r="F380" s="96"/>
      <c r="G380" s="98"/>
      <c r="H380" s="96"/>
      <c r="I380" s="98"/>
      <c r="J380" s="97"/>
      <c r="K380" s="98"/>
      <c r="L380" s="100"/>
      <c r="M380" s="98"/>
      <c r="N380" s="96"/>
      <c r="O380" s="97"/>
      <c r="P380" s="70"/>
      <c r="Q380" s="97"/>
      <c r="R380" s="97"/>
      <c r="S380" s="98"/>
      <c r="T380" s="97"/>
      <c r="U380" s="98"/>
      <c r="V380" s="100"/>
      <c r="W380" s="98"/>
      <c r="X380" s="96"/>
      <c r="Y380" s="98"/>
      <c r="Z380" s="96"/>
      <c r="AA380" s="97"/>
      <c r="AB380" s="96"/>
      <c r="AC380" s="98"/>
      <c r="AD380" s="98"/>
      <c r="AE380" s="98"/>
    </row>
    <row r="381" spans="2:31" x14ac:dyDescent="0.3">
      <c r="B381" s="96"/>
      <c r="C381" s="96"/>
      <c r="D381" s="96"/>
      <c r="E381" s="97"/>
      <c r="F381" s="96"/>
      <c r="G381" s="98"/>
      <c r="H381" s="96"/>
      <c r="I381" s="98"/>
      <c r="J381" s="97"/>
      <c r="K381" s="98"/>
      <c r="L381" s="100"/>
      <c r="M381" s="98"/>
      <c r="N381" s="96"/>
      <c r="O381" s="97"/>
      <c r="P381" s="70"/>
      <c r="Q381" s="97"/>
      <c r="R381" s="97"/>
      <c r="S381" s="98"/>
      <c r="T381" s="97"/>
      <c r="U381" s="98"/>
      <c r="V381" s="100"/>
      <c r="W381" s="98"/>
      <c r="X381" s="96"/>
      <c r="Y381" s="98"/>
      <c r="Z381" s="96"/>
      <c r="AA381" s="97"/>
      <c r="AB381" s="96"/>
      <c r="AC381" s="98"/>
      <c r="AD381" s="98"/>
      <c r="AE381" s="98"/>
    </row>
    <row r="382" spans="2:31" x14ac:dyDescent="0.3">
      <c r="B382" s="96"/>
      <c r="C382" s="96"/>
      <c r="D382" s="96"/>
      <c r="E382" s="97"/>
      <c r="F382" s="96"/>
      <c r="G382" s="98"/>
      <c r="H382" s="96"/>
      <c r="I382" s="98"/>
      <c r="J382" s="97"/>
      <c r="K382" s="98"/>
      <c r="L382" s="100"/>
      <c r="M382" s="98"/>
      <c r="N382" s="96"/>
      <c r="O382" s="97"/>
      <c r="P382" s="70"/>
      <c r="Q382" s="97"/>
      <c r="R382" s="97"/>
      <c r="S382" s="98"/>
      <c r="T382" s="97"/>
      <c r="U382" s="98"/>
      <c r="V382" s="100"/>
      <c r="W382" s="98"/>
      <c r="X382" s="96"/>
      <c r="Y382" s="98"/>
      <c r="Z382" s="96"/>
      <c r="AA382" s="97"/>
      <c r="AB382" s="96"/>
      <c r="AC382" s="98"/>
      <c r="AD382" s="98"/>
      <c r="AE382" s="98"/>
    </row>
    <row r="383" spans="2:31" x14ac:dyDescent="0.3">
      <c r="B383" s="96"/>
      <c r="C383" s="96"/>
      <c r="D383" s="96"/>
      <c r="E383" s="97"/>
      <c r="F383" s="96"/>
      <c r="G383" s="98"/>
      <c r="H383" s="96"/>
      <c r="I383" s="98"/>
      <c r="J383" s="97"/>
      <c r="K383" s="98"/>
      <c r="L383" s="100"/>
      <c r="M383" s="98"/>
      <c r="N383" s="96"/>
      <c r="O383" s="97"/>
      <c r="P383" s="70"/>
      <c r="Q383" s="97"/>
      <c r="R383" s="97"/>
      <c r="S383" s="98"/>
      <c r="T383" s="97"/>
      <c r="U383" s="98"/>
      <c r="V383" s="100"/>
      <c r="W383" s="98"/>
      <c r="X383" s="96"/>
      <c r="Y383" s="98"/>
      <c r="Z383" s="96"/>
      <c r="AA383" s="97"/>
      <c r="AB383" s="96"/>
      <c r="AC383" s="98"/>
      <c r="AD383" s="98"/>
      <c r="AE383" s="98"/>
    </row>
    <row r="384" spans="2:31" x14ac:dyDescent="0.3">
      <c r="B384" s="96"/>
      <c r="C384" s="96"/>
      <c r="D384" s="96"/>
      <c r="E384" s="97"/>
      <c r="F384" s="96"/>
      <c r="G384" s="98"/>
      <c r="H384" s="96"/>
      <c r="I384" s="98"/>
      <c r="J384" s="97"/>
      <c r="K384" s="98"/>
      <c r="L384" s="100"/>
      <c r="M384" s="98"/>
      <c r="N384" s="96"/>
      <c r="O384" s="97"/>
      <c r="P384" s="70"/>
      <c r="Q384" s="97"/>
      <c r="R384" s="97"/>
      <c r="S384" s="98"/>
      <c r="T384" s="97"/>
      <c r="U384" s="98"/>
      <c r="V384" s="100"/>
      <c r="W384" s="98"/>
      <c r="X384" s="96"/>
      <c r="Y384" s="98"/>
      <c r="Z384" s="96"/>
      <c r="AA384" s="97"/>
      <c r="AB384" s="96"/>
      <c r="AC384" s="98"/>
      <c r="AD384" s="98"/>
      <c r="AE384" s="98"/>
    </row>
    <row r="385" spans="2:31" x14ac:dyDescent="0.3">
      <c r="B385" s="96"/>
      <c r="C385" s="96"/>
      <c r="D385" s="96"/>
      <c r="E385" s="97"/>
      <c r="F385" s="96"/>
      <c r="G385" s="98"/>
      <c r="H385" s="96"/>
      <c r="I385" s="98"/>
      <c r="J385" s="97"/>
      <c r="K385" s="98"/>
      <c r="L385" s="100"/>
      <c r="M385" s="98"/>
      <c r="N385" s="96"/>
      <c r="O385" s="97"/>
      <c r="P385" s="70"/>
      <c r="Q385" s="97"/>
      <c r="R385" s="97"/>
      <c r="S385" s="98"/>
      <c r="T385" s="97"/>
      <c r="U385" s="98"/>
      <c r="V385" s="100"/>
      <c r="W385" s="98"/>
      <c r="X385" s="96"/>
      <c r="Y385" s="98"/>
      <c r="Z385" s="96"/>
      <c r="AA385" s="97"/>
      <c r="AB385" s="96"/>
      <c r="AC385" s="98"/>
      <c r="AD385" s="98"/>
      <c r="AE385" s="98"/>
    </row>
    <row r="386" spans="2:31" x14ac:dyDescent="0.3">
      <c r="B386" s="96"/>
      <c r="C386" s="96"/>
      <c r="D386" s="96"/>
      <c r="E386" s="97"/>
      <c r="F386" s="96"/>
      <c r="G386" s="98"/>
      <c r="H386" s="96"/>
      <c r="I386" s="98"/>
      <c r="J386" s="97"/>
      <c r="K386" s="98"/>
      <c r="L386" s="100"/>
      <c r="M386" s="98"/>
      <c r="N386" s="96"/>
      <c r="O386" s="97"/>
      <c r="P386" s="70"/>
      <c r="Q386" s="97"/>
      <c r="R386" s="97"/>
      <c r="S386" s="98"/>
      <c r="T386" s="97"/>
      <c r="U386" s="98"/>
      <c r="V386" s="100"/>
      <c r="W386" s="98"/>
      <c r="X386" s="96"/>
      <c r="Y386" s="98"/>
      <c r="Z386" s="96"/>
      <c r="AA386" s="97"/>
      <c r="AB386" s="96"/>
      <c r="AC386" s="98"/>
      <c r="AD386" s="98"/>
      <c r="AE386" s="98"/>
    </row>
    <row r="387" spans="2:31" x14ac:dyDescent="0.3">
      <c r="B387" s="96"/>
      <c r="C387" s="96"/>
      <c r="D387" s="96"/>
      <c r="E387" s="97"/>
      <c r="F387" s="96"/>
      <c r="G387" s="98"/>
      <c r="H387" s="96"/>
      <c r="I387" s="98"/>
      <c r="J387" s="97"/>
      <c r="K387" s="98"/>
      <c r="L387" s="100"/>
      <c r="M387" s="98"/>
      <c r="N387" s="96"/>
      <c r="O387" s="97"/>
      <c r="P387" s="70"/>
      <c r="Q387" s="97"/>
      <c r="R387" s="97"/>
      <c r="S387" s="98"/>
      <c r="T387" s="97"/>
      <c r="U387" s="98"/>
      <c r="V387" s="100"/>
      <c r="W387" s="98"/>
      <c r="X387" s="96"/>
      <c r="Y387" s="98"/>
      <c r="Z387" s="96"/>
      <c r="AA387" s="97"/>
      <c r="AB387" s="96"/>
      <c r="AC387" s="98"/>
      <c r="AD387" s="98"/>
      <c r="AE387" s="98"/>
    </row>
    <row r="388" spans="2:31" x14ac:dyDescent="0.3">
      <c r="B388" s="96"/>
      <c r="C388" s="96"/>
      <c r="D388" s="96"/>
      <c r="E388" s="97"/>
      <c r="F388" s="96"/>
      <c r="G388" s="98"/>
      <c r="H388" s="96"/>
      <c r="I388" s="98"/>
      <c r="J388" s="97"/>
      <c r="K388" s="98"/>
      <c r="L388" s="100"/>
      <c r="M388" s="98"/>
      <c r="N388" s="96"/>
      <c r="O388" s="97"/>
      <c r="P388" s="70"/>
      <c r="Q388" s="97"/>
      <c r="R388" s="97"/>
      <c r="S388" s="98"/>
      <c r="T388" s="97"/>
      <c r="U388" s="98"/>
      <c r="V388" s="100"/>
      <c r="W388" s="98"/>
      <c r="X388" s="96"/>
      <c r="Y388" s="98"/>
      <c r="Z388" s="96"/>
      <c r="AA388" s="97"/>
      <c r="AB388" s="96"/>
      <c r="AC388" s="98"/>
      <c r="AD388" s="98"/>
      <c r="AE388" s="98"/>
    </row>
    <row r="389" spans="2:31" x14ac:dyDescent="0.3">
      <c r="B389" s="96"/>
      <c r="C389" s="96"/>
      <c r="D389" s="96"/>
      <c r="E389" s="97"/>
      <c r="F389" s="96"/>
      <c r="G389" s="98"/>
      <c r="H389" s="96"/>
      <c r="I389" s="98"/>
      <c r="J389" s="97"/>
      <c r="K389" s="98"/>
      <c r="L389" s="100"/>
      <c r="M389" s="98"/>
      <c r="N389" s="96"/>
      <c r="O389" s="97"/>
      <c r="P389" s="70"/>
      <c r="Q389" s="97"/>
      <c r="R389" s="97"/>
      <c r="S389" s="98"/>
      <c r="T389" s="97"/>
      <c r="U389" s="98"/>
      <c r="V389" s="100"/>
      <c r="W389" s="98"/>
      <c r="X389" s="96"/>
      <c r="Y389" s="98"/>
      <c r="Z389" s="96"/>
      <c r="AA389" s="97"/>
      <c r="AB389" s="96"/>
      <c r="AC389" s="98"/>
      <c r="AD389" s="98"/>
      <c r="AE389" s="98"/>
    </row>
    <row r="390" spans="2:31" x14ac:dyDescent="0.3">
      <c r="B390" s="96"/>
      <c r="C390" s="96"/>
      <c r="D390" s="96"/>
      <c r="E390" s="97"/>
      <c r="F390" s="96"/>
      <c r="G390" s="98"/>
      <c r="H390" s="96"/>
      <c r="I390" s="98"/>
      <c r="J390" s="97"/>
      <c r="K390" s="98"/>
      <c r="L390" s="100"/>
      <c r="M390" s="98"/>
      <c r="N390" s="96"/>
      <c r="O390" s="97"/>
      <c r="P390" s="70"/>
      <c r="Q390" s="97"/>
      <c r="R390" s="97"/>
      <c r="S390" s="98"/>
      <c r="T390" s="97"/>
      <c r="U390" s="98"/>
      <c r="V390" s="100"/>
      <c r="W390" s="98"/>
      <c r="X390" s="96"/>
      <c r="Y390" s="98"/>
      <c r="Z390" s="96"/>
      <c r="AA390" s="97"/>
      <c r="AB390" s="96"/>
      <c r="AC390" s="98"/>
      <c r="AD390" s="98"/>
      <c r="AE390" s="98"/>
    </row>
    <row r="391" spans="2:31" x14ac:dyDescent="0.3">
      <c r="B391" s="96"/>
      <c r="C391" s="96"/>
      <c r="D391" s="96"/>
      <c r="E391" s="97"/>
      <c r="F391" s="96"/>
      <c r="G391" s="98"/>
      <c r="H391" s="96"/>
      <c r="I391" s="98"/>
      <c r="J391" s="97"/>
      <c r="K391" s="98"/>
      <c r="L391" s="100"/>
      <c r="M391" s="98"/>
      <c r="N391" s="96"/>
      <c r="O391" s="97"/>
      <c r="P391" s="70"/>
      <c r="Q391" s="97"/>
      <c r="R391" s="97"/>
      <c r="S391" s="98"/>
      <c r="T391" s="97"/>
      <c r="U391" s="98"/>
      <c r="V391" s="100"/>
      <c r="W391" s="98"/>
      <c r="X391" s="96"/>
      <c r="Y391" s="98"/>
      <c r="Z391" s="96"/>
      <c r="AA391" s="97"/>
      <c r="AB391" s="96"/>
      <c r="AC391" s="98"/>
      <c r="AD391" s="98"/>
      <c r="AE391" s="98"/>
    </row>
    <row r="392" spans="2:31" x14ac:dyDescent="0.3">
      <c r="B392" s="96"/>
      <c r="C392" s="96"/>
      <c r="D392" s="96"/>
      <c r="E392" s="97"/>
      <c r="F392" s="96"/>
      <c r="G392" s="98"/>
      <c r="H392" s="96"/>
      <c r="I392" s="98"/>
      <c r="J392" s="97"/>
      <c r="K392" s="98"/>
      <c r="L392" s="100"/>
      <c r="M392" s="98"/>
      <c r="N392" s="96"/>
      <c r="O392" s="97"/>
      <c r="P392" s="70"/>
      <c r="Q392" s="97"/>
      <c r="R392" s="97"/>
      <c r="S392" s="98"/>
      <c r="T392" s="97"/>
      <c r="U392" s="98"/>
      <c r="V392" s="100"/>
      <c r="W392" s="98"/>
      <c r="X392" s="96"/>
      <c r="Y392" s="98"/>
      <c r="Z392" s="96"/>
      <c r="AA392" s="97"/>
      <c r="AB392" s="96"/>
      <c r="AC392" s="98"/>
      <c r="AD392" s="98"/>
      <c r="AE392" s="98"/>
    </row>
    <row r="393" spans="2:31" x14ac:dyDescent="0.3">
      <c r="B393" s="96"/>
      <c r="C393" s="96"/>
      <c r="D393" s="96"/>
      <c r="E393" s="97"/>
      <c r="F393" s="96"/>
      <c r="G393" s="98"/>
      <c r="H393" s="96"/>
      <c r="I393" s="98"/>
      <c r="J393" s="97"/>
      <c r="K393" s="98"/>
      <c r="L393" s="100"/>
      <c r="M393" s="98"/>
      <c r="N393" s="96"/>
      <c r="O393" s="97"/>
      <c r="P393" s="70"/>
      <c r="Q393" s="97"/>
      <c r="R393" s="97"/>
      <c r="S393" s="98"/>
      <c r="T393" s="97"/>
      <c r="U393" s="98"/>
      <c r="V393" s="100"/>
      <c r="W393" s="98"/>
      <c r="X393" s="96"/>
      <c r="Y393" s="98"/>
      <c r="Z393" s="96"/>
      <c r="AA393" s="97"/>
      <c r="AB393" s="96"/>
      <c r="AC393" s="98"/>
      <c r="AD393" s="98"/>
      <c r="AE393" s="98"/>
    </row>
    <row r="394" spans="2:31" x14ac:dyDescent="0.3">
      <c r="B394" s="96"/>
      <c r="C394" s="96"/>
      <c r="D394" s="96"/>
      <c r="E394" s="97"/>
      <c r="F394" s="96"/>
      <c r="G394" s="98"/>
      <c r="H394" s="96"/>
      <c r="I394" s="98"/>
      <c r="J394" s="97"/>
      <c r="K394" s="98"/>
      <c r="L394" s="100"/>
      <c r="M394" s="98"/>
      <c r="N394" s="96"/>
      <c r="O394" s="97"/>
      <c r="P394" s="70"/>
      <c r="Q394" s="97"/>
      <c r="R394" s="97"/>
      <c r="S394" s="98"/>
      <c r="T394" s="97"/>
      <c r="U394" s="98"/>
      <c r="V394" s="100"/>
      <c r="W394" s="98"/>
      <c r="X394" s="96"/>
      <c r="Y394" s="98"/>
      <c r="Z394" s="96"/>
      <c r="AA394" s="97"/>
      <c r="AB394" s="96"/>
      <c r="AC394" s="98"/>
      <c r="AD394" s="98"/>
      <c r="AE394" s="98"/>
    </row>
    <row r="395" spans="2:31" x14ac:dyDescent="0.3">
      <c r="B395" s="96"/>
      <c r="C395" s="96"/>
      <c r="D395" s="96"/>
      <c r="E395" s="97"/>
      <c r="F395" s="96"/>
      <c r="G395" s="98"/>
      <c r="H395" s="96"/>
      <c r="I395" s="98"/>
      <c r="J395" s="97"/>
      <c r="K395" s="98"/>
      <c r="L395" s="100"/>
      <c r="M395" s="98"/>
      <c r="N395" s="96"/>
      <c r="O395" s="97"/>
      <c r="P395" s="70"/>
      <c r="Q395" s="97"/>
      <c r="R395" s="97"/>
      <c r="S395" s="98"/>
      <c r="T395" s="97"/>
      <c r="U395" s="98"/>
      <c r="V395" s="100"/>
      <c r="W395" s="98"/>
      <c r="X395" s="96"/>
      <c r="Y395" s="98"/>
      <c r="Z395" s="96"/>
      <c r="AA395" s="97"/>
      <c r="AB395" s="96"/>
      <c r="AC395" s="98"/>
      <c r="AD395" s="98"/>
      <c r="AE395" s="98"/>
    </row>
    <row r="396" spans="2:31" x14ac:dyDescent="0.3">
      <c r="B396" s="96"/>
      <c r="C396" s="96"/>
      <c r="D396" s="96"/>
      <c r="E396" s="97"/>
      <c r="F396" s="96"/>
      <c r="G396" s="98"/>
      <c r="H396" s="96"/>
      <c r="I396" s="98"/>
      <c r="J396" s="97"/>
      <c r="K396" s="98"/>
      <c r="L396" s="100"/>
      <c r="M396" s="98"/>
      <c r="N396" s="96"/>
      <c r="O396" s="97"/>
      <c r="P396" s="70"/>
      <c r="Q396" s="97"/>
      <c r="R396" s="97"/>
      <c r="S396" s="98"/>
      <c r="T396" s="97"/>
      <c r="U396" s="98"/>
      <c r="V396" s="100"/>
      <c r="W396" s="98"/>
      <c r="X396" s="96"/>
      <c r="Y396" s="98"/>
      <c r="Z396" s="96"/>
      <c r="AA396" s="97"/>
      <c r="AB396" s="96"/>
      <c r="AC396" s="98"/>
      <c r="AD396" s="98"/>
      <c r="AE396" s="98"/>
    </row>
    <row r="397" spans="2:31" x14ac:dyDescent="0.3">
      <c r="B397" s="96"/>
      <c r="C397" s="96"/>
      <c r="D397" s="96"/>
      <c r="E397" s="97"/>
      <c r="F397" s="96"/>
      <c r="G397" s="98"/>
      <c r="H397" s="96"/>
      <c r="I397" s="98"/>
      <c r="J397" s="97"/>
      <c r="K397" s="98"/>
      <c r="L397" s="100"/>
      <c r="M397" s="98"/>
      <c r="N397" s="96"/>
      <c r="O397" s="97"/>
      <c r="P397" s="70"/>
      <c r="Q397" s="97"/>
      <c r="R397" s="97"/>
      <c r="S397" s="98"/>
      <c r="T397" s="97"/>
      <c r="U397" s="98"/>
      <c r="V397" s="100"/>
      <c r="W397" s="98"/>
      <c r="X397" s="96"/>
      <c r="Y397" s="98"/>
      <c r="Z397" s="96"/>
      <c r="AA397" s="97"/>
      <c r="AB397" s="96"/>
      <c r="AC397" s="98"/>
      <c r="AD397" s="98"/>
      <c r="AE397" s="98"/>
    </row>
    <row r="398" spans="2:31" x14ac:dyDescent="0.3">
      <c r="B398" s="96"/>
      <c r="C398" s="96"/>
      <c r="D398" s="96"/>
      <c r="E398" s="97"/>
      <c r="F398" s="96"/>
      <c r="G398" s="98"/>
      <c r="H398" s="96"/>
      <c r="I398" s="98"/>
      <c r="J398" s="97"/>
      <c r="K398" s="98"/>
      <c r="L398" s="100"/>
      <c r="M398" s="98"/>
      <c r="N398" s="96"/>
      <c r="O398" s="97"/>
      <c r="P398" s="70"/>
      <c r="Q398" s="97"/>
      <c r="R398" s="97"/>
      <c r="S398" s="98"/>
      <c r="T398" s="97"/>
      <c r="U398" s="98"/>
      <c r="V398" s="100"/>
      <c r="W398" s="98"/>
      <c r="X398" s="96"/>
      <c r="Y398" s="98"/>
      <c r="Z398" s="96"/>
      <c r="AA398" s="97"/>
      <c r="AB398" s="96"/>
      <c r="AC398" s="98"/>
      <c r="AD398" s="98"/>
      <c r="AE398" s="98"/>
    </row>
    <row r="399" spans="2:31" x14ac:dyDescent="0.3">
      <c r="B399" s="96"/>
      <c r="C399" s="96"/>
      <c r="D399" s="96"/>
      <c r="E399" s="97"/>
      <c r="F399" s="96"/>
      <c r="G399" s="98"/>
      <c r="H399" s="96"/>
      <c r="I399" s="98"/>
      <c r="J399" s="97"/>
      <c r="K399" s="98"/>
      <c r="L399" s="100"/>
      <c r="M399" s="98"/>
      <c r="N399" s="96"/>
      <c r="O399" s="97"/>
      <c r="P399" s="70"/>
      <c r="Q399" s="97"/>
      <c r="R399" s="97"/>
      <c r="S399" s="98"/>
      <c r="T399" s="97"/>
      <c r="U399" s="98"/>
      <c r="V399" s="100"/>
      <c r="W399" s="98"/>
      <c r="X399" s="96"/>
      <c r="Y399" s="98"/>
      <c r="Z399" s="96"/>
      <c r="AA399" s="97"/>
      <c r="AB399" s="96"/>
      <c r="AC399" s="98"/>
      <c r="AD399" s="98"/>
      <c r="AE399" s="98"/>
    </row>
    <row r="400" spans="2:31" x14ac:dyDescent="0.3">
      <c r="B400" s="96"/>
      <c r="C400" s="96"/>
      <c r="D400" s="96"/>
      <c r="E400" s="97"/>
      <c r="F400" s="96"/>
      <c r="G400" s="98"/>
      <c r="H400" s="96"/>
      <c r="I400" s="98"/>
      <c r="J400" s="97"/>
      <c r="K400" s="98"/>
      <c r="L400" s="100"/>
      <c r="M400" s="98"/>
      <c r="N400" s="96"/>
      <c r="O400" s="97"/>
      <c r="P400" s="70"/>
      <c r="Q400" s="97"/>
      <c r="R400" s="97"/>
      <c r="S400" s="98"/>
      <c r="T400" s="97"/>
      <c r="U400" s="98"/>
      <c r="V400" s="100"/>
      <c r="W400" s="98"/>
      <c r="X400" s="96"/>
      <c r="Y400" s="98"/>
      <c r="Z400" s="96"/>
      <c r="AA400" s="97"/>
      <c r="AB400" s="96"/>
      <c r="AC400" s="98"/>
      <c r="AD400" s="98"/>
      <c r="AE400" s="98"/>
    </row>
    <row r="401" spans="2:31" x14ac:dyDescent="0.3">
      <c r="B401" s="96"/>
      <c r="C401" s="96"/>
      <c r="D401" s="96"/>
      <c r="E401" s="97"/>
      <c r="F401" s="96"/>
      <c r="G401" s="98"/>
      <c r="H401" s="96"/>
      <c r="I401" s="98"/>
      <c r="J401" s="97"/>
      <c r="K401" s="98"/>
      <c r="L401" s="100"/>
      <c r="M401" s="98"/>
      <c r="N401" s="96"/>
      <c r="O401" s="97"/>
      <c r="P401" s="70"/>
      <c r="Q401" s="97"/>
      <c r="R401" s="97"/>
      <c r="S401" s="98"/>
      <c r="T401" s="97"/>
      <c r="U401" s="98"/>
      <c r="V401" s="100"/>
      <c r="W401" s="98"/>
      <c r="X401" s="96"/>
      <c r="Y401" s="98"/>
      <c r="Z401" s="96"/>
      <c r="AA401" s="97"/>
      <c r="AB401" s="96"/>
      <c r="AC401" s="98"/>
      <c r="AD401" s="98"/>
      <c r="AE401" s="98"/>
    </row>
    <row r="402" spans="2:31" x14ac:dyDescent="0.3">
      <c r="B402" s="96"/>
      <c r="C402" s="96"/>
      <c r="D402" s="96"/>
      <c r="E402" s="97"/>
      <c r="F402" s="96"/>
      <c r="G402" s="98"/>
      <c r="H402" s="96"/>
      <c r="I402" s="98"/>
      <c r="J402" s="97"/>
      <c r="K402" s="98"/>
      <c r="L402" s="100"/>
      <c r="M402" s="98"/>
      <c r="N402" s="96"/>
      <c r="O402" s="97"/>
      <c r="P402" s="70"/>
      <c r="Q402" s="97"/>
      <c r="R402" s="97"/>
      <c r="S402" s="98"/>
      <c r="T402" s="97"/>
      <c r="U402" s="98"/>
      <c r="V402" s="100"/>
      <c r="W402" s="98"/>
      <c r="X402" s="96"/>
      <c r="Y402" s="98"/>
      <c r="Z402" s="96"/>
      <c r="AA402" s="97"/>
      <c r="AB402" s="96"/>
      <c r="AC402" s="98"/>
      <c r="AD402" s="98"/>
      <c r="AE402" s="98"/>
    </row>
    <row r="403" spans="2:31" x14ac:dyDescent="0.3">
      <c r="B403" s="96"/>
      <c r="C403" s="96"/>
      <c r="D403" s="96"/>
      <c r="E403" s="97"/>
      <c r="F403" s="96"/>
      <c r="G403" s="98"/>
      <c r="H403" s="96"/>
      <c r="I403" s="98"/>
      <c r="J403" s="97"/>
      <c r="K403" s="98"/>
      <c r="L403" s="100"/>
      <c r="M403" s="98"/>
      <c r="N403" s="96"/>
      <c r="O403" s="97"/>
      <c r="P403" s="70"/>
      <c r="Q403" s="97"/>
      <c r="R403" s="97"/>
      <c r="S403" s="98"/>
      <c r="T403" s="97"/>
      <c r="U403" s="98"/>
      <c r="V403" s="100"/>
      <c r="W403" s="98"/>
      <c r="X403" s="96"/>
      <c r="Y403" s="98"/>
      <c r="Z403" s="96"/>
      <c r="AA403" s="97"/>
      <c r="AB403" s="96"/>
      <c r="AC403" s="98"/>
      <c r="AD403" s="98"/>
      <c r="AE403" s="98"/>
    </row>
    <row r="404" spans="2:31" x14ac:dyDescent="0.3">
      <c r="B404" s="96"/>
      <c r="C404" s="96"/>
      <c r="D404" s="96"/>
      <c r="E404" s="97"/>
      <c r="F404" s="96"/>
      <c r="G404" s="98"/>
      <c r="H404" s="96"/>
      <c r="I404" s="98"/>
      <c r="J404" s="97"/>
      <c r="K404" s="98"/>
      <c r="L404" s="100"/>
      <c r="M404" s="98"/>
      <c r="N404" s="96"/>
      <c r="O404" s="97"/>
      <c r="P404" s="70"/>
      <c r="Q404" s="97"/>
      <c r="R404" s="97"/>
      <c r="S404" s="98"/>
      <c r="T404" s="97"/>
      <c r="U404" s="98"/>
      <c r="V404" s="100"/>
      <c r="W404" s="98"/>
      <c r="X404" s="96"/>
      <c r="Y404" s="98"/>
      <c r="Z404" s="96"/>
      <c r="AA404" s="97"/>
      <c r="AB404" s="96"/>
      <c r="AC404" s="98"/>
      <c r="AD404" s="98"/>
      <c r="AE404" s="98"/>
    </row>
    <row r="405" spans="2:31" x14ac:dyDescent="0.3">
      <c r="B405" s="96"/>
      <c r="C405" s="96"/>
      <c r="D405" s="96"/>
      <c r="E405" s="97"/>
      <c r="F405" s="96"/>
      <c r="G405" s="98"/>
      <c r="H405" s="96"/>
      <c r="I405" s="98"/>
      <c r="J405" s="97"/>
      <c r="K405" s="98"/>
      <c r="L405" s="100"/>
      <c r="M405" s="98"/>
      <c r="N405" s="96"/>
      <c r="O405" s="97"/>
      <c r="P405" s="70"/>
      <c r="Q405" s="97"/>
      <c r="R405" s="97"/>
      <c r="S405" s="98"/>
      <c r="T405" s="97"/>
      <c r="U405" s="98"/>
      <c r="V405" s="100"/>
      <c r="W405" s="98"/>
      <c r="X405" s="96"/>
      <c r="Y405" s="98"/>
      <c r="Z405" s="96"/>
      <c r="AA405" s="97"/>
      <c r="AB405" s="96"/>
      <c r="AC405" s="98"/>
      <c r="AD405" s="98"/>
      <c r="AE405" s="98"/>
    </row>
    <row r="406" spans="2:31" x14ac:dyDescent="0.3">
      <c r="B406" s="96"/>
      <c r="C406" s="96"/>
      <c r="D406" s="96"/>
      <c r="E406" s="97"/>
      <c r="F406" s="96"/>
      <c r="G406" s="98"/>
      <c r="H406" s="96"/>
      <c r="I406" s="98"/>
      <c r="J406" s="97"/>
      <c r="K406" s="98"/>
      <c r="L406" s="100"/>
      <c r="M406" s="98"/>
      <c r="N406" s="96"/>
      <c r="O406" s="97"/>
      <c r="P406" s="70"/>
      <c r="Q406" s="97"/>
      <c r="R406" s="97"/>
      <c r="S406" s="98"/>
      <c r="T406" s="97"/>
      <c r="U406" s="98"/>
      <c r="V406" s="100"/>
      <c r="W406" s="98"/>
      <c r="X406" s="96"/>
      <c r="Y406" s="98"/>
      <c r="Z406" s="96"/>
      <c r="AA406" s="97"/>
      <c r="AB406" s="96"/>
      <c r="AC406" s="98"/>
      <c r="AD406" s="98"/>
      <c r="AE406" s="98"/>
    </row>
    <row r="407" spans="2:31" x14ac:dyDescent="0.3">
      <c r="B407" s="96"/>
      <c r="C407" s="96"/>
      <c r="D407" s="96"/>
      <c r="E407" s="97"/>
      <c r="F407" s="96"/>
      <c r="G407" s="98"/>
      <c r="H407" s="96"/>
      <c r="I407" s="98"/>
      <c r="J407" s="97"/>
      <c r="K407" s="98"/>
      <c r="L407" s="100"/>
      <c r="M407" s="98"/>
      <c r="N407" s="96"/>
      <c r="O407" s="97"/>
      <c r="P407" s="70"/>
      <c r="Q407" s="97"/>
      <c r="R407" s="97"/>
      <c r="S407" s="98"/>
      <c r="T407" s="97"/>
      <c r="U407" s="98"/>
      <c r="V407" s="100"/>
      <c r="W407" s="98"/>
      <c r="X407" s="96"/>
      <c r="Y407" s="98"/>
      <c r="Z407" s="96"/>
      <c r="AA407" s="97"/>
      <c r="AB407" s="96"/>
      <c r="AC407" s="98"/>
      <c r="AD407" s="98"/>
      <c r="AE407" s="98"/>
    </row>
    <row r="408" spans="2:31" x14ac:dyDescent="0.3">
      <c r="B408" s="96"/>
      <c r="C408" s="96"/>
      <c r="D408" s="96"/>
      <c r="E408" s="97"/>
      <c r="F408" s="96"/>
      <c r="G408" s="98"/>
      <c r="H408" s="96"/>
      <c r="I408" s="98"/>
      <c r="J408" s="97"/>
      <c r="K408" s="98"/>
      <c r="L408" s="100"/>
      <c r="M408" s="98"/>
      <c r="N408" s="96"/>
      <c r="O408" s="97"/>
      <c r="P408" s="70"/>
      <c r="Q408" s="97"/>
      <c r="R408" s="97"/>
      <c r="S408" s="98"/>
      <c r="T408" s="97"/>
      <c r="U408" s="98"/>
      <c r="V408" s="100"/>
      <c r="W408" s="98"/>
      <c r="X408" s="96"/>
      <c r="Y408" s="98"/>
      <c r="Z408" s="96"/>
      <c r="AA408" s="97"/>
      <c r="AB408" s="96"/>
      <c r="AC408" s="98"/>
      <c r="AD408" s="98"/>
      <c r="AE408" s="98"/>
    </row>
    <row r="409" spans="2:31" x14ac:dyDescent="0.3">
      <c r="B409" s="96"/>
      <c r="C409" s="96"/>
      <c r="D409" s="96"/>
      <c r="E409" s="97"/>
      <c r="F409" s="96"/>
      <c r="G409" s="98"/>
      <c r="H409" s="96"/>
      <c r="I409" s="98"/>
      <c r="J409" s="97"/>
      <c r="K409" s="98"/>
      <c r="L409" s="100"/>
      <c r="M409" s="98"/>
      <c r="N409" s="96"/>
      <c r="O409" s="97"/>
      <c r="P409" s="70"/>
      <c r="Q409" s="97"/>
      <c r="R409" s="97"/>
      <c r="S409" s="98"/>
      <c r="T409" s="97"/>
      <c r="U409" s="98"/>
      <c r="V409" s="100"/>
      <c r="W409" s="98"/>
      <c r="X409" s="96"/>
      <c r="Y409" s="98"/>
      <c r="Z409" s="96"/>
      <c r="AA409" s="97"/>
      <c r="AB409" s="96"/>
      <c r="AC409" s="98"/>
      <c r="AD409" s="98"/>
      <c r="AE409" s="98"/>
    </row>
    <row r="410" spans="2:31" x14ac:dyDescent="0.3">
      <c r="B410" s="96"/>
      <c r="C410" s="96"/>
      <c r="D410" s="96"/>
      <c r="E410" s="97"/>
      <c r="F410" s="96"/>
      <c r="G410" s="98"/>
      <c r="H410" s="96"/>
      <c r="I410" s="98"/>
      <c r="J410" s="97"/>
      <c r="K410" s="98"/>
      <c r="L410" s="100"/>
      <c r="M410" s="98"/>
      <c r="N410" s="96"/>
      <c r="O410" s="97"/>
      <c r="P410" s="70"/>
      <c r="Q410" s="97"/>
      <c r="R410" s="97"/>
      <c r="S410" s="98"/>
      <c r="T410" s="97"/>
      <c r="U410" s="98"/>
      <c r="V410" s="100"/>
      <c r="W410" s="98"/>
      <c r="X410" s="96"/>
      <c r="Y410" s="98"/>
      <c r="Z410" s="96"/>
      <c r="AA410" s="97"/>
      <c r="AB410" s="96"/>
      <c r="AC410" s="98"/>
      <c r="AD410" s="98"/>
      <c r="AE410" s="98"/>
    </row>
    <row r="411" spans="2:31" x14ac:dyDescent="0.3">
      <c r="B411" s="96"/>
      <c r="C411" s="96"/>
      <c r="D411" s="96"/>
      <c r="E411" s="97"/>
      <c r="F411" s="96"/>
      <c r="G411" s="98"/>
      <c r="H411" s="96"/>
      <c r="I411" s="98"/>
      <c r="J411" s="97"/>
      <c r="K411" s="98"/>
      <c r="L411" s="100"/>
      <c r="M411" s="98"/>
      <c r="N411" s="96"/>
      <c r="O411" s="97"/>
      <c r="P411" s="70"/>
      <c r="Q411" s="97"/>
      <c r="R411" s="97"/>
      <c r="S411" s="98"/>
      <c r="T411" s="97"/>
      <c r="U411" s="98"/>
      <c r="V411" s="100"/>
      <c r="W411" s="98"/>
      <c r="X411" s="96"/>
      <c r="Y411" s="98"/>
      <c r="Z411" s="96"/>
      <c r="AA411" s="97"/>
      <c r="AB411" s="96"/>
      <c r="AC411" s="98"/>
      <c r="AD411" s="98"/>
      <c r="AE411" s="98"/>
    </row>
    <row r="412" spans="2:31" x14ac:dyDescent="0.3">
      <c r="B412" s="96"/>
      <c r="C412" s="96"/>
      <c r="D412" s="96"/>
      <c r="E412" s="97"/>
      <c r="F412" s="96"/>
      <c r="G412" s="98"/>
      <c r="H412" s="96"/>
      <c r="I412" s="98"/>
      <c r="J412" s="97"/>
      <c r="K412" s="98"/>
      <c r="L412" s="100"/>
      <c r="M412" s="98"/>
      <c r="N412" s="96"/>
      <c r="O412" s="97"/>
      <c r="P412" s="70"/>
      <c r="Q412" s="97"/>
      <c r="R412" s="97"/>
      <c r="S412" s="98"/>
      <c r="T412" s="97"/>
      <c r="U412" s="98"/>
      <c r="V412" s="100"/>
      <c r="W412" s="98"/>
      <c r="X412" s="96"/>
      <c r="Y412" s="98"/>
      <c r="Z412" s="96"/>
      <c r="AA412" s="97"/>
      <c r="AB412" s="96"/>
      <c r="AC412" s="98"/>
      <c r="AD412" s="98"/>
      <c r="AE412" s="98"/>
    </row>
    <row r="413" spans="2:31" x14ac:dyDescent="0.3">
      <c r="B413" s="96"/>
      <c r="C413" s="96"/>
      <c r="D413" s="96"/>
      <c r="E413" s="97"/>
      <c r="F413" s="96"/>
      <c r="G413" s="98"/>
      <c r="H413" s="96"/>
      <c r="I413" s="98"/>
      <c r="J413" s="97"/>
      <c r="K413" s="98"/>
      <c r="L413" s="100"/>
      <c r="M413" s="98"/>
      <c r="N413" s="96"/>
      <c r="O413" s="97"/>
      <c r="P413" s="70"/>
      <c r="Q413" s="97"/>
      <c r="R413" s="97"/>
      <c r="S413" s="98"/>
      <c r="T413" s="97"/>
      <c r="U413" s="98"/>
      <c r="V413" s="100"/>
      <c r="W413" s="98"/>
      <c r="X413" s="96"/>
      <c r="Y413" s="98"/>
      <c r="Z413" s="96"/>
      <c r="AA413" s="97"/>
      <c r="AB413" s="96"/>
      <c r="AC413" s="98"/>
      <c r="AD413" s="98"/>
      <c r="AE413" s="98"/>
    </row>
    <row r="414" spans="2:31" x14ac:dyDescent="0.3">
      <c r="B414" s="96"/>
      <c r="C414" s="96"/>
      <c r="D414" s="96"/>
      <c r="E414" s="97"/>
      <c r="F414" s="96"/>
      <c r="G414" s="98"/>
      <c r="H414" s="96"/>
      <c r="I414" s="98"/>
      <c r="J414" s="97"/>
      <c r="K414" s="98"/>
      <c r="L414" s="100"/>
      <c r="M414" s="98"/>
      <c r="N414" s="96"/>
      <c r="O414" s="97"/>
      <c r="P414" s="70"/>
      <c r="Q414" s="97"/>
      <c r="R414" s="97"/>
      <c r="S414" s="98"/>
      <c r="T414" s="97"/>
      <c r="U414" s="98"/>
      <c r="V414" s="100"/>
      <c r="W414" s="98"/>
      <c r="X414" s="96"/>
      <c r="Y414" s="98"/>
      <c r="Z414" s="96"/>
      <c r="AA414" s="97"/>
      <c r="AB414" s="96"/>
      <c r="AC414" s="98"/>
      <c r="AD414" s="98"/>
      <c r="AE414" s="98"/>
    </row>
    <row r="415" spans="2:31" x14ac:dyDescent="0.3">
      <c r="B415" s="96"/>
      <c r="C415" s="96"/>
      <c r="D415" s="96"/>
      <c r="E415" s="97"/>
      <c r="F415" s="96"/>
      <c r="G415" s="98"/>
      <c r="H415" s="96"/>
      <c r="I415" s="98"/>
      <c r="J415" s="97"/>
      <c r="K415" s="98"/>
      <c r="L415" s="100"/>
      <c r="M415" s="98"/>
      <c r="N415" s="96"/>
      <c r="O415" s="97"/>
      <c r="P415" s="70"/>
      <c r="Q415" s="97"/>
      <c r="R415" s="97"/>
      <c r="S415" s="98"/>
      <c r="T415" s="97"/>
      <c r="U415" s="98"/>
      <c r="V415" s="100"/>
      <c r="W415" s="98"/>
      <c r="X415" s="96"/>
      <c r="Y415" s="98"/>
      <c r="Z415" s="96"/>
      <c r="AA415" s="97"/>
      <c r="AB415" s="96"/>
      <c r="AC415" s="98"/>
      <c r="AD415" s="98"/>
      <c r="AE415" s="98"/>
    </row>
    <row r="416" spans="2:31" x14ac:dyDescent="0.3">
      <c r="B416" s="96"/>
      <c r="C416" s="96"/>
      <c r="D416" s="96"/>
      <c r="E416" s="97"/>
      <c r="F416" s="96"/>
      <c r="G416" s="98"/>
      <c r="H416" s="96"/>
      <c r="I416" s="98"/>
      <c r="J416" s="97"/>
      <c r="K416" s="98"/>
      <c r="L416" s="100"/>
      <c r="M416" s="98"/>
      <c r="N416" s="96"/>
      <c r="O416" s="97"/>
      <c r="P416" s="70"/>
      <c r="Q416" s="97"/>
      <c r="R416" s="97"/>
      <c r="S416" s="98"/>
      <c r="T416" s="97"/>
      <c r="U416" s="98"/>
      <c r="V416" s="100"/>
      <c r="W416" s="98"/>
      <c r="X416" s="96"/>
      <c r="Y416" s="98"/>
      <c r="Z416" s="96"/>
      <c r="AA416" s="97"/>
      <c r="AB416" s="96"/>
      <c r="AC416" s="98"/>
      <c r="AD416" s="98"/>
      <c r="AE416" s="98"/>
    </row>
    <row r="417" spans="2:31" x14ac:dyDescent="0.3">
      <c r="B417" s="96"/>
      <c r="C417" s="96"/>
      <c r="D417" s="96"/>
      <c r="E417" s="97"/>
      <c r="F417" s="96"/>
      <c r="G417" s="98"/>
      <c r="H417" s="96"/>
      <c r="I417" s="98"/>
      <c r="J417" s="97"/>
      <c r="K417" s="98"/>
      <c r="L417" s="100"/>
      <c r="M417" s="98"/>
      <c r="N417" s="96"/>
      <c r="O417" s="97"/>
      <c r="P417" s="70"/>
      <c r="Q417" s="97"/>
      <c r="R417" s="97"/>
      <c r="S417" s="98"/>
      <c r="T417" s="97"/>
      <c r="U417" s="98"/>
      <c r="V417" s="100"/>
      <c r="W417" s="98"/>
      <c r="X417" s="96"/>
      <c r="Y417" s="98"/>
      <c r="Z417" s="96"/>
      <c r="AA417" s="97"/>
      <c r="AB417" s="96"/>
      <c r="AC417" s="98"/>
      <c r="AD417" s="98"/>
      <c r="AE417" s="98"/>
    </row>
    <row r="418" spans="2:31" x14ac:dyDescent="0.3">
      <c r="B418" s="96"/>
      <c r="C418" s="96"/>
      <c r="D418" s="96"/>
      <c r="E418" s="97"/>
      <c r="F418" s="96"/>
      <c r="G418" s="98"/>
      <c r="H418" s="96"/>
      <c r="I418" s="98"/>
      <c r="J418" s="97"/>
      <c r="K418" s="98"/>
      <c r="L418" s="100"/>
      <c r="M418" s="98"/>
      <c r="N418" s="96"/>
      <c r="O418" s="97"/>
      <c r="P418" s="70"/>
      <c r="Q418" s="97"/>
      <c r="R418" s="97"/>
      <c r="S418" s="98"/>
      <c r="T418" s="97"/>
      <c r="U418" s="98"/>
      <c r="V418" s="100"/>
      <c r="W418" s="98"/>
      <c r="X418" s="96"/>
      <c r="Y418" s="98"/>
      <c r="Z418" s="96"/>
      <c r="AA418" s="97"/>
      <c r="AB418" s="96"/>
      <c r="AC418" s="98"/>
      <c r="AD418" s="98"/>
      <c r="AE418" s="98"/>
    </row>
    <row r="419" spans="2:31" x14ac:dyDescent="0.3">
      <c r="B419" s="96"/>
      <c r="C419" s="96"/>
      <c r="D419" s="96"/>
      <c r="E419" s="97"/>
      <c r="F419" s="96"/>
      <c r="G419" s="98"/>
      <c r="H419" s="96"/>
      <c r="I419" s="98"/>
      <c r="J419" s="97"/>
      <c r="K419" s="98"/>
      <c r="L419" s="100"/>
      <c r="M419" s="98"/>
      <c r="N419" s="96"/>
      <c r="O419" s="97"/>
      <c r="P419" s="70"/>
      <c r="Q419" s="97"/>
      <c r="R419" s="97"/>
      <c r="S419" s="98"/>
      <c r="T419" s="97"/>
      <c r="U419" s="98"/>
      <c r="V419" s="100"/>
      <c r="W419" s="98"/>
      <c r="X419" s="96"/>
      <c r="Y419" s="98"/>
      <c r="Z419" s="96"/>
      <c r="AA419" s="97"/>
      <c r="AB419" s="96"/>
      <c r="AC419" s="98"/>
      <c r="AD419" s="98"/>
      <c r="AE419" s="98"/>
    </row>
    <row r="420" spans="2:31" x14ac:dyDescent="0.3">
      <c r="B420" s="96"/>
      <c r="C420" s="96"/>
      <c r="D420" s="96"/>
      <c r="E420" s="97"/>
      <c r="F420" s="96"/>
      <c r="G420" s="98"/>
      <c r="H420" s="96"/>
      <c r="I420" s="98"/>
      <c r="J420" s="97"/>
      <c r="K420" s="98"/>
      <c r="L420" s="100"/>
      <c r="M420" s="98"/>
      <c r="N420" s="96"/>
      <c r="O420" s="97"/>
      <c r="P420" s="70"/>
      <c r="Q420" s="97"/>
      <c r="R420" s="97"/>
      <c r="S420" s="98"/>
      <c r="T420" s="97"/>
      <c r="U420" s="98"/>
      <c r="V420" s="100"/>
      <c r="W420" s="98"/>
      <c r="X420" s="96"/>
      <c r="Y420" s="98"/>
      <c r="Z420" s="96"/>
      <c r="AA420" s="97"/>
      <c r="AB420" s="96"/>
      <c r="AC420" s="98"/>
      <c r="AD420" s="98"/>
      <c r="AE420" s="98"/>
    </row>
    <row r="421" spans="2:31" x14ac:dyDescent="0.3">
      <c r="B421" s="96"/>
      <c r="C421" s="96"/>
      <c r="D421" s="96"/>
      <c r="E421" s="97"/>
      <c r="F421" s="96"/>
      <c r="G421" s="98"/>
      <c r="H421" s="96"/>
      <c r="I421" s="98"/>
      <c r="J421" s="97"/>
      <c r="K421" s="98"/>
      <c r="L421" s="100"/>
      <c r="M421" s="98"/>
      <c r="N421" s="96"/>
      <c r="O421" s="97"/>
      <c r="P421" s="70"/>
      <c r="Q421" s="97"/>
      <c r="R421" s="97"/>
      <c r="S421" s="98"/>
      <c r="T421" s="97"/>
      <c r="U421" s="98"/>
      <c r="V421" s="100"/>
      <c r="W421" s="98"/>
      <c r="X421" s="96"/>
      <c r="Y421" s="98"/>
      <c r="Z421" s="96"/>
      <c r="AA421" s="97"/>
      <c r="AB421" s="96"/>
      <c r="AC421" s="98"/>
      <c r="AD421" s="98"/>
      <c r="AE421" s="98"/>
    </row>
    <row r="422" spans="2:31" x14ac:dyDescent="0.3">
      <c r="B422" s="96"/>
      <c r="C422" s="96"/>
      <c r="D422" s="96"/>
      <c r="E422" s="97"/>
      <c r="F422" s="96"/>
      <c r="G422" s="98"/>
      <c r="H422" s="96"/>
      <c r="I422" s="98"/>
      <c r="J422" s="97"/>
      <c r="K422" s="98"/>
      <c r="L422" s="100"/>
      <c r="M422" s="98"/>
      <c r="N422" s="96"/>
      <c r="O422" s="97"/>
      <c r="P422" s="70"/>
      <c r="Q422" s="97"/>
      <c r="R422" s="97"/>
      <c r="S422" s="98"/>
      <c r="T422" s="97"/>
      <c r="U422" s="98"/>
      <c r="V422" s="100"/>
      <c r="W422" s="98"/>
      <c r="X422" s="96"/>
      <c r="Y422" s="98"/>
      <c r="Z422" s="96"/>
      <c r="AA422" s="97"/>
      <c r="AB422" s="96"/>
      <c r="AC422" s="98"/>
      <c r="AD422" s="98"/>
      <c r="AE422" s="98"/>
    </row>
    <row r="423" spans="2:31" x14ac:dyDescent="0.3">
      <c r="B423" s="96"/>
      <c r="C423" s="96"/>
      <c r="D423" s="96"/>
      <c r="E423" s="97"/>
      <c r="F423" s="96"/>
      <c r="G423" s="98"/>
      <c r="H423" s="96"/>
      <c r="I423" s="98"/>
      <c r="J423" s="97"/>
      <c r="K423" s="98"/>
      <c r="L423" s="100"/>
      <c r="M423" s="98"/>
      <c r="N423" s="96"/>
      <c r="O423" s="97"/>
      <c r="P423" s="70"/>
      <c r="Q423" s="97"/>
      <c r="R423" s="97"/>
      <c r="S423" s="98"/>
      <c r="T423" s="97"/>
      <c r="U423" s="98"/>
      <c r="V423" s="100"/>
      <c r="W423" s="98"/>
      <c r="X423" s="96"/>
      <c r="Y423" s="98"/>
      <c r="Z423" s="96"/>
      <c r="AA423" s="97"/>
      <c r="AB423" s="96"/>
      <c r="AC423" s="98"/>
      <c r="AD423" s="98"/>
      <c r="AE423" s="98"/>
    </row>
    <row r="424" spans="2:31" x14ac:dyDescent="0.3">
      <c r="B424" s="96"/>
      <c r="C424" s="96"/>
      <c r="D424" s="96"/>
      <c r="E424" s="97"/>
      <c r="F424" s="96"/>
      <c r="G424" s="98"/>
      <c r="H424" s="96"/>
      <c r="I424" s="98"/>
      <c r="J424" s="97"/>
      <c r="K424" s="98"/>
      <c r="L424" s="100"/>
      <c r="M424" s="98"/>
      <c r="N424" s="96"/>
      <c r="O424" s="97"/>
      <c r="P424" s="70"/>
      <c r="Q424" s="97"/>
      <c r="R424" s="97"/>
      <c r="S424" s="98"/>
      <c r="T424" s="97"/>
      <c r="U424" s="98"/>
      <c r="V424" s="100"/>
      <c r="W424" s="98"/>
      <c r="X424" s="96"/>
      <c r="Y424" s="98"/>
      <c r="Z424" s="96"/>
      <c r="AA424" s="97"/>
      <c r="AB424" s="96"/>
      <c r="AC424" s="98"/>
      <c r="AD424" s="98"/>
      <c r="AE424" s="98"/>
    </row>
    <row r="425" spans="2:31" x14ac:dyDescent="0.3">
      <c r="B425" s="96"/>
      <c r="C425" s="96"/>
      <c r="D425" s="96"/>
      <c r="E425" s="97"/>
      <c r="F425" s="96"/>
      <c r="G425" s="98"/>
      <c r="H425" s="96"/>
      <c r="I425" s="98"/>
      <c r="J425" s="97"/>
      <c r="K425" s="98"/>
      <c r="L425" s="100"/>
      <c r="M425" s="98"/>
      <c r="N425" s="96"/>
      <c r="O425" s="97"/>
      <c r="P425" s="70"/>
      <c r="Q425" s="97"/>
      <c r="R425" s="97"/>
      <c r="S425" s="98"/>
      <c r="T425" s="97"/>
      <c r="U425" s="98"/>
      <c r="V425" s="100"/>
      <c r="W425" s="98"/>
      <c r="X425" s="96"/>
      <c r="Y425" s="98"/>
      <c r="Z425" s="96"/>
      <c r="AA425" s="97"/>
      <c r="AB425" s="96"/>
      <c r="AC425" s="98"/>
      <c r="AD425" s="98"/>
      <c r="AE425" s="98"/>
    </row>
    <row r="426" spans="2:31" x14ac:dyDescent="0.3">
      <c r="B426" s="96"/>
      <c r="C426" s="96"/>
      <c r="D426" s="96"/>
      <c r="E426" s="97"/>
      <c r="F426" s="96"/>
      <c r="G426" s="98"/>
      <c r="H426" s="96"/>
      <c r="I426" s="98"/>
      <c r="J426" s="97"/>
      <c r="K426" s="98"/>
      <c r="L426" s="100"/>
      <c r="M426" s="98"/>
      <c r="N426" s="96"/>
      <c r="O426" s="97"/>
      <c r="P426" s="70"/>
      <c r="Q426" s="97"/>
      <c r="R426" s="97"/>
      <c r="S426" s="98"/>
      <c r="T426" s="97"/>
      <c r="U426" s="98"/>
      <c r="V426" s="100"/>
      <c r="W426" s="98"/>
      <c r="X426" s="96"/>
      <c r="Y426" s="98"/>
      <c r="Z426" s="96"/>
      <c r="AA426" s="97"/>
      <c r="AB426" s="96"/>
      <c r="AC426" s="98"/>
      <c r="AD426" s="98"/>
      <c r="AE426" s="98"/>
    </row>
    <row r="427" spans="2:31" x14ac:dyDescent="0.3">
      <c r="B427" s="96"/>
      <c r="C427" s="96"/>
      <c r="D427" s="96"/>
      <c r="E427" s="97"/>
      <c r="F427" s="96"/>
      <c r="G427" s="98"/>
      <c r="H427" s="96"/>
      <c r="I427" s="98"/>
      <c r="J427" s="97"/>
      <c r="K427" s="98"/>
      <c r="L427" s="100"/>
      <c r="M427" s="98"/>
      <c r="N427" s="96"/>
      <c r="O427" s="97"/>
      <c r="P427" s="70"/>
      <c r="Q427" s="97"/>
      <c r="R427" s="97"/>
      <c r="S427" s="98"/>
      <c r="T427" s="97"/>
      <c r="U427" s="98"/>
      <c r="V427" s="100"/>
      <c r="W427" s="98"/>
      <c r="X427" s="96"/>
      <c r="Y427" s="98"/>
      <c r="Z427" s="96"/>
      <c r="AA427" s="97"/>
      <c r="AB427" s="96"/>
      <c r="AC427" s="98"/>
      <c r="AD427" s="98"/>
      <c r="AE427" s="98"/>
    </row>
    <row r="428" spans="2:31" x14ac:dyDescent="0.3">
      <c r="B428" s="96"/>
      <c r="C428" s="96"/>
      <c r="D428" s="96"/>
      <c r="E428" s="97"/>
      <c r="F428" s="96"/>
      <c r="G428" s="98"/>
      <c r="H428" s="96"/>
      <c r="I428" s="98"/>
      <c r="J428" s="97"/>
      <c r="K428" s="98"/>
      <c r="L428" s="100"/>
      <c r="M428" s="98"/>
      <c r="N428" s="96"/>
      <c r="O428" s="97"/>
      <c r="P428" s="70"/>
      <c r="Q428" s="97"/>
      <c r="R428" s="97"/>
      <c r="S428" s="98"/>
      <c r="T428" s="97"/>
      <c r="U428" s="98"/>
      <c r="V428" s="100"/>
      <c r="W428" s="98"/>
      <c r="X428" s="96"/>
      <c r="Y428" s="98"/>
      <c r="Z428" s="96"/>
      <c r="AA428" s="97"/>
      <c r="AB428" s="96"/>
      <c r="AC428" s="98"/>
      <c r="AD428" s="98"/>
      <c r="AE428" s="98"/>
    </row>
    <row r="429" spans="2:31" x14ac:dyDescent="0.3">
      <c r="B429" s="96"/>
      <c r="C429" s="96"/>
      <c r="D429" s="96"/>
      <c r="E429" s="97"/>
      <c r="F429" s="96"/>
      <c r="G429" s="98"/>
      <c r="H429" s="96"/>
      <c r="I429" s="98"/>
      <c r="J429" s="97"/>
      <c r="K429" s="98"/>
      <c r="L429" s="100"/>
      <c r="M429" s="98"/>
      <c r="N429" s="96"/>
      <c r="O429" s="97"/>
      <c r="P429" s="70"/>
      <c r="Q429" s="97"/>
      <c r="R429" s="97"/>
      <c r="S429" s="98"/>
      <c r="T429" s="97"/>
      <c r="U429" s="98"/>
      <c r="V429" s="100"/>
      <c r="W429" s="98"/>
      <c r="X429" s="96"/>
      <c r="Y429" s="98"/>
      <c r="Z429" s="96"/>
      <c r="AA429" s="97"/>
      <c r="AB429" s="96"/>
      <c r="AC429" s="98"/>
      <c r="AD429" s="98"/>
      <c r="AE429" s="98"/>
    </row>
    <row r="430" spans="2:31" x14ac:dyDescent="0.3">
      <c r="B430" s="96"/>
      <c r="C430" s="96"/>
      <c r="D430" s="96"/>
      <c r="E430" s="97"/>
      <c r="F430" s="96"/>
      <c r="G430" s="98"/>
      <c r="H430" s="96"/>
      <c r="I430" s="98"/>
      <c r="J430" s="97"/>
      <c r="K430" s="98"/>
      <c r="L430" s="100"/>
      <c r="M430" s="98"/>
      <c r="N430" s="96"/>
      <c r="O430" s="97"/>
      <c r="P430" s="70"/>
      <c r="Q430" s="97"/>
      <c r="R430" s="97"/>
      <c r="S430" s="98"/>
      <c r="T430" s="97"/>
      <c r="U430" s="98"/>
      <c r="V430" s="100"/>
      <c r="W430" s="98"/>
      <c r="X430" s="96"/>
      <c r="Y430" s="98"/>
      <c r="Z430" s="96"/>
      <c r="AA430" s="97"/>
      <c r="AB430" s="96"/>
      <c r="AC430" s="98"/>
      <c r="AD430" s="98"/>
      <c r="AE430" s="98"/>
    </row>
    <row r="431" spans="2:31" x14ac:dyDescent="0.3">
      <c r="B431" s="96"/>
      <c r="C431" s="96"/>
      <c r="D431" s="96"/>
      <c r="E431" s="97"/>
      <c r="F431" s="96"/>
      <c r="G431" s="98"/>
      <c r="H431" s="96"/>
      <c r="I431" s="98"/>
      <c r="J431" s="97"/>
      <c r="K431" s="98"/>
      <c r="L431" s="100"/>
      <c r="M431" s="98"/>
      <c r="N431" s="96"/>
      <c r="O431" s="97"/>
      <c r="P431" s="70"/>
      <c r="Q431" s="97"/>
      <c r="R431" s="97"/>
      <c r="S431" s="98"/>
      <c r="T431" s="97"/>
      <c r="U431" s="98"/>
      <c r="V431" s="100"/>
      <c r="W431" s="98"/>
      <c r="X431" s="96"/>
      <c r="Y431" s="98"/>
      <c r="Z431" s="96"/>
      <c r="AA431" s="97"/>
      <c r="AB431" s="96"/>
      <c r="AC431" s="98"/>
      <c r="AD431" s="98"/>
      <c r="AE431" s="98"/>
    </row>
    <row r="432" spans="2:31" x14ac:dyDescent="0.3">
      <c r="B432" s="96"/>
      <c r="C432" s="96"/>
      <c r="D432" s="96"/>
      <c r="E432" s="97"/>
      <c r="F432" s="96"/>
      <c r="G432" s="98"/>
      <c r="H432" s="96"/>
      <c r="I432" s="98"/>
      <c r="J432" s="97"/>
      <c r="K432" s="98"/>
      <c r="L432" s="100"/>
      <c r="M432" s="98"/>
      <c r="N432" s="96"/>
      <c r="O432" s="97"/>
      <c r="P432" s="70"/>
      <c r="Q432" s="97"/>
      <c r="R432" s="97"/>
      <c r="S432" s="98"/>
      <c r="T432" s="97"/>
      <c r="U432" s="98"/>
      <c r="V432" s="100"/>
      <c r="W432" s="98"/>
      <c r="X432" s="96"/>
      <c r="Y432" s="98"/>
      <c r="Z432" s="96"/>
      <c r="AA432" s="97"/>
      <c r="AB432" s="96"/>
      <c r="AC432" s="98"/>
      <c r="AD432" s="98"/>
      <c r="AE432" s="98"/>
    </row>
    <row r="433" spans="2:31" x14ac:dyDescent="0.3">
      <c r="B433" s="96"/>
      <c r="C433" s="96"/>
      <c r="D433" s="96"/>
      <c r="E433" s="97"/>
      <c r="F433" s="96"/>
      <c r="G433" s="98"/>
      <c r="H433" s="96"/>
      <c r="I433" s="98"/>
      <c r="J433" s="97"/>
      <c r="K433" s="98"/>
      <c r="L433" s="100"/>
      <c r="M433" s="98"/>
      <c r="N433" s="96"/>
      <c r="O433" s="97"/>
      <c r="P433" s="70"/>
      <c r="Q433" s="97"/>
      <c r="R433" s="97"/>
      <c r="S433" s="98"/>
      <c r="T433" s="97"/>
      <c r="U433" s="98"/>
      <c r="V433" s="100"/>
      <c r="W433" s="98"/>
      <c r="X433" s="96"/>
      <c r="Y433" s="98"/>
      <c r="Z433" s="96"/>
      <c r="AA433" s="97"/>
      <c r="AB433" s="96"/>
      <c r="AC433" s="98"/>
      <c r="AD433" s="98"/>
      <c r="AE433" s="98"/>
    </row>
    <row r="434" spans="2:31" x14ac:dyDescent="0.3">
      <c r="B434" s="96"/>
      <c r="C434" s="96"/>
      <c r="D434" s="96"/>
      <c r="E434" s="97"/>
      <c r="F434" s="96"/>
      <c r="G434" s="98"/>
      <c r="H434" s="96"/>
      <c r="I434" s="98"/>
      <c r="J434" s="97"/>
      <c r="K434" s="98"/>
      <c r="L434" s="100"/>
      <c r="M434" s="98"/>
      <c r="N434" s="96"/>
      <c r="O434" s="97"/>
      <c r="P434" s="70"/>
      <c r="Q434" s="97"/>
      <c r="R434" s="97"/>
      <c r="S434" s="98"/>
      <c r="T434" s="97"/>
      <c r="U434" s="98"/>
      <c r="V434" s="100"/>
      <c r="W434" s="98"/>
      <c r="X434" s="96"/>
      <c r="Y434" s="98"/>
      <c r="Z434" s="96"/>
      <c r="AA434" s="97"/>
      <c r="AB434" s="96"/>
      <c r="AC434" s="98"/>
      <c r="AD434" s="98"/>
      <c r="AE434" s="98"/>
    </row>
    <row r="435" spans="2:31" x14ac:dyDescent="0.3">
      <c r="B435" s="96"/>
      <c r="C435" s="96"/>
      <c r="D435" s="96"/>
      <c r="E435" s="97"/>
      <c r="F435" s="96"/>
      <c r="G435" s="98"/>
      <c r="H435" s="96"/>
      <c r="I435" s="98"/>
      <c r="J435" s="97"/>
      <c r="K435" s="98"/>
      <c r="L435" s="100"/>
      <c r="M435" s="98"/>
      <c r="N435" s="96"/>
      <c r="O435" s="97"/>
      <c r="P435" s="70"/>
      <c r="Q435" s="97"/>
      <c r="R435" s="97"/>
      <c r="S435" s="98"/>
      <c r="T435" s="97"/>
      <c r="U435" s="98"/>
      <c r="V435" s="100"/>
      <c r="W435" s="98"/>
      <c r="X435" s="96"/>
      <c r="Y435" s="98"/>
      <c r="Z435" s="96"/>
      <c r="AA435" s="97"/>
      <c r="AB435" s="96"/>
      <c r="AC435" s="98"/>
      <c r="AD435" s="98"/>
      <c r="AE435" s="98"/>
    </row>
    <row r="436" spans="2:31" x14ac:dyDescent="0.3">
      <c r="B436" s="96"/>
      <c r="C436" s="96"/>
      <c r="D436" s="96"/>
      <c r="E436" s="97"/>
      <c r="F436" s="96"/>
      <c r="G436" s="98"/>
      <c r="H436" s="96"/>
      <c r="I436" s="98"/>
      <c r="J436" s="97"/>
      <c r="K436" s="98"/>
      <c r="L436" s="100"/>
      <c r="M436" s="98"/>
      <c r="N436" s="96"/>
      <c r="O436" s="97"/>
      <c r="P436" s="70"/>
      <c r="Q436" s="97"/>
      <c r="R436" s="97"/>
      <c r="S436" s="98"/>
      <c r="T436" s="97"/>
      <c r="U436" s="98"/>
      <c r="V436" s="100"/>
      <c r="W436" s="98"/>
      <c r="X436" s="96"/>
      <c r="Y436" s="98"/>
      <c r="Z436" s="96"/>
      <c r="AA436" s="97"/>
      <c r="AB436" s="96"/>
      <c r="AC436" s="98"/>
      <c r="AD436" s="98"/>
      <c r="AE436" s="98"/>
    </row>
    <row r="437" spans="2:31" x14ac:dyDescent="0.3">
      <c r="B437" s="96"/>
      <c r="C437" s="96"/>
      <c r="D437" s="96"/>
      <c r="E437" s="97"/>
      <c r="F437" s="96"/>
      <c r="G437" s="98"/>
      <c r="H437" s="96"/>
      <c r="I437" s="98"/>
      <c r="J437" s="97"/>
      <c r="K437" s="98"/>
      <c r="L437" s="100"/>
      <c r="M437" s="98"/>
      <c r="N437" s="96"/>
      <c r="O437" s="97"/>
      <c r="P437" s="70"/>
      <c r="Q437" s="97"/>
      <c r="R437" s="97"/>
      <c r="S437" s="98"/>
      <c r="T437" s="97"/>
      <c r="U437" s="98"/>
      <c r="V437" s="100"/>
      <c r="W437" s="98"/>
      <c r="X437" s="96"/>
      <c r="Y437" s="98"/>
      <c r="Z437" s="96"/>
      <c r="AA437" s="97"/>
      <c r="AB437" s="96"/>
      <c r="AC437" s="98"/>
      <c r="AD437" s="98"/>
      <c r="AE437" s="98"/>
    </row>
    <row r="438" spans="2:31" x14ac:dyDescent="0.3">
      <c r="B438" s="96"/>
      <c r="C438" s="96"/>
      <c r="D438" s="96"/>
      <c r="E438" s="97"/>
      <c r="F438" s="96"/>
      <c r="G438" s="98"/>
      <c r="H438" s="96"/>
      <c r="I438" s="98"/>
      <c r="J438" s="97"/>
      <c r="K438" s="98"/>
      <c r="L438" s="100"/>
      <c r="M438" s="98"/>
      <c r="N438" s="96"/>
      <c r="O438" s="97"/>
      <c r="P438" s="70"/>
      <c r="Q438" s="97"/>
      <c r="R438" s="97"/>
      <c r="S438" s="98"/>
      <c r="T438" s="97"/>
      <c r="U438" s="98"/>
      <c r="V438" s="100"/>
      <c r="W438" s="98"/>
      <c r="X438" s="96"/>
      <c r="Y438" s="98"/>
      <c r="Z438" s="96"/>
      <c r="AA438" s="97"/>
      <c r="AB438" s="96"/>
      <c r="AC438" s="98"/>
      <c r="AD438" s="98"/>
      <c r="AE438" s="98"/>
    </row>
    <row r="439" spans="2:31" x14ac:dyDescent="0.3">
      <c r="B439" s="96"/>
      <c r="C439" s="96"/>
      <c r="D439" s="96"/>
      <c r="E439" s="97"/>
      <c r="F439" s="96"/>
      <c r="G439" s="98"/>
      <c r="H439" s="96"/>
      <c r="I439" s="98"/>
      <c r="J439" s="97"/>
      <c r="K439" s="98"/>
      <c r="L439" s="100"/>
      <c r="M439" s="98"/>
      <c r="N439" s="96"/>
      <c r="O439" s="97"/>
      <c r="P439" s="70"/>
      <c r="Q439" s="97"/>
      <c r="R439" s="97"/>
      <c r="S439" s="98"/>
      <c r="T439" s="97"/>
      <c r="U439" s="98"/>
      <c r="V439" s="100"/>
      <c r="W439" s="98"/>
      <c r="X439" s="96"/>
      <c r="Y439" s="98"/>
      <c r="Z439" s="96"/>
      <c r="AA439" s="97"/>
      <c r="AB439" s="96"/>
      <c r="AC439" s="98"/>
      <c r="AD439" s="98"/>
      <c r="AE439" s="98"/>
    </row>
    <row r="440" spans="2:31" x14ac:dyDescent="0.3">
      <c r="B440" s="96"/>
      <c r="C440" s="96"/>
      <c r="D440" s="96"/>
      <c r="E440" s="97"/>
      <c r="F440" s="96"/>
      <c r="G440" s="98"/>
      <c r="H440" s="96"/>
      <c r="I440" s="98"/>
      <c r="J440" s="97"/>
      <c r="K440" s="98"/>
      <c r="L440" s="100"/>
      <c r="M440" s="98"/>
      <c r="N440" s="96"/>
      <c r="O440" s="97"/>
      <c r="P440" s="70"/>
      <c r="Q440" s="97"/>
      <c r="R440" s="97"/>
      <c r="S440" s="98"/>
      <c r="T440" s="97"/>
      <c r="U440" s="98"/>
      <c r="V440" s="100"/>
      <c r="W440" s="98"/>
      <c r="X440" s="96"/>
      <c r="Y440" s="98"/>
      <c r="Z440" s="96"/>
      <c r="AA440" s="97"/>
      <c r="AB440" s="96"/>
      <c r="AC440" s="98"/>
      <c r="AD440" s="98"/>
      <c r="AE440" s="98"/>
    </row>
    <row r="441" spans="2:31" x14ac:dyDescent="0.3">
      <c r="B441" s="96"/>
      <c r="C441" s="96"/>
      <c r="D441" s="96"/>
      <c r="E441" s="97"/>
      <c r="F441" s="96"/>
      <c r="G441" s="98"/>
      <c r="H441" s="96"/>
      <c r="I441" s="98"/>
      <c r="J441" s="97"/>
      <c r="K441" s="98"/>
      <c r="L441" s="100"/>
      <c r="M441" s="98"/>
      <c r="N441" s="96"/>
      <c r="O441" s="97"/>
      <c r="P441" s="70"/>
      <c r="Q441" s="97"/>
      <c r="R441" s="97"/>
      <c r="S441" s="98"/>
      <c r="T441" s="97"/>
      <c r="U441" s="98"/>
      <c r="V441" s="100"/>
      <c r="W441" s="98"/>
      <c r="X441" s="96"/>
      <c r="Y441" s="98"/>
      <c r="Z441" s="96"/>
      <c r="AA441" s="97"/>
      <c r="AB441" s="96"/>
      <c r="AC441" s="98"/>
      <c r="AD441" s="98"/>
      <c r="AE441" s="98"/>
    </row>
    <row r="442" spans="2:31" x14ac:dyDescent="0.3">
      <c r="B442" s="96"/>
      <c r="C442" s="96"/>
      <c r="D442" s="96"/>
      <c r="E442" s="97"/>
      <c r="F442" s="96"/>
      <c r="G442" s="98"/>
      <c r="H442" s="96"/>
      <c r="I442" s="98"/>
      <c r="J442" s="97"/>
      <c r="K442" s="98"/>
      <c r="L442" s="100"/>
      <c r="M442" s="98"/>
      <c r="N442" s="96"/>
      <c r="O442" s="97"/>
      <c r="P442" s="70"/>
      <c r="Q442" s="97"/>
      <c r="R442" s="97"/>
      <c r="S442" s="98"/>
      <c r="T442" s="97"/>
      <c r="U442" s="98"/>
      <c r="V442" s="100"/>
      <c r="W442" s="98"/>
      <c r="X442" s="96"/>
      <c r="Y442" s="98"/>
      <c r="Z442" s="96"/>
      <c r="AA442" s="97"/>
      <c r="AB442" s="96"/>
      <c r="AC442" s="98"/>
      <c r="AD442" s="98"/>
      <c r="AE442" s="98"/>
    </row>
    <row r="443" spans="2:31" x14ac:dyDescent="0.3">
      <c r="B443" s="96"/>
      <c r="C443" s="96"/>
      <c r="D443" s="96"/>
      <c r="E443" s="97"/>
      <c r="F443" s="96"/>
      <c r="G443" s="98"/>
      <c r="H443" s="96"/>
      <c r="I443" s="98"/>
      <c r="J443" s="97"/>
      <c r="K443" s="98"/>
      <c r="L443" s="100"/>
      <c r="M443" s="98"/>
      <c r="N443" s="96"/>
      <c r="O443" s="97"/>
      <c r="P443" s="70"/>
      <c r="Q443" s="97"/>
      <c r="R443" s="97"/>
      <c r="S443" s="98"/>
      <c r="T443" s="97"/>
      <c r="U443" s="98"/>
      <c r="V443" s="100"/>
      <c r="W443" s="98"/>
      <c r="X443" s="96"/>
      <c r="Y443" s="98"/>
      <c r="Z443" s="96"/>
      <c r="AA443" s="97"/>
      <c r="AB443" s="96"/>
      <c r="AC443" s="98"/>
      <c r="AD443" s="98"/>
      <c r="AE443" s="98"/>
    </row>
    <row r="444" spans="2:31" x14ac:dyDescent="0.3">
      <c r="B444" s="96"/>
      <c r="C444" s="96"/>
      <c r="D444" s="96"/>
      <c r="E444" s="97"/>
      <c r="F444" s="96"/>
      <c r="G444" s="98"/>
      <c r="H444" s="96"/>
      <c r="I444" s="98"/>
      <c r="J444" s="97"/>
      <c r="K444" s="98"/>
      <c r="L444" s="100"/>
      <c r="M444" s="98"/>
      <c r="N444" s="96"/>
      <c r="O444" s="97"/>
      <c r="P444" s="70"/>
      <c r="Q444" s="97"/>
      <c r="R444" s="97"/>
      <c r="S444" s="98"/>
      <c r="T444" s="97"/>
      <c r="U444" s="98"/>
      <c r="V444" s="100"/>
      <c r="W444" s="98"/>
      <c r="X444" s="96"/>
      <c r="Y444" s="98"/>
      <c r="Z444" s="96"/>
      <c r="AA444" s="97"/>
      <c r="AB444" s="96"/>
      <c r="AC444" s="98"/>
      <c r="AD444" s="98"/>
      <c r="AE444" s="98"/>
    </row>
    <row r="445" spans="2:31" x14ac:dyDescent="0.3">
      <c r="B445" s="96"/>
      <c r="C445" s="96"/>
      <c r="D445" s="96"/>
      <c r="E445" s="97"/>
      <c r="F445" s="96"/>
      <c r="G445" s="98"/>
      <c r="H445" s="96"/>
      <c r="I445" s="98"/>
      <c r="J445" s="97"/>
      <c r="K445" s="98"/>
      <c r="L445" s="100"/>
      <c r="M445" s="98"/>
      <c r="N445" s="96"/>
      <c r="O445" s="97"/>
      <c r="P445" s="70"/>
      <c r="Q445" s="97"/>
      <c r="R445" s="97"/>
      <c r="S445" s="98"/>
      <c r="T445" s="97"/>
      <c r="U445" s="98"/>
      <c r="V445" s="100"/>
      <c r="W445" s="98"/>
      <c r="X445" s="96"/>
      <c r="Y445" s="98"/>
      <c r="Z445" s="96"/>
      <c r="AA445" s="97"/>
      <c r="AB445" s="96"/>
      <c r="AC445" s="98"/>
      <c r="AD445" s="98"/>
      <c r="AE445" s="98"/>
    </row>
    <row r="446" spans="2:31" x14ac:dyDescent="0.3">
      <c r="B446" s="96"/>
      <c r="C446" s="96"/>
      <c r="D446" s="96"/>
      <c r="E446" s="97"/>
      <c r="F446" s="96"/>
      <c r="G446" s="98"/>
      <c r="H446" s="96"/>
      <c r="I446" s="98"/>
      <c r="J446" s="97"/>
      <c r="K446" s="98"/>
      <c r="L446" s="100"/>
      <c r="M446" s="98"/>
      <c r="N446" s="96"/>
      <c r="O446" s="97"/>
      <c r="P446" s="70"/>
      <c r="Q446" s="97"/>
      <c r="R446" s="97"/>
      <c r="S446" s="98"/>
      <c r="T446" s="97"/>
      <c r="U446" s="98"/>
      <c r="V446" s="100"/>
      <c r="W446" s="98"/>
      <c r="X446" s="96"/>
      <c r="Y446" s="98"/>
      <c r="Z446" s="96"/>
      <c r="AA446" s="97"/>
      <c r="AB446" s="96"/>
      <c r="AC446" s="98"/>
      <c r="AD446" s="98"/>
      <c r="AE446" s="98"/>
    </row>
    <row r="447" spans="2:31" x14ac:dyDescent="0.3">
      <c r="B447" s="96"/>
      <c r="C447" s="96"/>
      <c r="D447" s="96"/>
      <c r="E447" s="97"/>
      <c r="F447" s="96"/>
      <c r="G447" s="98"/>
      <c r="H447" s="96"/>
      <c r="I447" s="98"/>
      <c r="J447" s="97"/>
      <c r="K447" s="98"/>
      <c r="L447" s="100"/>
      <c r="M447" s="98"/>
      <c r="N447" s="96"/>
      <c r="O447" s="97"/>
      <c r="P447" s="70"/>
      <c r="Q447" s="97"/>
      <c r="R447" s="97"/>
      <c r="S447" s="98"/>
      <c r="T447" s="97"/>
      <c r="U447" s="98"/>
      <c r="V447" s="100"/>
      <c r="W447" s="98"/>
      <c r="X447" s="96"/>
      <c r="Y447" s="98"/>
      <c r="Z447" s="96"/>
      <c r="AA447" s="97"/>
      <c r="AB447" s="96"/>
      <c r="AC447" s="98"/>
      <c r="AD447" s="98"/>
      <c r="AE447" s="98"/>
    </row>
    <row r="448" spans="2:31" x14ac:dyDescent="0.3">
      <c r="B448" s="96"/>
      <c r="C448" s="96"/>
      <c r="D448" s="96"/>
      <c r="E448" s="97"/>
      <c r="F448" s="96"/>
      <c r="G448" s="98"/>
      <c r="H448" s="96"/>
      <c r="I448" s="98"/>
      <c r="J448" s="97"/>
      <c r="K448" s="98"/>
      <c r="L448" s="100"/>
      <c r="M448" s="98"/>
      <c r="N448" s="96"/>
      <c r="O448" s="97"/>
      <c r="P448" s="70"/>
      <c r="Q448" s="97"/>
      <c r="R448" s="97"/>
      <c r="S448" s="98"/>
      <c r="T448" s="97"/>
      <c r="U448" s="98"/>
      <c r="V448" s="100"/>
      <c r="W448" s="98"/>
      <c r="X448" s="96"/>
      <c r="Y448" s="98"/>
      <c r="Z448" s="96"/>
      <c r="AA448" s="97"/>
      <c r="AB448" s="96"/>
      <c r="AC448" s="98"/>
      <c r="AD448" s="98"/>
      <c r="AE448" s="98"/>
    </row>
    <row r="449" spans="2:31" x14ac:dyDescent="0.3">
      <c r="B449" s="96"/>
      <c r="C449" s="96"/>
      <c r="D449" s="96"/>
      <c r="E449" s="97"/>
      <c r="F449" s="96"/>
      <c r="G449" s="98"/>
      <c r="H449" s="96"/>
      <c r="I449" s="98"/>
      <c r="J449" s="97"/>
      <c r="K449" s="98"/>
      <c r="L449" s="100"/>
      <c r="M449" s="98"/>
      <c r="N449" s="96"/>
      <c r="O449" s="97"/>
      <c r="P449" s="70"/>
      <c r="Q449" s="97"/>
      <c r="R449" s="97"/>
      <c r="S449" s="98"/>
      <c r="T449" s="97"/>
      <c r="U449" s="98"/>
      <c r="V449" s="100"/>
      <c r="W449" s="98"/>
      <c r="X449" s="96"/>
      <c r="Y449" s="98"/>
      <c r="Z449" s="96"/>
      <c r="AA449" s="97"/>
      <c r="AB449" s="96"/>
      <c r="AC449" s="98"/>
      <c r="AD449" s="98"/>
      <c r="AE449" s="98"/>
    </row>
    <row r="450" spans="2:31" x14ac:dyDescent="0.3">
      <c r="B450" s="96"/>
      <c r="C450" s="96"/>
      <c r="D450" s="96"/>
      <c r="E450" s="97"/>
      <c r="F450" s="96"/>
      <c r="G450" s="98"/>
      <c r="H450" s="96"/>
      <c r="I450" s="98"/>
      <c r="J450" s="97"/>
      <c r="K450" s="98"/>
      <c r="L450" s="100"/>
      <c r="M450" s="98"/>
      <c r="N450" s="96"/>
      <c r="O450" s="97"/>
      <c r="P450" s="70"/>
      <c r="Q450" s="97"/>
      <c r="R450" s="97"/>
      <c r="S450" s="98"/>
      <c r="T450" s="97"/>
      <c r="U450" s="98"/>
      <c r="V450" s="100"/>
      <c r="W450" s="98"/>
      <c r="X450" s="96"/>
      <c r="Y450" s="98"/>
      <c r="Z450" s="96"/>
      <c r="AA450" s="97"/>
      <c r="AB450" s="96"/>
      <c r="AC450" s="98"/>
      <c r="AD450" s="98"/>
      <c r="AE450" s="98"/>
    </row>
    <row r="451" spans="2:31" x14ac:dyDescent="0.3">
      <c r="B451" s="96"/>
      <c r="C451" s="96"/>
      <c r="D451" s="96"/>
      <c r="E451" s="97"/>
      <c r="F451" s="96"/>
      <c r="G451" s="98"/>
      <c r="H451" s="96"/>
      <c r="I451" s="98"/>
      <c r="J451" s="97"/>
      <c r="K451" s="98"/>
      <c r="L451" s="100"/>
      <c r="M451" s="98"/>
      <c r="N451" s="96"/>
      <c r="O451" s="97"/>
      <c r="P451" s="70"/>
      <c r="Q451" s="97"/>
      <c r="R451" s="97"/>
      <c r="S451" s="98"/>
      <c r="T451" s="97"/>
      <c r="U451" s="98"/>
      <c r="V451" s="100"/>
      <c r="W451" s="98"/>
      <c r="X451" s="96"/>
      <c r="Y451" s="98"/>
      <c r="Z451" s="96"/>
      <c r="AA451" s="97"/>
      <c r="AB451" s="96"/>
      <c r="AC451" s="98"/>
      <c r="AD451" s="98"/>
      <c r="AE451" s="98"/>
    </row>
    <row r="452" spans="2:31" x14ac:dyDescent="0.3">
      <c r="B452" s="96"/>
      <c r="C452" s="96"/>
      <c r="D452" s="96"/>
      <c r="E452" s="97"/>
      <c r="F452" s="96"/>
      <c r="G452" s="98"/>
      <c r="H452" s="96"/>
      <c r="I452" s="98"/>
      <c r="J452" s="97"/>
      <c r="K452" s="98"/>
      <c r="L452" s="100"/>
      <c r="M452" s="98"/>
      <c r="N452" s="96"/>
      <c r="O452" s="97"/>
      <c r="P452" s="70"/>
      <c r="Q452" s="97"/>
      <c r="R452" s="97"/>
      <c r="S452" s="98"/>
      <c r="T452" s="97"/>
      <c r="U452" s="98"/>
      <c r="V452" s="100"/>
      <c r="W452" s="98"/>
      <c r="X452" s="96"/>
      <c r="Y452" s="98"/>
      <c r="Z452" s="96"/>
      <c r="AA452" s="97"/>
      <c r="AB452" s="96"/>
      <c r="AC452" s="98"/>
      <c r="AD452" s="98"/>
      <c r="AE452" s="98"/>
    </row>
    <row r="453" spans="2:31" x14ac:dyDescent="0.3">
      <c r="B453" s="96"/>
      <c r="C453" s="96"/>
      <c r="D453" s="96"/>
      <c r="E453" s="97"/>
      <c r="F453" s="96"/>
      <c r="G453" s="98"/>
      <c r="H453" s="96"/>
      <c r="I453" s="98"/>
      <c r="J453" s="97"/>
      <c r="K453" s="98"/>
      <c r="L453" s="100"/>
      <c r="M453" s="98"/>
      <c r="N453" s="96"/>
      <c r="O453" s="97"/>
      <c r="P453" s="70"/>
      <c r="Q453" s="97"/>
      <c r="R453" s="97"/>
      <c r="S453" s="98"/>
      <c r="T453" s="97"/>
      <c r="U453" s="98"/>
      <c r="V453" s="100"/>
      <c r="W453" s="98"/>
      <c r="X453" s="96"/>
      <c r="Y453" s="98"/>
      <c r="Z453" s="96"/>
      <c r="AA453" s="97"/>
      <c r="AB453" s="96"/>
      <c r="AC453" s="98"/>
      <c r="AD453" s="98"/>
      <c r="AE453" s="98"/>
    </row>
    <row r="454" spans="2:31" x14ac:dyDescent="0.3">
      <c r="B454" s="96"/>
      <c r="C454" s="96"/>
      <c r="D454" s="96"/>
      <c r="E454" s="97"/>
      <c r="F454" s="96"/>
      <c r="G454" s="98"/>
      <c r="H454" s="96"/>
      <c r="I454" s="98"/>
      <c r="J454" s="97"/>
      <c r="K454" s="98"/>
      <c r="L454" s="100"/>
      <c r="M454" s="98"/>
      <c r="N454" s="96"/>
      <c r="O454" s="97"/>
      <c r="P454" s="70"/>
      <c r="Q454" s="97"/>
      <c r="R454" s="97"/>
      <c r="S454" s="98"/>
      <c r="T454" s="97"/>
      <c r="U454" s="98"/>
      <c r="V454" s="100"/>
      <c r="W454" s="98"/>
      <c r="X454" s="96"/>
      <c r="Y454" s="98"/>
      <c r="Z454" s="96"/>
      <c r="AA454" s="97"/>
      <c r="AB454" s="96"/>
      <c r="AC454" s="98"/>
      <c r="AD454" s="98"/>
      <c r="AE454" s="98"/>
    </row>
    <row r="455" spans="2:31" x14ac:dyDescent="0.3">
      <c r="B455" s="96"/>
      <c r="C455" s="96"/>
      <c r="D455" s="96"/>
      <c r="E455" s="97"/>
      <c r="F455" s="96"/>
      <c r="G455" s="98"/>
      <c r="H455" s="96"/>
      <c r="I455" s="98"/>
      <c r="J455" s="97"/>
      <c r="K455" s="98"/>
      <c r="L455" s="100"/>
      <c r="M455" s="98"/>
      <c r="N455" s="96"/>
      <c r="O455" s="97"/>
      <c r="P455" s="70"/>
      <c r="Q455" s="97"/>
      <c r="R455" s="97"/>
      <c r="S455" s="98"/>
      <c r="T455" s="97"/>
      <c r="U455" s="98"/>
      <c r="V455" s="100"/>
      <c r="W455" s="98"/>
      <c r="X455" s="96"/>
      <c r="Y455" s="98"/>
      <c r="Z455" s="96"/>
      <c r="AA455" s="97"/>
      <c r="AB455" s="96"/>
      <c r="AC455" s="98"/>
      <c r="AD455" s="98"/>
      <c r="AE455" s="98"/>
    </row>
    <row r="456" spans="2:31" x14ac:dyDescent="0.3">
      <c r="B456" s="96"/>
      <c r="C456" s="96"/>
      <c r="D456" s="96"/>
      <c r="E456" s="97"/>
      <c r="F456" s="96"/>
      <c r="G456" s="98"/>
      <c r="H456" s="96"/>
      <c r="I456" s="98"/>
      <c r="J456" s="97"/>
      <c r="K456" s="98"/>
      <c r="L456" s="100"/>
      <c r="M456" s="98"/>
      <c r="N456" s="96"/>
      <c r="O456" s="97"/>
      <c r="P456" s="70"/>
      <c r="Q456" s="97"/>
      <c r="R456" s="97"/>
      <c r="S456" s="98"/>
      <c r="T456" s="97"/>
      <c r="U456" s="98"/>
      <c r="V456" s="100"/>
      <c r="W456" s="98"/>
      <c r="X456" s="96"/>
      <c r="Y456" s="98"/>
      <c r="Z456" s="96"/>
      <c r="AA456" s="97"/>
      <c r="AB456" s="96"/>
      <c r="AC456" s="98"/>
      <c r="AD456" s="98"/>
      <c r="AE456" s="98"/>
    </row>
    <row r="457" spans="2:31" x14ac:dyDescent="0.3">
      <c r="B457" s="96"/>
      <c r="C457" s="96"/>
      <c r="D457" s="96"/>
      <c r="E457" s="97"/>
      <c r="F457" s="96"/>
      <c r="G457" s="98"/>
      <c r="H457" s="96"/>
      <c r="I457" s="98"/>
      <c r="J457" s="97"/>
      <c r="K457" s="98"/>
      <c r="L457" s="100"/>
      <c r="M457" s="98"/>
      <c r="N457" s="96"/>
      <c r="O457" s="97"/>
      <c r="P457" s="70"/>
      <c r="Q457" s="97"/>
      <c r="R457" s="97"/>
      <c r="S457" s="98"/>
      <c r="T457" s="97"/>
      <c r="U457" s="98"/>
      <c r="V457" s="100"/>
      <c r="W457" s="98"/>
      <c r="X457" s="96"/>
      <c r="Y457" s="98"/>
      <c r="Z457" s="96"/>
      <c r="AA457" s="97"/>
      <c r="AB457" s="96"/>
      <c r="AC457" s="98"/>
      <c r="AD457" s="98"/>
      <c r="AE457" s="98"/>
    </row>
    <row r="458" spans="2:31" x14ac:dyDescent="0.3">
      <c r="B458" s="96"/>
      <c r="C458" s="96"/>
      <c r="D458" s="96"/>
      <c r="E458" s="97"/>
      <c r="F458" s="96"/>
      <c r="G458" s="98"/>
      <c r="H458" s="96"/>
      <c r="I458" s="98"/>
      <c r="J458" s="97"/>
      <c r="K458" s="98"/>
      <c r="L458" s="100"/>
      <c r="M458" s="98"/>
      <c r="N458" s="96"/>
      <c r="O458" s="97"/>
      <c r="P458" s="70"/>
      <c r="Q458" s="97"/>
      <c r="R458" s="97"/>
      <c r="S458" s="98"/>
      <c r="T458" s="97"/>
      <c r="U458" s="98"/>
      <c r="V458" s="100"/>
      <c r="W458" s="98"/>
      <c r="X458" s="96"/>
      <c r="Y458" s="98"/>
      <c r="Z458" s="96"/>
      <c r="AA458" s="97"/>
      <c r="AB458" s="96"/>
      <c r="AC458" s="98"/>
      <c r="AD458" s="98"/>
      <c r="AE458" s="98"/>
    </row>
    <row r="459" spans="2:31" x14ac:dyDescent="0.3">
      <c r="B459" s="96"/>
      <c r="C459" s="96"/>
      <c r="D459" s="96"/>
      <c r="E459" s="97"/>
      <c r="F459" s="96"/>
      <c r="G459" s="98"/>
      <c r="H459" s="96"/>
      <c r="I459" s="98"/>
      <c r="J459" s="97"/>
      <c r="K459" s="98"/>
      <c r="L459" s="100"/>
      <c r="M459" s="98"/>
      <c r="N459" s="96"/>
      <c r="O459" s="97"/>
      <c r="P459" s="70"/>
      <c r="Q459" s="97"/>
      <c r="R459" s="97"/>
      <c r="S459" s="98"/>
      <c r="T459" s="97"/>
      <c r="U459" s="98"/>
      <c r="V459" s="100"/>
      <c r="W459" s="98"/>
      <c r="X459" s="96"/>
      <c r="Y459" s="98"/>
      <c r="Z459" s="96"/>
      <c r="AA459" s="97"/>
      <c r="AB459" s="96"/>
      <c r="AC459" s="98"/>
      <c r="AD459" s="98"/>
      <c r="AE459" s="98"/>
    </row>
    <row r="460" spans="2:31" x14ac:dyDescent="0.3">
      <c r="B460" s="96"/>
      <c r="C460" s="96"/>
      <c r="D460" s="96"/>
      <c r="E460" s="97"/>
      <c r="F460" s="96"/>
      <c r="G460" s="98"/>
      <c r="H460" s="96"/>
      <c r="I460" s="98"/>
      <c r="J460" s="97"/>
      <c r="K460" s="98"/>
      <c r="L460" s="100"/>
      <c r="M460" s="98"/>
      <c r="N460" s="96"/>
      <c r="O460" s="97"/>
      <c r="P460" s="70"/>
      <c r="Q460" s="97"/>
      <c r="R460" s="97"/>
      <c r="S460" s="98"/>
      <c r="T460" s="97"/>
      <c r="U460" s="98"/>
      <c r="V460" s="100"/>
      <c r="W460" s="98"/>
      <c r="X460" s="96"/>
      <c r="Y460" s="98"/>
      <c r="Z460" s="96"/>
      <c r="AA460" s="97"/>
      <c r="AB460" s="96"/>
      <c r="AC460" s="98"/>
      <c r="AD460" s="98"/>
      <c r="AE460" s="98"/>
    </row>
    <row r="461" spans="2:31" x14ac:dyDescent="0.3">
      <c r="B461" s="96"/>
      <c r="C461" s="96"/>
      <c r="D461" s="96"/>
      <c r="E461" s="97"/>
      <c r="F461" s="96"/>
      <c r="G461" s="98"/>
      <c r="H461" s="96"/>
      <c r="I461" s="98"/>
      <c r="J461" s="97"/>
      <c r="K461" s="98"/>
      <c r="L461" s="100"/>
      <c r="M461" s="98"/>
      <c r="N461" s="96"/>
      <c r="O461" s="97"/>
      <c r="P461" s="70"/>
      <c r="Q461" s="97"/>
      <c r="R461" s="97"/>
      <c r="S461" s="98"/>
      <c r="T461" s="97"/>
      <c r="U461" s="98"/>
      <c r="V461" s="100"/>
      <c r="W461" s="98"/>
      <c r="X461" s="96"/>
      <c r="Y461" s="98"/>
      <c r="Z461" s="96"/>
      <c r="AA461" s="97"/>
      <c r="AB461" s="96"/>
      <c r="AC461" s="98"/>
      <c r="AD461" s="98"/>
      <c r="AE461" s="98"/>
    </row>
    <row r="462" spans="2:31" x14ac:dyDescent="0.3">
      <c r="B462" s="96"/>
      <c r="C462" s="96"/>
      <c r="D462" s="96"/>
      <c r="E462" s="97"/>
      <c r="F462" s="96"/>
      <c r="G462" s="98"/>
      <c r="H462" s="96"/>
      <c r="I462" s="98"/>
      <c r="J462" s="97"/>
      <c r="K462" s="98"/>
      <c r="L462" s="100"/>
      <c r="M462" s="98"/>
      <c r="N462" s="96"/>
      <c r="O462" s="97"/>
      <c r="P462" s="70"/>
      <c r="Q462" s="97"/>
      <c r="R462" s="97"/>
      <c r="S462" s="98"/>
      <c r="T462" s="97"/>
      <c r="U462" s="98"/>
      <c r="V462" s="100"/>
      <c r="W462" s="98"/>
      <c r="X462" s="96"/>
      <c r="Y462" s="98"/>
      <c r="Z462" s="96"/>
      <c r="AA462" s="97"/>
      <c r="AB462" s="96"/>
      <c r="AC462" s="98"/>
      <c r="AD462" s="98"/>
      <c r="AE462" s="98"/>
    </row>
    <row r="463" spans="2:31" x14ac:dyDescent="0.3">
      <c r="B463" s="96"/>
      <c r="C463" s="96"/>
      <c r="D463" s="96"/>
      <c r="E463" s="97"/>
      <c r="F463" s="96"/>
      <c r="G463" s="98"/>
      <c r="H463" s="96"/>
      <c r="I463" s="98"/>
      <c r="J463" s="97"/>
      <c r="K463" s="98"/>
      <c r="L463" s="100"/>
      <c r="M463" s="98"/>
      <c r="N463" s="96"/>
      <c r="O463" s="97"/>
      <c r="P463" s="70"/>
      <c r="Q463" s="97"/>
      <c r="R463" s="97"/>
      <c r="S463" s="98"/>
      <c r="T463" s="97"/>
      <c r="U463" s="98"/>
      <c r="V463" s="100"/>
      <c r="W463" s="98"/>
      <c r="X463" s="96"/>
      <c r="Y463" s="98"/>
      <c r="Z463" s="96"/>
      <c r="AA463" s="97"/>
      <c r="AB463" s="96"/>
      <c r="AC463" s="98"/>
      <c r="AD463" s="98"/>
      <c r="AE463" s="98"/>
    </row>
    <row r="464" spans="2:31" x14ac:dyDescent="0.3">
      <c r="B464" s="96"/>
      <c r="C464" s="96"/>
      <c r="D464" s="96"/>
      <c r="E464" s="97"/>
      <c r="F464" s="96"/>
      <c r="G464" s="98"/>
      <c r="H464" s="96"/>
      <c r="I464" s="98"/>
      <c r="J464" s="97"/>
      <c r="K464" s="98"/>
      <c r="L464" s="100"/>
      <c r="M464" s="98"/>
      <c r="N464" s="96"/>
      <c r="O464" s="97"/>
      <c r="P464" s="70"/>
      <c r="Q464" s="97"/>
      <c r="R464" s="97"/>
      <c r="S464" s="98"/>
      <c r="T464" s="97"/>
      <c r="U464" s="98"/>
      <c r="V464" s="100"/>
      <c r="W464" s="98"/>
      <c r="X464" s="96"/>
      <c r="Y464" s="98"/>
      <c r="Z464" s="96"/>
      <c r="AA464" s="97"/>
      <c r="AB464" s="96"/>
      <c r="AC464" s="98"/>
      <c r="AD464" s="98"/>
      <c r="AE464" s="98"/>
    </row>
    <row r="465" spans="2:31" x14ac:dyDescent="0.3">
      <c r="B465" s="96"/>
      <c r="C465" s="96"/>
      <c r="D465" s="96"/>
      <c r="E465" s="97"/>
      <c r="F465" s="96"/>
      <c r="G465" s="98"/>
      <c r="H465" s="96"/>
      <c r="I465" s="98"/>
      <c r="J465" s="97"/>
      <c r="K465" s="98"/>
      <c r="L465" s="100"/>
      <c r="M465" s="98"/>
      <c r="N465" s="96"/>
      <c r="O465" s="97"/>
      <c r="P465" s="70"/>
      <c r="Q465" s="97"/>
      <c r="R465" s="97"/>
      <c r="S465" s="98"/>
      <c r="T465" s="97"/>
      <c r="U465" s="98"/>
      <c r="V465" s="100"/>
      <c r="W465" s="98"/>
      <c r="X465" s="96"/>
      <c r="Y465" s="98"/>
      <c r="Z465" s="96"/>
      <c r="AA465" s="97"/>
      <c r="AB465" s="96"/>
      <c r="AC465" s="98"/>
      <c r="AD465" s="98"/>
      <c r="AE465" s="98"/>
    </row>
    <row r="466" spans="2:31" x14ac:dyDescent="0.3">
      <c r="B466" s="96"/>
      <c r="C466" s="96"/>
      <c r="D466" s="96"/>
      <c r="E466" s="97"/>
      <c r="F466" s="96"/>
      <c r="G466" s="98"/>
      <c r="H466" s="96"/>
      <c r="I466" s="98"/>
      <c r="J466" s="97"/>
      <c r="K466" s="98"/>
      <c r="L466" s="100"/>
      <c r="M466" s="98"/>
      <c r="N466" s="96"/>
      <c r="O466" s="97"/>
      <c r="P466" s="70"/>
      <c r="Q466" s="97"/>
      <c r="R466" s="97"/>
      <c r="S466" s="98"/>
      <c r="T466" s="97"/>
      <c r="U466" s="98"/>
      <c r="V466" s="100"/>
      <c r="W466" s="98"/>
      <c r="X466" s="96"/>
      <c r="Y466" s="98"/>
      <c r="Z466" s="96"/>
      <c r="AA466" s="97"/>
      <c r="AB466" s="96"/>
      <c r="AC466" s="98"/>
      <c r="AD466" s="98"/>
      <c r="AE466" s="98"/>
    </row>
    <row r="467" spans="2:31" x14ac:dyDescent="0.3">
      <c r="B467" s="96"/>
      <c r="C467" s="96"/>
      <c r="D467" s="96"/>
      <c r="E467" s="97"/>
      <c r="F467" s="96"/>
      <c r="G467" s="98"/>
      <c r="H467" s="96"/>
      <c r="I467" s="98"/>
      <c r="J467" s="97"/>
      <c r="K467" s="98"/>
      <c r="L467" s="100"/>
      <c r="M467" s="98"/>
      <c r="N467" s="96"/>
      <c r="O467" s="97"/>
      <c r="P467" s="70"/>
      <c r="Q467" s="97"/>
      <c r="R467" s="97"/>
      <c r="S467" s="98"/>
      <c r="T467" s="97"/>
      <c r="U467" s="98"/>
      <c r="V467" s="100"/>
      <c r="W467" s="98"/>
      <c r="X467" s="96"/>
      <c r="Y467" s="98"/>
      <c r="Z467" s="96"/>
      <c r="AA467" s="97"/>
      <c r="AB467" s="96"/>
      <c r="AC467" s="98"/>
      <c r="AD467" s="98"/>
      <c r="AE467" s="98"/>
    </row>
    <row r="468" spans="2:31" x14ac:dyDescent="0.3">
      <c r="B468" s="96"/>
      <c r="C468" s="96"/>
      <c r="D468" s="96"/>
      <c r="E468" s="97"/>
      <c r="F468" s="96"/>
      <c r="G468" s="98"/>
      <c r="H468" s="96"/>
      <c r="I468" s="98"/>
      <c r="J468" s="97"/>
      <c r="K468" s="98"/>
      <c r="L468" s="100"/>
      <c r="M468" s="98"/>
      <c r="N468" s="96"/>
      <c r="O468" s="97"/>
      <c r="P468" s="70"/>
      <c r="Q468" s="97"/>
      <c r="R468" s="97"/>
      <c r="S468" s="98"/>
      <c r="T468" s="97"/>
      <c r="U468" s="98"/>
      <c r="V468" s="100"/>
      <c r="W468" s="98"/>
      <c r="X468" s="96"/>
      <c r="Y468" s="98"/>
      <c r="Z468" s="96"/>
      <c r="AA468" s="97"/>
      <c r="AB468" s="96"/>
      <c r="AC468" s="98"/>
      <c r="AD468" s="98"/>
      <c r="AE468" s="98"/>
    </row>
    <row r="469" spans="2:31" x14ac:dyDescent="0.3">
      <c r="B469" s="96"/>
      <c r="C469" s="96"/>
      <c r="D469" s="96"/>
      <c r="E469" s="97"/>
      <c r="F469" s="96"/>
      <c r="G469" s="98"/>
      <c r="H469" s="96"/>
      <c r="I469" s="98"/>
      <c r="J469" s="97"/>
      <c r="K469" s="98"/>
      <c r="L469" s="100"/>
      <c r="M469" s="98"/>
      <c r="N469" s="96"/>
      <c r="O469" s="97"/>
      <c r="P469" s="70"/>
      <c r="Q469" s="97"/>
      <c r="R469" s="97"/>
      <c r="S469" s="98"/>
      <c r="T469" s="97"/>
      <c r="U469" s="98"/>
      <c r="V469" s="100"/>
      <c r="W469" s="98"/>
      <c r="X469" s="96"/>
      <c r="Y469" s="98"/>
      <c r="Z469" s="96"/>
      <c r="AA469" s="97"/>
      <c r="AB469" s="96"/>
      <c r="AC469" s="98"/>
      <c r="AD469" s="98"/>
      <c r="AE469" s="98"/>
    </row>
    <row r="470" spans="2:31" x14ac:dyDescent="0.3">
      <c r="B470" s="96"/>
      <c r="C470" s="96"/>
      <c r="D470" s="96"/>
      <c r="E470" s="97"/>
      <c r="F470" s="96"/>
      <c r="G470" s="98"/>
      <c r="H470" s="96"/>
      <c r="I470" s="98"/>
      <c r="J470" s="97"/>
      <c r="K470" s="98"/>
      <c r="L470" s="100"/>
      <c r="M470" s="98"/>
      <c r="N470" s="96"/>
      <c r="O470" s="97"/>
      <c r="P470" s="70"/>
      <c r="Q470" s="97"/>
      <c r="R470" s="97"/>
      <c r="S470" s="98"/>
      <c r="T470" s="97"/>
      <c r="U470" s="98"/>
      <c r="V470" s="100"/>
      <c r="W470" s="98"/>
      <c r="X470" s="96"/>
      <c r="Y470" s="98"/>
      <c r="Z470" s="96"/>
      <c r="AA470" s="97"/>
      <c r="AB470" s="96"/>
      <c r="AC470" s="98"/>
      <c r="AD470" s="98"/>
      <c r="AE470" s="98"/>
    </row>
    <row r="471" spans="2:31" x14ac:dyDescent="0.3">
      <c r="B471" s="96"/>
      <c r="C471" s="96"/>
      <c r="D471" s="96"/>
      <c r="E471" s="97"/>
      <c r="F471" s="96"/>
      <c r="G471" s="98"/>
      <c r="H471" s="96"/>
      <c r="I471" s="98"/>
      <c r="J471" s="97"/>
      <c r="K471" s="98"/>
      <c r="L471" s="100"/>
      <c r="M471" s="98"/>
      <c r="N471" s="96"/>
      <c r="O471" s="97"/>
      <c r="P471" s="70"/>
      <c r="Q471" s="97"/>
      <c r="R471" s="97"/>
      <c r="S471" s="98"/>
      <c r="T471" s="97"/>
      <c r="U471" s="98"/>
      <c r="V471" s="100"/>
      <c r="W471" s="98"/>
      <c r="X471" s="96"/>
      <c r="Y471" s="98"/>
      <c r="Z471" s="96"/>
      <c r="AA471" s="97"/>
      <c r="AB471" s="96"/>
      <c r="AC471" s="98"/>
      <c r="AD471" s="98"/>
      <c r="AE471" s="98"/>
    </row>
    <row r="472" spans="2:31" x14ac:dyDescent="0.3">
      <c r="B472" s="96"/>
      <c r="C472" s="96"/>
      <c r="D472" s="96"/>
      <c r="E472" s="97"/>
      <c r="F472" s="96"/>
      <c r="G472" s="98"/>
      <c r="H472" s="96"/>
      <c r="I472" s="98"/>
      <c r="J472" s="97"/>
      <c r="K472" s="98"/>
      <c r="L472" s="100"/>
      <c r="M472" s="98"/>
      <c r="N472" s="96"/>
      <c r="O472" s="97"/>
      <c r="P472" s="70"/>
      <c r="Q472" s="97"/>
      <c r="R472" s="97"/>
      <c r="S472" s="98"/>
      <c r="T472" s="97"/>
      <c r="U472" s="98"/>
      <c r="V472" s="100"/>
      <c r="W472" s="98"/>
      <c r="X472" s="96"/>
      <c r="Y472" s="98"/>
      <c r="Z472" s="96"/>
      <c r="AA472" s="97"/>
      <c r="AB472" s="96"/>
      <c r="AC472" s="98"/>
      <c r="AD472" s="98"/>
      <c r="AE472" s="98"/>
    </row>
    <row r="473" spans="2:31" x14ac:dyDescent="0.3">
      <c r="B473" s="96"/>
      <c r="C473" s="96"/>
      <c r="D473" s="96"/>
      <c r="E473" s="97"/>
      <c r="F473" s="96"/>
      <c r="G473" s="98"/>
      <c r="H473" s="96"/>
      <c r="I473" s="98"/>
      <c r="J473" s="97"/>
      <c r="K473" s="98"/>
      <c r="L473" s="100"/>
      <c r="M473" s="98"/>
      <c r="N473" s="96"/>
      <c r="O473" s="97"/>
      <c r="P473" s="70"/>
      <c r="Q473" s="97"/>
      <c r="R473" s="97"/>
      <c r="S473" s="98"/>
      <c r="T473" s="97"/>
      <c r="U473" s="98"/>
      <c r="V473" s="100"/>
      <c r="W473" s="98"/>
      <c r="X473" s="96"/>
      <c r="Y473" s="98"/>
      <c r="Z473" s="96"/>
      <c r="AA473" s="97"/>
      <c r="AB473" s="96"/>
      <c r="AC473" s="98"/>
      <c r="AD473" s="98"/>
      <c r="AE473" s="98"/>
    </row>
    <row r="474" spans="2:31" x14ac:dyDescent="0.3">
      <c r="B474" s="96"/>
      <c r="C474" s="96"/>
      <c r="D474" s="96"/>
      <c r="E474" s="97"/>
      <c r="F474" s="96"/>
      <c r="G474" s="98"/>
      <c r="H474" s="96"/>
      <c r="I474" s="98"/>
      <c r="J474" s="97"/>
      <c r="K474" s="98"/>
      <c r="L474" s="100"/>
      <c r="M474" s="98"/>
      <c r="N474" s="96"/>
      <c r="O474" s="97"/>
      <c r="P474" s="70"/>
      <c r="Q474" s="97"/>
      <c r="R474" s="97"/>
      <c r="S474" s="98"/>
      <c r="T474" s="97"/>
      <c r="U474" s="98"/>
      <c r="V474" s="100"/>
      <c r="W474" s="98"/>
      <c r="X474" s="96"/>
      <c r="Y474" s="98"/>
      <c r="Z474" s="96"/>
      <c r="AA474" s="97"/>
      <c r="AB474" s="96"/>
      <c r="AC474" s="98"/>
      <c r="AD474" s="98"/>
      <c r="AE474" s="98"/>
    </row>
    <row r="475" spans="2:31" x14ac:dyDescent="0.3">
      <c r="B475" s="96"/>
      <c r="C475" s="96"/>
      <c r="D475" s="96"/>
      <c r="E475" s="97"/>
      <c r="F475" s="96"/>
      <c r="G475" s="98"/>
      <c r="H475" s="96"/>
      <c r="I475" s="98"/>
      <c r="J475" s="97"/>
      <c r="K475" s="98"/>
      <c r="L475" s="100"/>
      <c r="M475" s="98"/>
      <c r="N475" s="96"/>
      <c r="O475" s="97"/>
      <c r="P475" s="70"/>
      <c r="Q475" s="97"/>
      <c r="R475" s="97"/>
      <c r="S475" s="98"/>
      <c r="T475" s="97"/>
      <c r="U475" s="98"/>
      <c r="V475" s="100"/>
      <c r="W475" s="98"/>
      <c r="X475" s="96"/>
      <c r="Y475" s="98"/>
      <c r="Z475" s="96"/>
      <c r="AA475" s="97"/>
      <c r="AB475" s="96"/>
      <c r="AC475" s="98"/>
      <c r="AD475" s="98"/>
      <c r="AE475" s="98"/>
    </row>
    <row r="476" spans="2:31" x14ac:dyDescent="0.3">
      <c r="B476" s="96"/>
      <c r="C476" s="96"/>
      <c r="D476" s="96"/>
      <c r="E476" s="97"/>
      <c r="F476" s="96"/>
      <c r="G476" s="98"/>
      <c r="H476" s="96"/>
      <c r="I476" s="98"/>
      <c r="J476" s="97"/>
      <c r="K476" s="98"/>
      <c r="L476" s="100"/>
      <c r="M476" s="98"/>
      <c r="N476" s="96"/>
      <c r="O476" s="97"/>
      <c r="P476" s="70"/>
      <c r="Q476" s="97"/>
      <c r="R476" s="97"/>
      <c r="S476" s="98"/>
      <c r="T476" s="97"/>
      <c r="U476" s="98"/>
      <c r="V476" s="100"/>
      <c r="W476" s="98"/>
      <c r="X476" s="96"/>
      <c r="Y476" s="98"/>
      <c r="Z476" s="96"/>
      <c r="AA476" s="97"/>
      <c r="AB476" s="96"/>
      <c r="AC476" s="98"/>
      <c r="AD476" s="98"/>
      <c r="AE476" s="98"/>
    </row>
    <row r="477" spans="2:31" x14ac:dyDescent="0.3">
      <c r="B477" s="96"/>
      <c r="C477" s="96"/>
      <c r="D477" s="96"/>
      <c r="E477" s="97"/>
      <c r="F477" s="96"/>
      <c r="G477" s="98"/>
      <c r="H477" s="96"/>
      <c r="I477" s="98"/>
      <c r="J477" s="97"/>
      <c r="K477" s="98"/>
      <c r="L477" s="100"/>
      <c r="M477" s="98"/>
      <c r="N477" s="96"/>
      <c r="O477" s="97"/>
      <c r="P477" s="70"/>
      <c r="Q477" s="97"/>
      <c r="R477" s="97"/>
      <c r="S477" s="98"/>
      <c r="T477" s="97"/>
      <c r="U477" s="98"/>
      <c r="V477" s="100"/>
      <c r="W477" s="98"/>
      <c r="X477" s="96"/>
      <c r="Y477" s="98"/>
      <c r="Z477" s="96"/>
      <c r="AA477" s="97"/>
      <c r="AB477" s="96"/>
      <c r="AC477" s="98"/>
      <c r="AD477" s="98"/>
      <c r="AE477" s="98"/>
    </row>
    <row r="478" spans="2:31" x14ac:dyDescent="0.3">
      <c r="B478" s="96"/>
      <c r="C478" s="96"/>
      <c r="D478" s="96"/>
      <c r="E478" s="97"/>
      <c r="F478" s="96"/>
      <c r="G478" s="98"/>
      <c r="H478" s="96"/>
      <c r="I478" s="98"/>
      <c r="J478" s="97"/>
      <c r="K478" s="98"/>
      <c r="L478" s="100"/>
      <c r="M478" s="98"/>
      <c r="N478" s="96"/>
      <c r="O478" s="97"/>
      <c r="P478" s="70"/>
      <c r="Q478" s="97"/>
      <c r="R478" s="97"/>
      <c r="S478" s="98"/>
      <c r="T478" s="97"/>
      <c r="U478" s="98"/>
      <c r="V478" s="100"/>
      <c r="W478" s="98"/>
      <c r="X478" s="96"/>
      <c r="Y478" s="98"/>
      <c r="Z478" s="96"/>
      <c r="AA478" s="97"/>
      <c r="AB478" s="96"/>
      <c r="AC478" s="98"/>
      <c r="AD478" s="98"/>
      <c r="AE478" s="98"/>
    </row>
    <row r="479" spans="2:31" x14ac:dyDescent="0.3">
      <c r="B479" s="96"/>
      <c r="C479" s="96"/>
      <c r="D479" s="96"/>
      <c r="E479" s="97"/>
      <c r="F479" s="96"/>
      <c r="G479" s="98"/>
      <c r="H479" s="96"/>
      <c r="I479" s="98"/>
      <c r="J479" s="97"/>
      <c r="K479" s="98"/>
      <c r="L479" s="100"/>
      <c r="M479" s="98"/>
      <c r="N479" s="96"/>
      <c r="O479" s="97"/>
      <c r="P479" s="70"/>
      <c r="Q479" s="97"/>
      <c r="R479" s="97"/>
      <c r="S479" s="98"/>
      <c r="T479" s="97"/>
      <c r="U479" s="98"/>
      <c r="V479" s="100"/>
      <c r="W479" s="98"/>
      <c r="X479" s="96"/>
      <c r="Y479" s="98"/>
      <c r="Z479" s="96"/>
      <c r="AA479" s="97"/>
      <c r="AB479" s="96"/>
      <c r="AC479" s="98"/>
      <c r="AD479" s="98"/>
      <c r="AE479" s="98"/>
    </row>
    <row r="480" spans="2:31" x14ac:dyDescent="0.3">
      <c r="B480" s="96"/>
      <c r="C480" s="96"/>
      <c r="D480" s="96"/>
      <c r="E480" s="97"/>
      <c r="F480" s="96"/>
      <c r="G480" s="98"/>
      <c r="H480" s="96"/>
      <c r="I480" s="98"/>
      <c r="J480" s="97"/>
      <c r="K480" s="98"/>
      <c r="L480" s="100"/>
      <c r="M480" s="98"/>
      <c r="N480" s="96"/>
      <c r="O480" s="97"/>
      <c r="P480" s="70"/>
      <c r="Q480" s="97"/>
      <c r="R480" s="97"/>
      <c r="S480" s="98"/>
      <c r="T480" s="97"/>
      <c r="U480" s="98"/>
      <c r="V480" s="100"/>
      <c r="W480" s="98"/>
      <c r="X480" s="96"/>
      <c r="Y480" s="98"/>
      <c r="Z480" s="96"/>
      <c r="AA480" s="97"/>
      <c r="AB480" s="96"/>
      <c r="AC480" s="98"/>
      <c r="AD480" s="98"/>
      <c r="AE480" s="98"/>
    </row>
    <row r="481" spans="2:31" x14ac:dyDescent="0.3">
      <c r="B481" s="96"/>
      <c r="C481" s="96"/>
      <c r="D481" s="96"/>
      <c r="E481" s="97"/>
      <c r="F481" s="96"/>
      <c r="G481" s="98"/>
      <c r="H481" s="96"/>
      <c r="I481" s="98"/>
      <c r="J481" s="97"/>
      <c r="K481" s="98"/>
      <c r="L481" s="100"/>
      <c r="M481" s="98"/>
      <c r="N481" s="96"/>
      <c r="O481" s="97"/>
      <c r="P481" s="70"/>
      <c r="Q481" s="97"/>
      <c r="R481" s="97"/>
      <c r="S481" s="98"/>
      <c r="T481" s="97"/>
      <c r="U481" s="98"/>
      <c r="V481" s="100"/>
      <c r="W481" s="98"/>
      <c r="X481" s="96"/>
      <c r="Y481" s="98"/>
      <c r="Z481" s="96"/>
      <c r="AA481" s="97"/>
      <c r="AB481" s="96"/>
      <c r="AC481" s="98"/>
      <c r="AD481" s="98"/>
      <c r="AE481" s="98"/>
    </row>
    <row r="482" spans="2:31" x14ac:dyDescent="0.3">
      <c r="B482" s="96"/>
      <c r="C482" s="96"/>
      <c r="D482" s="96"/>
      <c r="E482" s="97"/>
      <c r="F482" s="96"/>
      <c r="G482" s="98"/>
      <c r="H482" s="96"/>
      <c r="I482" s="98"/>
      <c r="J482" s="97"/>
      <c r="K482" s="98"/>
      <c r="L482" s="100"/>
      <c r="M482" s="98"/>
      <c r="N482" s="96"/>
      <c r="O482" s="97"/>
      <c r="P482" s="70"/>
      <c r="Q482" s="97"/>
      <c r="R482" s="97"/>
      <c r="S482" s="98"/>
      <c r="T482" s="97"/>
      <c r="U482" s="98"/>
      <c r="V482" s="100"/>
      <c r="W482" s="98"/>
      <c r="X482" s="96"/>
      <c r="Y482" s="98"/>
      <c r="Z482" s="96"/>
      <c r="AA482" s="97"/>
      <c r="AB482" s="96"/>
      <c r="AC482" s="98"/>
      <c r="AD482" s="98"/>
      <c r="AE482" s="98"/>
    </row>
    <row r="483" spans="2:31" x14ac:dyDescent="0.3">
      <c r="B483" s="96"/>
      <c r="C483" s="96"/>
      <c r="D483" s="96"/>
      <c r="E483" s="97"/>
      <c r="F483" s="96"/>
      <c r="G483" s="98"/>
      <c r="H483" s="96"/>
      <c r="I483" s="98"/>
      <c r="J483" s="97"/>
      <c r="K483" s="98"/>
      <c r="L483" s="100"/>
      <c r="M483" s="98"/>
      <c r="N483" s="96"/>
      <c r="O483" s="97"/>
      <c r="P483" s="70"/>
      <c r="Q483" s="97"/>
      <c r="R483" s="97"/>
      <c r="S483" s="98"/>
      <c r="T483" s="97"/>
      <c r="U483" s="98"/>
      <c r="V483" s="100"/>
      <c r="W483" s="98"/>
      <c r="X483" s="96"/>
      <c r="Y483" s="98"/>
      <c r="Z483" s="96"/>
      <c r="AA483" s="97"/>
      <c r="AB483" s="96"/>
      <c r="AC483" s="98"/>
      <c r="AD483" s="98"/>
      <c r="AE483" s="98"/>
    </row>
    <row r="484" spans="2:31" x14ac:dyDescent="0.3">
      <c r="B484" s="96"/>
      <c r="C484" s="96"/>
      <c r="D484" s="96"/>
      <c r="E484" s="97"/>
      <c r="F484" s="96"/>
      <c r="G484" s="98"/>
      <c r="H484" s="96"/>
      <c r="I484" s="98"/>
      <c r="J484" s="97"/>
      <c r="K484" s="98"/>
      <c r="L484" s="100"/>
      <c r="M484" s="98"/>
      <c r="N484" s="96"/>
      <c r="O484" s="97"/>
      <c r="P484" s="70"/>
      <c r="Q484" s="97"/>
      <c r="R484" s="97"/>
      <c r="S484" s="98"/>
      <c r="T484" s="97"/>
      <c r="U484" s="98"/>
      <c r="V484" s="100"/>
      <c r="W484" s="98"/>
      <c r="X484" s="96"/>
      <c r="Y484" s="98"/>
      <c r="Z484" s="96"/>
      <c r="AA484" s="97"/>
      <c r="AB484" s="96"/>
      <c r="AC484" s="98"/>
      <c r="AD484" s="98"/>
      <c r="AE484" s="98"/>
    </row>
    <row r="485" spans="2:31" x14ac:dyDescent="0.3">
      <c r="B485" s="96"/>
      <c r="C485" s="96"/>
      <c r="D485" s="96"/>
      <c r="E485" s="97"/>
      <c r="F485" s="96"/>
      <c r="G485" s="98"/>
      <c r="H485" s="96"/>
      <c r="I485" s="98"/>
      <c r="J485" s="97"/>
      <c r="K485" s="98"/>
      <c r="L485" s="100"/>
      <c r="M485" s="98"/>
      <c r="N485" s="96"/>
      <c r="O485" s="97"/>
      <c r="P485" s="70"/>
      <c r="Q485" s="97"/>
      <c r="R485" s="97"/>
      <c r="S485" s="98"/>
      <c r="T485" s="97"/>
      <c r="U485" s="98"/>
      <c r="V485" s="100"/>
      <c r="W485" s="98"/>
      <c r="X485" s="96"/>
      <c r="Y485" s="98"/>
      <c r="Z485" s="96"/>
      <c r="AA485" s="97"/>
      <c r="AB485" s="96"/>
      <c r="AC485" s="98"/>
      <c r="AD485" s="98"/>
      <c r="AE485" s="98"/>
    </row>
    <row r="486" spans="2:31" x14ac:dyDescent="0.3">
      <c r="B486" s="96"/>
      <c r="C486" s="96"/>
      <c r="D486" s="96"/>
      <c r="E486" s="97"/>
      <c r="F486" s="96"/>
      <c r="G486" s="98"/>
      <c r="H486" s="96"/>
      <c r="I486" s="98"/>
      <c r="J486" s="97"/>
      <c r="K486" s="98"/>
      <c r="L486" s="100"/>
      <c r="M486" s="98"/>
      <c r="N486" s="96"/>
      <c r="O486" s="97"/>
      <c r="P486" s="70"/>
      <c r="Q486" s="97"/>
      <c r="R486" s="97"/>
      <c r="S486" s="98"/>
      <c r="T486" s="97"/>
      <c r="U486" s="98"/>
      <c r="V486" s="100"/>
      <c r="W486" s="98"/>
      <c r="X486" s="96"/>
      <c r="Y486" s="98"/>
      <c r="Z486" s="96"/>
      <c r="AA486" s="97"/>
      <c r="AB486" s="96"/>
      <c r="AC486" s="98"/>
      <c r="AD486" s="98"/>
      <c r="AE486" s="98"/>
    </row>
    <row r="487" spans="2:31" x14ac:dyDescent="0.3">
      <c r="B487" s="96"/>
      <c r="C487" s="96"/>
      <c r="D487" s="96"/>
      <c r="E487" s="97"/>
      <c r="F487" s="96"/>
      <c r="G487" s="98"/>
      <c r="H487" s="96"/>
      <c r="I487" s="98"/>
      <c r="J487" s="97"/>
      <c r="K487" s="98"/>
      <c r="L487" s="100"/>
      <c r="M487" s="98"/>
      <c r="N487" s="96"/>
      <c r="O487" s="97"/>
      <c r="P487" s="70"/>
      <c r="Q487" s="97"/>
      <c r="R487" s="97"/>
      <c r="S487" s="98"/>
      <c r="T487" s="97"/>
      <c r="U487" s="98"/>
      <c r="V487" s="100"/>
      <c r="W487" s="98"/>
      <c r="X487" s="96"/>
      <c r="Y487" s="98"/>
      <c r="Z487" s="96"/>
      <c r="AA487" s="97"/>
      <c r="AB487" s="96"/>
      <c r="AC487" s="98"/>
      <c r="AD487" s="98"/>
      <c r="AE487" s="98"/>
    </row>
    <row r="488" spans="2:31" x14ac:dyDescent="0.3">
      <c r="B488" s="96"/>
      <c r="C488" s="96"/>
      <c r="D488" s="96"/>
      <c r="E488" s="97"/>
      <c r="F488" s="96"/>
      <c r="G488" s="98"/>
      <c r="H488" s="96"/>
      <c r="I488" s="98"/>
      <c r="J488" s="97"/>
      <c r="K488" s="98"/>
      <c r="L488" s="100"/>
      <c r="M488" s="98"/>
      <c r="N488" s="96"/>
      <c r="O488" s="97"/>
      <c r="P488" s="70"/>
      <c r="Q488" s="97"/>
      <c r="R488" s="97"/>
      <c r="S488" s="98"/>
      <c r="T488" s="97"/>
      <c r="U488" s="98"/>
      <c r="V488" s="100"/>
      <c r="W488" s="98"/>
      <c r="X488" s="96"/>
      <c r="Y488" s="98"/>
      <c r="Z488" s="96"/>
      <c r="AA488" s="97"/>
      <c r="AB488" s="96"/>
      <c r="AC488" s="98"/>
      <c r="AD488" s="98"/>
      <c r="AE488" s="98"/>
    </row>
    <row r="489" spans="2:31" x14ac:dyDescent="0.3">
      <c r="B489" s="96"/>
      <c r="C489" s="96"/>
      <c r="D489" s="96"/>
      <c r="E489" s="97"/>
      <c r="F489" s="96"/>
      <c r="G489" s="98"/>
      <c r="H489" s="96"/>
      <c r="I489" s="98"/>
      <c r="J489" s="97"/>
      <c r="K489" s="98"/>
      <c r="L489" s="100"/>
      <c r="M489" s="98"/>
      <c r="N489" s="96"/>
      <c r="O489" s="97"/>
      <c r="P489" s="70"/>
      <c r="Q489" s="97"/>
      <c r="R489" s="97"/>
      <c r="S489" s="98"/>
      <c r="T489" s="97"/>
      <c r="U489" s="98"/>
      <c r="V489" s="100"/>
      <c r="W489" s="98"/>
      <c r="X489" s="96"/>
      <c r="Y489" s="98"/>
      <c r="Z489" s="96"/>
      <c r="AA489" s="97"/>
      <c r="AB489" s="96"/>
      <c r="AC489" s="98"/>
      <c r="AD489" s="98"/>
      <c r="AE489" s="98"/>
    </row>
    <row r="490" spans="2:31" x14ac:dyDescent="0.3">
      <c r="B490" s="96"/>
      <c r="C490" s="96"/>
      <c r="D490" s="96"/>
      <c r="E490" s="97"/>
      <c r="F490" s="96"/>
      <c r="G490" s="98"/>
      <c r="H490" s="96"/>
      <c r="I490" s="98"/>
      <c r="J490" s="97"/>
      <c r="K490" s="98"/>
      <c r="L490" s="100"/>
      <c r="M490" s="98"/>
      <c r="N490" s="96"/>
      <c r="O490" s="97"/>
      <c r="P490" s="70"/>
      <c r="Q490" s="97"/>
      <c r="R490" s="97"/>
      <c r="S490" s="98"/>
      <c r="T490" s="97"/>
      <c r="U490" s="98"/>
      <c r="V490" s="100"/>
      <c r="W490" s="98"/>
      <c r="X490" s="96"/>
      <c r="Y490" s="98"/>
      <c r="Z490" s="96"/>
      <c r="AA490" s="97"/>
      <c r="AB490" s="96"/>
      <c r="AC490" s="98"/>
      <c r="AD490" s="98"/>
      <c r="AE490" s="98"/>
    </row>
    <row r="491" spans="2:31" x14ac:dyDescent="0.3">
      <c r="B491" s="96"/>
      <c r="C491" s="96"/>
      <c r="D491" s="96"/>
      <c r="E491" s="97"/>
      <c r="F491" s="96"/>
      <c r="G491" s="98"/>
      <c r="H491" s="96"/>
      <c r="I491" s="98"/>
      <c r="J491" s="97"/>
      <c r="K491" s="98"/>
      <c r="L491" s="100"/>
      <c r="M491" s="98"/>
      <c r="N491" s="96"/>
      <c r="O491" s="97"/>
      <c r="P491" s="70"/>
      <c r="Q491" s="97"/>
      <c r="R491" s="97"/>
      <c r="S491" s="98"/>
      <c r="T491" s="97"/>
      <c r="U491" s="98"/>
      <c r="V491" s="100"/>
      <c r="W491" s="98"/>
      <c r="X491" s="96"/>
      <c r="Y491" s="98"/>
      <c r="Z491" s="96"/>
      <c r="AA491" s="97"/>
      <c r="AB491" s="96"/>
      <c r="AC491" s="98"/>
      <c r="AD491" s="98"/>
      <c r="AE491" s="98"/>
    </row>
    <row r="492" spans="2:31" x14ac:dyDescent="0.3">
      <c r="B492" s="96"/>
      <c r="C492" s="96"/>
      <c r="D492" s="96"/>
      <c r="E492" s="97"/>
      <c r="F492" s="96"/>
      <c r="G492" s="98"/>
      <c r="H492" s="96"/>
      <c r="I492" s="98"/>
      <c r="J492" s="97"/>
      <c r="K492" s="98"/>
      <c r="L492" s="100"/>
      <c r="M492" s="98"/>
      <c r="N492" s="96"/>
      <c r="O492" s="97"/>
      <c r="P492" s="70"/>
      <c r="Q492" s="97"/>
      <c r="R492" s="97"/>
      <c r="S492" s="98"/>
      <c r="T492" s="97"/>
      <c r="U492" s="98"/>
      <c r="V492" s="100"/>
      <c r="W492" s="98"/>
      <c r="X492" s="96"/>
      <c r="Y492" s="98"/>
      <c r="Z492" s="96"/>
      <c r="AA492" s="97"/>
      <c r="AB492" s="96"/>
      <c r="AC492" s="98"/>
      <c r="AD492" s="98"/>
      <c r="AE492" s="98"/>
    </row>
    <row r="493" spans="2:31" x14ac:dyDescent="0.3">
      <c r="B493" s="96"/>
      <c r="C493" s="96"/>
      <c r="D493" s="96"/>
      <c r="E493" s="97"/>
      <c r="F493" s="96"/>
      <c r="G493" s="98"/>
      <c r="H493" s="96"/>
      <c r="I493" s="98"/>
      <c r="J493" s="97"/>
      <c r="K493" s="98"/>
      <c r="L493" s="100"/>
      <c r="M493" s="98"/>
      <c r="N493" s="96"/>
      <c r="O493" s="97"/>
      <c r="P493" s="70"/>
      <c r="Q493" s="97"/>
      <c r="R493" s="97"/>
      <c r="S493" s="98"/>
      <c r="T493" s="97"/>
      <c r="U493" s="98"/>
      <c r="V493" s="100"/>
      <c r="W493" s="98"/>
      <c r="X493" s="96"/>
      <c r="Y493" s="98"/>
      <c r="Z493" s="96"/>
      <c r="AA493" s="97"/>
      <c r="AB493" s="96"/>
      <c r="AC493" s="98"/>
      <c r="AD493" s="98"/>
      <c r="AE493" s="98"/>
    </row>
    <row r="494" spans="2:31" x14ac:dyDescent="0.3">
      <c r="B494" s="96"/>
      <c r="C494" s="96"/>
      <c r="D494" s="96"/>
      <c r="E494" s="97"/>
      <c r="F494" s="96"/>
      <c r="G494" s="98"/>
      <c r="H494" s="96"/>
      <c r="I494" s="98"/>
      <c r="J494" s="97"/>
      <c r="K494" s="98"/>
      <c r="L494" s="100"/>
      <c r="M494" s="98"/>
      <c r="N494" s="96"/>
      <c r="O494" s="97"/>
      <c r="P494" s="70"/>
      <c r="Q494" s="97"/>
      <c r="R494" s="97"/>
      <c r="S494" s="98"/>
      <c r="T494" s="97"/>
      <c r="U494" s="98"/>
      <c r="V494" s="100"/>
      <c r="W494" s="98"/>
      <c r="X494" s="96"/>
      <c r="Y494" s="98"/>
      <c r="Z494" s="96"/>
      <c r="AA494" s="97"/>
      <c r="AB494" s="96"/>
      <c r="AC494" s="98"/>
      <c r="AD494" s="98"/>
      <c r="AE494" s="98"/>
    </row>
    <row r="495" spans="2:31" x14ac:dyDescent="0.3">
      <c r="B495" s="96"/>
      <c r="C495" s="96"/>
      <c r="D495" s="96"/>
      <c r="E495" s="97"/>
      <c r="F495" s="96"/>
      <c r="G495" s="98"/>
      <c r="H495" s="96"/>
      <c r="I495" s="98"/>
      <c r="J495" s="97"/>
      <c r="K495" s="98"/>
      <c r="L495" s="100"/>
      <c r="M495" s="98"/>
      <c r="N495" s="96"/>
      <c r="O495" s="97"/>
      <c r="P495" s="70"/>
      <c r="Q495" s="97"/>
      <c r="R495" s="97"/>
      <c r="S495" s="98"/>
      <c r="T495" s="97"/>
      <c r="U495" s="98"/>
      <c r="V495" s="100"/>
      <c r="W495" s="98"/>
      <c r="X495" s="96"/>
      <c r="Y495" s="98"/>
      <c r="Z495" s="96"/>
      <c r="AA495" s="97"/>
      <c r="AB495" s="96"/>
      <c r="AC495" s="98"/>
      <c r="AD495" s="98"/>
      <c r="AE495" s="98"/>
    </row>
    <row r="496" spans="2:31" x14ac:dyDescent="0.3">
      <c r="B496" s="96"/>
      <c r="C496" s="96"/>
      <c r="D496" s="96"/>
      <c r="E496" s="97"/>
      <c r="F496" s="96"/>
      <c r="G496" s="98"/>
      <c r="H496" s="96"/>
      <c r="I496" s="98"/>
      <c r="J496" s="97"/>
      <c r="K496" s="98"/>
      <c r="L496" s="100"/>
      <c r="M496" s="98"/>
      <c r="N496" s="96"/>
      <c r="O496" s="97"/>
      <c r="P496" s="70"/>
      <c r="Q496" s="97"/>
      <c r="R496" s="97"/>
      <c r="S496" s="98"/>
      <c r="T496" s="97"/>
      <c r="U496" s="98"/>
      <c r="V496" s="100"/>
      <c r="W496" s="98"/>
      <c r="X496" s="96"/>
      <c r="Y496" s="98"/>
      <c r="Z496" s="96"/>
      <c r="AA496" s="97"/>
      <c r="AB496" s="96"/>
      <c r="AC496" s="98"/>
      <c r="AD496" s="98"/>
      <c r="AE496" s="98"/>
    </row>
    <row r="497" spans="2:31" x14ac:dyDescent="0.3">
      <c r="B497" s="96"/>
      <c r="C497" s="96"/>
      <c r="D497" s="96"/>
      <c r="E497" s="97"/>
      <c r="F497" s="96"/>
      <c r="G497" s="98"/>
      <c r="H497" s="96"/>
      <c r="I497" s="98"/>
      <c r="J497" s="97"/>
      <c r="K497" s="98"/>
      <c r="L497" s="100"/>
      <c r="M497" s="98"/>
      <c r="N497" s="96"/>
      <c r="O497" s="97"/>
      <c r="P497" s="70"/>
      <c r="Q497" s="97"/>
      <c r="R497" s="97"/>
      <c r="S497" s="98"/>
      <c r="T497" s="97"/>
      <c r="U497" s="98"/>
      <c r="V497" s="100"/>
      <c r="W497" s="98"/>
      <c r="X497" s="96"/>
      <c r="Y497" s="98"/>
      <c r="Z497" s="96"/>
      <c r="AA497" s="97"/>
      <c r="AB497" s="96"/>
      <c r="AC497" s="98"/>
      <c r="AD497" s="98"/>
      <c r="AE497" s="98"/>
    </row>
    <row r="498" spans="2:31" x14ac:dyDescent="0.3">
      <c r="B498" s="96"/>
      <c r="C498" s="96"/>
      <c r="D498" s="96"/>
      <c r="E498" s="97"/>
      <c r="F498" s="96"/>
      <c r="G498" s="98"/>
      <c r="H498" s="96"/>
      <c r="I498" s="98"/>
      <c r="J498" s="97"/>
      <c r="K498" s="98"/>
      <c r="L498" s="100"/>
      <c r="M498" s="98"/>
      <c r="N498" s="96"/>
      <c r="O498" s="97"/>
      <c r="P498" s="70"/>
      <c r="Q498" s="97"/>
      <c r="R498" s="97"/>
      <c r="S498" s="98"/>
      <c r="T498" s="97"/>
      <c r="U498" s="98"/>
      <c r="V498" s="100"/>
      <c r="W498" s="98"/>
      <c r="X498" s="96"/>
      <c r="Y498" s="98"/>
      <c r="Z498" s="96"/>
      <c r="AA498" s="97"/>
      <c r="AB498" s="96"/>
      <c r="AC498" s="98"/>
      <c r="AD498" s="98"/>
      <c r="AE498" s="98"/>
    </row>
    <row r="499" spans="2:31" x14ac:dyDescent="0.3">
      <c r="B499" s="96"/>
      <c r="C499" s="96"/>
      <c r="D499" s="96"/>
      <c r="E499" s="97"/>
      <c r="F499" s="96"/>
      <c r="G499" s="98"/>
      <c r="H499" s="96"/>
      <c r="I499" s="98"/>
      <c r="J499" s="97"/>
      <c r="K499" s="98"/>
      <c r="L499" s="100"/>
      <c r="M499" s="98"/>
      <c r="N499" s="96"/>
      <c r="O499" s="97"/>
      <c r="P499" s="70"/>
      <c r="Q499" s="97"/>
      <c r="R499" s="97"/>
      <c r="S499" s="98"/>
      <c r="T499" s="97"/>
      <c r="U499" s="98"/>
      <c r="V499" s="100"/>
      <c r="W499" s="98"/>
      <c r="X499" s="96"/>
      <c r="Y499" s="98"/>
      <c r="Z499" s="96"/>
      <c r="AA499" s="97"/>
      <c r="AB499" s="96"/>
      <c r="AC499" s="98"/>
      <c r="AD499" s="98"/>
      <c r="AE499" s="98"/>
    </row>
    <row r="500" spans="2:31" x14ac:dyDescent="0.3">
      <c r="B500" s="96"/>
      <c r="C500" s="96"/>
      <c r="D500" s="96"/>
      <c r="E500" s="97"/>
      <c r="F500" s="96"/>
      <c r="G500" s="98"/>
      <c r="H500" s="96"/>
      <c r="I500" s="98"/>
      <c r="J500" s="97"/>
      <c r="K500" s="98"/>
      <c r="L500" s="100"/>
      <c r="M500" s="98"/>
      <c r="N500" s="96"/>
      <c r="O500" s="97"/>
      <c r="P500" s="70"/>
      <c r="Q500" s="97"/>
      <c r="R500" s="97"/>
      <c r="S500" s="98"/>
      <c r="T500" s="97"/>
      <c r="U500" s="98"/>
      <c r="V500" s="100"/>
      <c r="W500" s="98"/>
      <c r="X500" s="96"/>
      <c r="Y500" s="98"/>
      <c r="Z500" s="96"/>
      <c r="AA500" s="97"/>
      <c r="AB500" s="96"/>
      <c r="AC500" s="98"/>
      <c r="AD500" s="98"/>
      <c r="AE500" s="98"/>
    </row>
    <row r="501" spans="2:31" x14ac:dyDescent="0.3">
      <c r="B501" s="96"/>
      <c r="C501" s="96"/>
      <c r="D501" s="96"/>
      <c r="E501" s="97"/>
      <c r="F501" s="96"/>
      <c r="G501" s="98"/>
      <c r="H501" s="96"/>
      <c r="I501" s="98"/>
      <c r="J501" s="97"/>
      <c r="K501" s="98"/>
      <c r="L501" s="100"/>
      <c r="M501" s="98"/>
      <c r="N501" s="96"/>
      <c r="O501" s="97"/>
      <c r="P501" s="70"/>
      <c r="Q501" s="97"/>
      <c r="R501" s="97"/>
      <c r="S501" s="98"/>
      <c r="T501" s="97"/>
      <c r="U501" s="98"/>
      <c r="V501" s="100"/>
      <c r="W501" s="98"/>
      <c r="X501" s="96"/>
      <c r="Y501" s="98"/>
      <c r="Z501" s="96"/>
      <c r="AA501" s="97"/>
      <c r="AB501" s="96"/>
      <c r="AC501" s="98"/>
      <c r="AD501" s="98"/>
      <c r="AE501" s="98"/>
    </row>
    <row r="502" spans="2:31" x14ac:dyDescent="0.3">
      <c r="B502" s="96"/>
      <c r="C502" s="96"/>
      <c r="D502" s="96"/>
      <c r="E502" s="97"/>
      <c r="F502" s="96"/>
      <c r="G502" s="98"/>
      <c r="H502" s="96"/>
      <c r="I502" s="98"/>
      <c r="J502" s="97"/>
      <c r="K502" s="98"/>
      <c r="L502" s="100"/>
      <c r="M502" s="98"/>
      <c r="N502" s="96"/>
      <c r="O502" s="97"/>
      <c r="P502" s="70"/>
      <c r="Q502" s="97"/>
      <c r="R502" s="97"/>
      <c r="S502" s="98"/>
      <c r="T502" s="97"/>
      <c r="U502" s="98"/>
      <c r="V502" s="100"/>
      <c r="W502" s="98"/>
      <c r="X502" s="96"/>
      <c r="Y502" s="98"/>
      <c r="Z502" s="96"/>
      <c r="AA502" s="97"/>
      <c r="AB502" s="96"/>
      <c r="AC502" s="98"/>
      <c r="AD502" s="98"/>
      <c r="AE502" s="98"/>
    </row>
    <row r="503" spans="2:31" x14ac:dyDescent="0.3">
      <c r="B503" s="96"/>
      <c r="C503" s="96"/>
      <c r="D503" s="96"/>
      <c r="E503" s="97"/>
      <c r="F503" s="96"/>
      <c r="G503" s="98"/>
      <c r="H503" s="96"/>
      <c r="I503" s="98"/>
      <c r="J503" s="97"/>
      <c r="K503" s="98"/>
      <c r="L503" s="100"/>
      <c r="M503" s="98"/>
      <c r="N503" s="96"/>
      <c r="O503" s="97"/>
      <c r="P503" s="70"/>
      <c r="Q503" s="97"/>
      <c r="R503" s="97"/>
      <c r="S503" s="98"/>
      <c r="T503" s="97"/>
      <c r="U503" s="98"/>
      <c r="V503" s="100"/>
      <c r="W503" s="98"/>
      <c r="X503" s="96"/>
      <c r="Y503" s="98"/>
      <c r="Z503" s="96"/>
      <c r="AA503" s="97"/>
      <c r="AB503" s="96"/>
      <c r="AC503" s="98"/>
      <c r="AD503" s="98"/>
      <c r="AE503" s="98"/>
    </row>
    <row r="504" spans="2:31" x14ac:dyDescent="0.3">
      <c r="B504" s="96"/>
      <c r="C504" s="96"/>
      <c r="D504" s="96"/>
      <c r="E504" s="97"/>
      <c r="F504" s="96"/>
      <c r="G504" s="98"/>
      <c r="H504" s="96"/>
      <c r="I504" s="98"/>
      <c r="J504" s="97"/>
      <c r="K504" s="98"/>
      <c r="L504" s="100"/>
      <c r="M504" s="98"/>
      <c r="N504" s="96"/>
      <c r="O504" s="97"/>
      <c r="P504" s="70"/>
      <c r="Q504" s="97"/>
      <c r="R504" s="97"/>
      <c r="S504" s="98"/>
      <c r="T504" s="97"/>
      <c r="U504" s="98"/>
      <c r="V504" s="100"/>
      <c r="W504" s="98"/>
      <c r="X504" s="96"/>
      <c r="Y504" s="98"/>
      <c r="Z504" s="96"/>
      <c r="AA504" s="97"/>
      <c r="AB504" s="96"/>
      <c r="AC504" s="98"/>
      <c r="AD504" s="98"/>
      <c r="AE504" s="98"/>
    </row>
    <row r="505" spans="2:31" x14ac:dyDescent="0.3">
      <c r="B505" s="96"/>
      <c r="C505" s="96"/>
      <c r="D505" s="96"/>
      <c r="E505" s="97"/>
      <c r="F505" s="96"/>
      <c r="G505" s="98"/>
      <c r="H505" s="96"/>
      <c r="I505" s="98"/>
      <c r="J505" s="97"/>
      <c r="K505" s="98"/>
      <c r="L505" s="100"/>
      <c r="M505" s="98"/>
      <c r="N505" s="96"/>
      <c r="O505" s="97"/>
      <c r="P505" s="70"/>
      <c r="Q505" s="97"/>
      <c r="R505" s="97"/>
      <c r="S505" s="98"/>
      <c r="T505" s="97"/>
      <c r="U505" s="98"/>
      <c r="V505" s="100"/>
      <c r="W505" s="98"/>
      <c r="X505" s="96"/>
      <c r="Y505" s="98"/>
      <c r="Z505" s="96"/>
      <c r="AA505" s="97"/>
      <c r="AB505" s="96"/>
      <c r="AC505" s="98"/>
      <c r="AD505" s="98"/>
      <c r="AE505" s="98"/>
    </row>
    <row r="506" spans="2:31" x14ac:dyDescent="0.3">
      <c r="B506" s="96"/>
      <c r="C506" s="96"/>
      <c r="D506" s="96"/>
      <c r="E506" s="97"/>
      <c r="F506" s="96"/>
      <c r="G506" s="98"/>
      <c r="H506" s="96"/>
      <c r="I506" s="98"/>
      <c r="J506" s="97"/>
      <c r="K506" s="98"/>
      <c r="L506" s="100"/>
      <c r="M506" s="98"/>
      <c r="N506" s="96"/>
      <c r="O506" s="97"/>
      <c r="P506" s="70"/>
      <c r="Q506" s="97"/>
      <c r="R506" s="97"/>
      <c r="S506" s="98"/>
      <c r="T506" s="97"/>
      <c r="U506" s="98"/>
      <c r="V506" s="100"/>
      <c r="W506" s="98"/>
      <c r="X506" s="96"/>
      <c r="Y506" s="98"/>
      <c r="Z506" s="96"/>
      <c r="AA506" s="97"/>
      <c r="AB506" s="96"/>
      <c r="AC506" s="98"/>
      <c r="AD506" s="98"/>
      <c r="AE506" s="98"/>
    </row>
    <row r="507" spans="2:31" x14ac:dyDescent="0.3">
      <c r="B507" s="96"/>
      <c r="C507" s="96"/>
      <c r="D507" s="96"/>
      <c r="E507" s="97"/>
      <c r="F507" s="96"/>
      <c r="G507" s="98"/>
      <c r="H507" s="96"/>
      <c r="I507" s="98"/>
      <c r="J507" s="97"/>
      <c r="K507" s="98"/>
      <c r="L507" s="100"/>
      <c r="M507" s="98"/>
      <c r="N507" s="96"/>
      <c r="O507" s="97"/>
      <c r="P507" s="70"/>
      <c r="Q507" s="97"/>
      <c r="R507" s="97"/>
      <c r="S507" s="98"/>
      <c r="T507" s="97"/>
      <c r="U507" s="98"/>
      <c r="V507" s="100"/>
      <c r="W507" s="98"/>
      <c r="X507" s="96"/>
      <c r="Y507" s="98"/>
      <c r="Z507" s="96"/>
      <c r="AA507" s="97"/>
      <c r="AB507" s="96"/>
      <c r="AC507" s="98"/>
      <c r="AD507" s="98"/>
      <c r="AE507" s="98"/>
    </row>
    <row r="508" spans="2:31" x14ac:dyDescent="0.3">
      <c r="B508" s="96"/>
      <c r="C508" s="96"/>
      <c r="D508" s="96"/>
      <c r="E508" s="97"/>
      <c r="F508" s="96"/>
      <c r="G508" s="98"/>
      <c r="H508" s="96"/>
      <c r="I508" s="98"/>
      <c r="J508" s="97"/>
      <c r="K508" s="98"/>
      <c r="L508" s="100"/>
      <c r="M508" s="98"/>
      <c r="N508" s="96"/>
      <c r="O508" s="97"/>
      <c r="P508" s="70"/>
      <c r="Q508" s="97"/>
      <c r="R508" s="97"/>
      <c r="S508" s="98"/>
      <c r="T508" s="97"/>
      <c r="U508" s="98"/>
      <c r="V508" s="100"/>
      <c r="W508" s="98"/>
      <c r="X508" s="96"/>
      <c r="Y508" s="98"/>
      <c r="Z508" s="96"/>
      <c r="AA508" s="97"/>
      <c r="AB508" s="96"/>
      <c r="AC508" s="98"/>
      <c r="AD508" s="98"/>
      <c r="AE508" s="98"/>
    </row>
    <row r="509" spans="2:31" x14ac:dyDescent="0.3">
      <c r="B509" s="96"/>
      <c r="C509" s="96"/>
      <c r="D509" s="96"/>
      <c r="E509" s="97"/>
      <c r="F509" s="96"/>
      <c r="G509" s="98"/>
      <c r="H509" s="96"/>
      <c r="I509" s="98"/>
      <c r="J509" s="97"/>
      <c r="K509" s="98"/>
      <c r="L509" s="100"/>
      <c r="M509" s="98"/>
      <c r="N509" s="96"/>
      <c r="O509" s="97"/>
      <c r="P509" s="70"/>
      <c r="Q509" s="97"/>
      <c r="R509" s="97"/>
      <c r="S509" s="98"/>
      <c r="T509" s="97"/>
      <c r="U509" s="98"/>
      <c r="V509" s="100"/>
      <c r="W509" s="98"/>
      <c r="X509" s="96"/>
      <c r="Y509" s="98"/>
      <c r="Z509" s="96"/>
      <c r="AA509" s="97"/>
      <c r="AB509" s="96"/>
      <c r="AC509" s="98"/>
      <c r="AD509" s="98"/>
      <c r="AE509" s="98"/>
    </row>
    <row r="510" spans="2:31" x14ac:dyDescent="0.3">
      <c r="B510" s="96"/>
      <c r="C510" s="96"/>
      <c r="D510" s="96"/>
      <c r="E510" s="97"/>
      <c r="F510" s="96"/>
      <c r="G510" s="98"/>
      <c r="H510" s="96"/>
      <c r="I510" s="98"/>
      <c r="J510" s="97"/>
      <c r="K510" s="98"/>
      <c r="L510" s="100"/>
      <c r="M510" s="98"/>
      <c r="N510" s="96"/>
      <c r="O510" s="97"/>
      <c r="P510" s="70"/>
      <c r="Q510" s="97"/>
      <c r="R510" s="97"/>
      <c r="S510" s="98"/>
      <c r="T510" s="97"/>
      <c r="U510" s="98"/>
      <c r="V510" s="100"/>
      <c r="W510" s="98"/>
      <c r="X510" s="96"/>
      <c r="Y510" s="98"/>
      <c r="Z510" s="96"/>
      <c r="AA510" s="97"/>
      <c r="AB510" s="96"/>
      <c r="AC510" s="98"/>
      <c r="AD510" s="98"/>
      <c r="AE510" s="98"/>
    </row>
    <row r="511" spans="2:31" x14ac:dyDescent="0.3">
      <c r="B511" s="96"/>
      <c r="C511" s="96"/>
      <c r="D511" s="96"/>
      <c r="E511" s="97"/>
      <c r="F511" s="96"/>
      <c r="G511" s="98"/>
      <c r="H511" s="96"/>
      <c r="I511" s="98"/>
      <c r="J511" s="97"/>
      <c r="K511" s="98"/>
      <c r="L511" s="100"/>
      <c r="M511" s="98"/>
      <c r="N511" s="96"/>
      <c r="O511" s="97"/>
      <c r="P511" s="70"/>
      <c r="Q511" s="97"/>
      <c r="R511" s="97"/>
      <c r="S511" s="98"/>
      <c r="T511" s="97"/>
      <c r="U511" s="98"/>
      <c r="V511" s="100"/>
      <c r="W511" s="98"/>
      <c r="X511" s="96"/>
      <c r="Y511" s="98"/>
      <c r="Z511" s="96"/>
      <c r="AA511" s="97"/>
      <c r="AB511" s="96"/>
      <c r="AC511" s="98"/>
      <c r="AD511" s="98"/>
      <c r="AE511" s="98"/>
    </row>
    <row r="512" spans="2:31" x14ac:dyDescent="0.3">
      <c r="B512" s="96"/>
      <c r="C512" s="96"/>
      <c r="D512" s="96"/>
      <c r="E512" s="97"/>
      <c r="F512" s="96"/>
      <c r="G512" s="98"/>
      <c r="H512" s="96"/>
      <c r="I512" s="98"/>
      <c r="J512" s="97"/>
      <c r="K512" s="98"/>
      <c r="L512" s="100"/>
      <c r="M512" s="98"/>
      <c r="N512" s="96"/>
      <c r="O512" s="97"/>
      <c r="P512" s="70"/>
      <c r="Q512" s="97"/>
      <c r="R512" s="97"/>
      <c r="S512" s="98"/>
      <c r="T512" s="97"/>
      <c r="U512" s="98"/>
      <c r="V512" s="100"/>
      <c r="W512" s="98"/>
      <c r="X512" s="96"/>
      <c r="Y512" s="98"/>
      <c r="Z512" s="96"/>
      <c r="AA512" s="97"/>
      <c r="AB512" s="96"/>
      <c r="AC512" s="98"/>
      <c r="AD512" s="98"/>
      <c r="AE512" s="98"/>
    </row>
    <row r="513" spans="2:31" x14ac:dyDescent="0.3">
      <c r="B513" s="96"/>
      <c r="C513" s="96"/>
      <c r="D513" s="96"/>
      <c r="E513" s="97"/>
      <c r="F513" s="96"/>
      <c r="G513" s="98"/>
      <c r="H513" s="96"/>
      <c r="I513" s="98"/>
      <c r="J513" s="97"/>
      <c r="K513" s="98"/>
      <c r="L513" s="100"/>
      <c r="M513" s="98"/>
      <c r="N513" s="96"/>
      <c r="O513" s="97"/>
      <c r="P513" s="70"/>
      <c r="Q513" s="97"/>
      <c r="R513" s="97"/>
      <c r="S513" s="98"/>
      <c r="T513" s="97"/>
      <c r="U513" s="98"/>
      <c r="V513" s="100"/>
      <c r="W513" s="98"/>
      <c r="X513" s="96"/>
      <c r="Y513" s="98"/>
      <c r="Z513" s="96"/>
      <c r="AA513" s="97"/>
      <c r="AB513" s="96"/>
      <c r="AC513" s="98"/>
      <c r="AD513" s="98"/>
      <c r="AE513" s="98"/>
    </row>
    <row r="514" spans="2:31" x14ac:dyDescent="0.3">
      <c r="B514" s="96"/>
      <c r="C514" s="96"/>
      <c r="D514" s="96"/>
      <c r="E514" s="97"/>
      <c r="F514" s="96"/>
      <c r="G514" s="98"/>
      <c r="H514" s="96"/>
      <c r="I514" s="98"/>
      <c r="J514" s="97"/>
      <c r="K514" s="98"/>
      <c r="L514" s="100"/>
      <c r="M514" s="98"/>
      <c r="N514" s="96"/>
      <c r="O514" s="97"/>
      <c r="P514" s="70"/>
      <c r="Q514" s="97"/>
      <c r="R514" s="97"/>
      <c r="S514" s="98"/>
      <c r="T514" s="97"/>
      <c r="U514" s="98"/>
      <c r="V514" s="100"/>
      <c r="W514" s="98"/>
      <c r="X514" s="96"/>
      <c r="Y514" s="98"/>
      <c r="Z514" s="96"/>
      <c r="AA514" s="97"/>
      <c r="AB514" s="96"/>
      <c r="AC514" s="98"/>
      <c r="AD514" s="98"/>
      <c r="AE514" s="98"/>
    </row>
    <row r="515" spans="2:31" x14ac:dyDescent="0.3">
      <c r="B515" s="96"/>
      <c r="C515" s="96"/>
      <c r="D515" s="96"/>
      <c r="E515" s="97"/>
      <c r="F515" s="96"/>
      <c r="G515" s="98"/>
      <c r="H515" s="96"/>
      <c r="I515" s="98"/>
      <c r="J515" s="97"/>
      <c r="K515" s="98"/>
      <c r="L515" s="100"/>
      <c r="M515" s="98"/>
      <c r="N515" s="96"/>
      <c r="O515" s="97"/>
      <c r="P515" s="70"/>
      <c r="Q515" s="97"/>
      <c r="R515" s="97"/>
      <c r="S515" s="98"/>
      <c r="T515" s="97"/>
      <c r="U515" s="98"/>
      <c r="V515" s="100"/>
      <c r="W515" s="98"/>
      <c r="X515" s="96"/>
      <c r="Y515" s="98"/>
      <c r="Z515" s="96"/>
      <c r="AA515" s="97"/>
      <c r="AB515" s="96"/>
      <c r="AC515" s="98"/>
      <c r="AD515" s="98"/>
      <c r="AE515" s="98"/>
    </row>
    <row r="516" spans="2:31" x14ac:dyDescent="0.3">
      <c r="B516" s="96"/>
      <c r="C516" s="96"/>
      <c r="D516" s="96"/>
      <c r="E516" s="97"/>
      <c r="F516" s="96"/>
      <c r="G516" s="98"/>
      <c r="H516" s="96"/>
      <c r="I516" s="98"/>
      <c r="J516" s="97"/>
      <c r="K516" s="98"/>
      <c r="L516" s="100"/>
      <c r="M516" s="98"/>
      <c r="N516" s="96"/>
      <c r="O516" s="97"/>
      <c r="P516" s="70"/>
      <c r="Q516" s="97"/>
      <c r="R516" s="97"/>
      <c r="S516" s="98"/>
      <c r="T516" s="97"/>
      <c r="U516" s="98"/>
      <c r="V516" s="100"/>
      <c r="W516" s="98"/>
      <c r="X516" s="96"/>
      <c r="Y516" s="98"/>
      <c r="Z516" s="96"/>
      <c r="AA516" s="97"/>
      <c r="AB516" s="96"/>
      <c r="AC516" s="98"/>
      <c r="AD516" s="98"/>
      <c r="AE516" s="98"/>
    </row>
    <row r="517" spans="2:31" x14ac:dyDescent="0.3">
      <c r="B517" s="96"/>
      <c r="C517" s="96"/>
      <c r="D517" s="96"/>
      <c r="E517" s="97"/>
      <c r="F517" s="96"/>
      <c r="G517" s="98"/>
      <c r="H517" s="96"/>
      <c r="I517" s="98"/>
      <c r="J517" s="97"/>
      <c r="K517" s="98"/>
      <c r="L517" s="100"/>
      <c r="M517" s="98"/>
      <c r="N517" s="96"/>
      <c r="O517" s="97"/>
      <c r="P517" s="70"/>
      <c r="Q517" s="97"/>
      <c r="R517" s="97"/>
      <c r="S517" s="98"/>
      <c r="T517" s="97"/>
      <c r="U517" s="98"/>
      <c r="V517" s="100"/>
      <c r="W517" s="98"/>
      <c r="X517" s="96"/>
      <c r="Y517" s="98"/>
      <c r="Z517" s="96"/>
      <c r="AA517" s="97"/>
      <c r="AB517" s="96"/>
      <c r="AC517" s="98"/>
      <c r="AD517" s="98"/>
      <c r="AE517" s="98"/>
    </row>
    <row r="518" spans="2:31" x14ac:dyDescent="0.3">
      <c r="B518" s="96"/>
      <c r="C518" s="96"/>
      <c r="D518" s="96"/>
      <c r="E518" s="97"/>
      <c r="F518" s="96"/>
      <c r="G518" s="98"/>
      <c r="H518" s="96"/>
      <c r="I518" s="98"/>
      <c r="J518" s="97"/>
      <c r="K518" s="98"/>
      <c r="L518" s="100"/>
      <c r="M518" s="98"/>
      <c r="N518" s="96"/>
      <c r="O518" s="97"/>
      <c r="P518" s="70"/>
      <c r="Q518" s="97"/>
      <c r="R518" s="97"/>
      <c r="S518" s="98"/>
      <c r="T518" s="97"/>
      <c r="U518" s="98"/>
      <c r="V518" s="100"/>
      <c r="W518" s="98"/>
      <c r="X518" s="96"/>
      <c r="Y518" s="98"/>
      <c r="Z518" s="96"/>
      <c r="AA518" s="97"/>
      <c r="AB518" s="96"/>
      <c r="AC518" s="98"/>
      <c r="AD518" s="98"/>
      <c r="AE518" s="98"/>
    </row>
    <row r="519" spans="2:31" x14ac:dyDescent="0.3">
      <c r="B519" s="96"/>
      <c r="C519" s="96"/>
      <c r="D519" s="96"/>
      <c r="E519" s="97"/>
      <c r="F519" s="96"/>
      <c r="G519" s="98"/>
      <c r="H519" s="96"/>
      <c r="I519" s="98"/>
      <c r="J519" s="97"/>
      <c r="K519" s="98"/>
      <c r="L519" s="100"/>
      <c r="M519" s="98"/>
      <c r="N519" s="96"/>
      <c r="O519" s="97"/>
      <c r="P519" s="70"/>
      <c r="Q519" s="97"/>
      <c r="R519" s="97"/>
      <c r="S519" s="98"/>
      <c r="T519" s="97"/>
      <c r="U519" s="98"/>
      <c r="V519" s="100"/>
      <c r="W519" s="98"/>
      <c r="X519" s="96"/>
      <c r="Y519" s="98"/>
      <c r="Z519" s="96"/>
      <c r="AA519" s="97"/>
      <c r="AB519" s="96"/>
      <c r="AC519" s="98"/>
      <c r="AD519" s="98"/>
      <c r="AE519" s="98"/>
    </row>
    <row r="520" spans="2:31" x14ac:dyDescent="0.3">
      <c r="B520" s="96"/>
      <c r="C520" s="96"/>
      <c r="D520" s="96"/>
      <c r="E520" s="97"/>
      <c r="F520" s="96"/>
      <c r="G520" s="98"/>
      <c r="H520" s="96"/>
      <c r="I520" s="98"/>
      <c r="J520" s="97"/>
      <c r="K520" s="98"/>
      <c r="L520" s="100"/>
      <c r="M520" s="98"/>
      <c r="N520" s="96"/>
      <c r="O520" s="97"/>
      <c r="P520" s="70"/>
      <c r="Q520" s="97"/>
      <c r="R520" s="97"/>
      <c r="S520" s="98"/>
      <c r="T520" s="97"/>
      <c r="U520" s="98"/>
      <c r="V520" s="100"/>
      <c r="W520" s="98"/>
      <c r="X520" s="96"/>
      <c r="Y520" s="98"/>
      <c r="Z520" s="96"/>
      <c r="AA520" s="97"/>
      <c r="AB520" s="96"/>
      <c r="AC520" s="98"/>
      <c r="AD520" s="98"/>
      <c r="AE520" s="98"/>
    </row>
    <row r="521" spans="2:31" x14ac:dyDescent="0.3">
      <c r="B521" s="96"/>
      <c r="C521" s="96"/>
      <c r="D521" s="96"/>
      <c r="E521" s="97"/>
      <c r="F521" s="96"/>
      <c r="G521" s="98"/>
      <c r="H521" s="96"/>
      <c r="I521" s="98"/>
      <c r="J521" s="97"/>
      <c r="K521" s="98"/>
      <c r="L521" s="100"/>
      <c r="M521" s="98"/>
      <c r="N521" s="96"/>
      <c r="O521" s="97"/>
      <c r="P521" s="70"/>
      <c r="Q521" s="97"/>
      <c r="R521" s="97"/>
      <c r="S521" s="98"/>
      <c r="T521" s="97"/>
      <c r="U521" s="98"/>
      <c r="V521" s="100"/>
      <c r="W521" s="98"/>
      <c r="X521" s="96"/>
      <c r="Y521" s="98"/>
      <c r="Z521" s="96"/>
      <c r="AA521" s="97"/>
      <c r="AB521" s="96"/>
      <c r="AC521" s="98"/>
      <c r="AD521" s="98"/>
      <c r="AE521" s="98"/>
    </row>
    <row r="522" spans="2:31" x14ac:dyDescent="0.3">
      <c r="B522" s="96"/>
      <c r="C522" s="96"/>
      <c r="D522" s="96"/>
      <c r="E522" s="97"/>
      <c r="F522" s="96"/>
      <c r="G522" s="98"/>
      <c r="H522" s="96"/>
      <c r="I522" s="98"/>
      <c r="J522" s="97"/>
      <c r="K522" s="98"/>
      <c r="L522" s="100"/>
      <c r="M522" s="98"/>
      <c r="N522" s="96"/>
      <c r="O522" s="97"/>
      <c r="P522" s="70"/>
      <c r="Q522" s="97"/>
      <c r="R522" s="97"/>
      <c r="S522" s="98"/>
      <c r="T522" s="97"/>
      <c r="U522" s="98"/>
      <c r="V522" s="100"/>
      <c r="W522" s="98"/>
      <c r="X522" s="96"/>
      <c r="Y522" s="98"/>
      <c r="Z522" s="96"/>
      <c r="AA522" s="97"/>
      <c r="AB522" s="96"/>
      <c r="AC522" s="98"/>
      <c r="AD522" s="98"/>
      <c r="AE522" s="98"/>
    </row>
    <row r="523" spans="2:31" x14ac:dyDescent="0.3">
      <c r="B523" s="96"/>
      <c r="C523" s="96"/>
      <c r="D523" s="96"/>
      <c r="E523" s="97"/>
      <c r="F523" s="96"/>
      <c r="G523" s="98"/>
      <c r="H523" s="96"/>
      <c r="I523" s="98"/>
      <c r="J523" s="97"/>
      <c r="K523" s="98"/>
      <c r="L523" s="100"/>
      <c r="M523" s="98"/>
      <c r="N523" s="96"/>
      <c r="O523" s="97"/>
      <c r="P523" s="70"/>
      <c r="Q523" s="97"/>
      <c r="R523" s="97"/>
      <c r="S523" s="98"/>
      <c r="T523" s="97"/>
      <c r="U523" s="98"/>
      <c r="V523" s="100"/>
      <c r="W523" s="98"/>
      <c r="X523" s="96"/>
      <c r="Y523" s="98"/>
      <c r="Z523" s="96"/>
      <c r="AA523" s="97"/>
      <c r="AB523" s="96"/>
      <c r="AC523" s="98"/>
      <c r="AD523" s="98"/>
      <c r="AE523" s="98"/>
    </row>
    <row r="524" spans="2:31" x14ac:dyDescent="0.3">
      <c r="B524" s="96"/>
      <c r="C524" s="96"/>
      <c r="D524" s="96"/>
      <c r="E524" s="97"/>
      <c r="F524" s="96"/>
      <c r="G524" s="98"/>
      <c r="H524" s="96"/>
      <c r="I524" s="98"/>
      <c r="J524" s="97"/>
      <c r="K524" s="98"/>
      <c r="L524" s="100"/>
      <c r="M524" s="98"/>
      <c r="N524" s="96"/>
      <c r="O524" s="97"/>
      <c r="P524" s="70"/>
      <c r="Q524" s="97"/>
      <c r="R524" s="97"/>
      <c r="S524" s="98"/>
      <c r="T524" s="97"/>
      <c r="U524" s="98"/>
      <c r="V524" s="100"/>
      <c r="W524" s="98"/>
      <c r="X524" s="96"/>
      <c r="Y524" s="98"/>
      <c r="Z524" s="96"/>
      <c r="AA524" s="97"/>
      <c r="AB524" s="96"/>
      <c r="AC524" s="98"/>
      <c r="AD524" s="98"/>
      <c r="AE524" s="98"/>
    </row>
    <row r="525" spans="2:31" x14ac:dyDescent="0.3">
      <c r="B525" s="96"/>
      <c r="C525" s="96"/>
      <c r="D525" s="96"/>
      <c r="E525" s="97"/>
      <c r="F525" s="96"/>
      <c r="G525" s="98"/>
      <c r="H525" s="96"/>
      <c r="I525" s="98"/>
      <c r="J525" s="97"/>
      <c r="K525" s="98"/>
      <c r="L525" s="100"/>
      <c r="M525" s="98"/>
      <c r="N525" s="96"/>
      <c r="O525" s="97"/>
      <c r="P525" s="70"/>
      <c r="Q525" s="97"/>
      <c r="R525" s="97"/>
      <c r="S525" s="98"/>
      <c r="T525" s="97"/>
      <c r="U525" s="98"/>
      <c r="V525" s="100"/>
      <c r="W525" s="98"/>
      <c r="X525" s="96"/>
      <c r="Y525" s="98"/>
      <c r="Z525" s="96"/>
      <c r="AA525" s="97"/>
      <c r="AB525" s="96"/>
      <c r="AC525" s="98"/>
      <c r="AD525" s="98"/>
      <c r="AE525" s="98"/>
    </row>
    <row r="526" spans="2:31" x14ac:dyDescent="0.3">
      <c r="B526" s="96"/>
      <c r="C526" s="96"/>
      <c r="D526" s="96"/>
      <c r="E526" s="97"/>
      <c r="F526" s="96"/>
      <c r="G526" s="98"/>
      <c r="H526" s="96"/>
      <c r="I526" s="98"/>
      <c r="J526" s="97"/>
      <c r="K526" s="98"/>
      <c r="L526" s="100"/>
      <c r="M526" s="98"/>
      <c r="N526" s="96"/>
      <c r="O526" s="97"/>
      <c r="P526" s="70"/>
      <c r="Q526" s="97"/>
      <c r="R526" s="97"/>
      <c r="S526" s="98"/>
      <c r="T526" s="97"/>
      <c r="U526" s="98"/>
      <c r="V526" s="100"/>
      <c r="W526" s="98"/>
      <c r="X526" s="96"/>
      <c r="Y526" s="98"/>
      <c r="Z526" s="96"/>
      <c r="AA526" s="97"/>
      <c r="AB526" s="96"/>
      <c r="AC526" s="98"/>
      <c r="AD526" s="98"/>
      <c r="AE526" s="98"/>
    </row>
    <row r="527" spans="2:31" x14ac:dyDescent="0.3">
      <c r="B527" s="96"/>
      <c r="C527" s="96"/>
      <c r="D527" s="96"/>
      <c r="E527" s="97"/>
      <c r="F527" s="96"/>
      <c r="G527" s="98"/>
      <c r="H527" s="96"/>
      <c r="I527" s="98"/>
      <c r="J527" s="97"/>
      <c r="K527" s="98"/>
      <c r="L527" s="100"/>
      <c r="M527" s="98"/>
      <c r="N527" s="96"/>
      <c r="O527" s="97"/>
      <c r="P527" s="70"/>
      <c r="Q527" s="97"/>
      <c r="R527" s="97"/>
      <c r="S527" s="98"/>
      <c r="T527" s="97"/>
      <c r="U527" s="98"/>
      <c r="V527" s="100"/>
      <c r="W527" s="98"/>
      <c r="X527" s="96"/>
      <c r="Y527" s="98"/>
      <c r="Z527" s="96"/>
      <c r="AA527" s="97"/>
      <c r="AB527" s="96"/>
      <c r="AC527" s="98"/>
      <c r="AD527" s="98"/>
      <c r="AE527" s="98"/>
    </row>
    <row r="528" spans="2:31" x14ac:dyDescent="0.3">
      <c r="B528" s="96"/>
      <c r="C528" s="96"/>
      <c r="D528" s="96"/>
      <c r="E528" s="97"/>
      <c r="F528" s="96"/>
      <c r="G528" s="98"/>
      <c r="H528" s="96"/>
      <c r="I528" s="98"/>
      <c r="J528" s="97"/>
      <c r="K528" s="98"/>
      <c r="L528" s="100"/>
      <c r="M528" s="98"/>
      <c r="N528" s="96"/>
      <c r="O528" s="97"/>
      <c r="P528" s="70"/>
      <c r="Q528" s="97"/>
      <c r="R528" s="97"/>
      <c r="S528" s="98"/>
      <c r="T528" s="97"/>
      <c r="U528" s="98"/>
      <c r="V528" s="100"/>
      <c r="W528" s="98"/>
      <c r="X528" s="96"/>
      <c r="Y528" s="98"/>
      <c r="Z528" s="96"/>
      <c r="AA528" s="97"/>
      <c r="AB528" s="96"/>
      <c r="AC528" s="98"/>
      <c r="AD528" s="98"/>
      <c r="AE528" s="98"/>
    </row>
    <row r="529" spans="2:31" x14ac:dyDescent="0.3">
      <c r="B529" s="96"/>
      <c r="C529" s="96"/>
      <c r="D529" s="96"/>
      <c r="E529" s="97"/>
      <c r="F529" s="96"/>
      <c r="G529" s="98"/>
      <c r="H529" s="96"/>
      <c r="I529" s="98"/>
      <c r="J529" s="97"/>
      <c r="K529" s="98"/>
      <c r="L529" s="100"/>
      <c r="M529" s="98"/>
      <c r="N529" s="96"/>
      <c r="O529" s="97"/>
      <c r="P529" s="70"/>
      <c r="Q529" s="97"/>
      <c r="R529" s="97"/>
      <c r="S529" s="98"/>
      <c r="T529" s="97"/>
      <c r="U529" s="98"/>
      <c r="V529" s="100"/>
      <c r="W529" s="98"/>
      <c r="X529" s="96"/>
      <c r="Y529" s="98"/>
      <c r="Z529" s="96"/>
      <c r="AA529" s="97"/>
      <c r="AB529" s="96"/>
      <c r="AC529" s="98"/>
      <c r="AD529" s="98"/>
      <c r="AE529" s="98"/>
    </row>
    <row r="530" spans="2:31" x14ac:dyDescent="0.3">
      <c r="B530" s="96"/>
      <c r="C530" s="96"/>
      <c r="D530" s="96"/>
      <c r="E530" s="97"/>
      <c r="F530" s="96"/>
      <c r="G530" s="98"/>
      <c r="H530" s="96"/>
      <c r="I530" s="98"/>
      <c r="J530" s="97"/>
      <c r="K530" s="98"/>
      <c r="L530" s="100"/>
      <c r="M530" s="98"/>
      <c r="N530" s="96"/>
      <c r="O530" s="97"/>
      <c r="P530" s="70"/>
      <c r="Q530" s="97"/>
      <c r="R530" s="97"/>
      <c r="S530" s="98"/>
      <c r="T530" s="97"/>
      <c r="U530" s="98"/>
      <c r="V530" s="100"/>
      <c r="W530" s="98"/>
      <c r="X530" s="96"/>
      <c r="Y530" s="98"/>
      <c r="Z530" s="96"/>
      <c r="AA530" s="97"/>
      <c r="AB530" s="96"/>
      <c r="AC530" s="98"/>
      <c r="AD530" s="98"/>
      <c r="AE530" s="98"/>
    </row>
    <row r="531" spans="2:31" x14ac:dyDescent="0.3">
      <c r="B531" s="96"/>
      <c r="C531" s="96"/>
      <c r="D531" s="96"/>
      <c r="E531" s="97"/>
      <c r="F531" s="96"/>
      <c r="G531" s="98"/>
      <c r="H531" s="96"/>
      <c r="I531" s="98"/>
      <c r="J531" s="97"/>
      <c r="K531" s="98"/>
      <c r="L531" s="100"/>
      <c r="M531" s="98"/>
      <c r="N531" s="96"/>
      <c r="O531" s="97"/>
      <c r="P531" s="70"/>
      <c r="Q531" s="97"/>
      <c r="R531" s="97"/>
      <c r="S531" s="98"/>
      <c r="T531" s="97"/>
      <c r="U531" s="98"/>
      <c r="V531" s="100"/>
      <c r="W531" s="98"/>
      <c r="X531" s="96"/>
      <c r="Y531" s="98"/>
      <c r="Z531" s="96"/>
      <c r="AA531" s="97"/>
      <c r="AB531" s="96"/>
      <c r="AC531" s="98"/>
      <c r="AD531" s="98"/>
      <c r="AE531" s="98"/>
    </row>
    <row r="532" spans="2:31" x14ac:dyDescent="0.3">
      <c r="B532" s="96"/>
      <c r="C532" s="96"/>
      <c r="D532" s="96"/>
      <c r="E532" s="97"/>
      <c r="F532" s="96"/>
      <c r="G532" s="98"/>
      <c r="H532" s="96"/>
      <c r="I532" s="98"/>
      <c r="J532" s="97"/>
      <c r="K532" s="98"/>
      <c r="L532" s="100"/>
      <c r="M532" s="98"/>
      <c r="N532" s="96"/>
      <c r="O532" s="97"/>
      <c r="P532" s="70"/>
      <c r="Q532" s="97"/>
      <c r="R532" s="97"/>
      <c r="S532" s="98"/>
      <c r="T532" s="97"/>
      <c r="U532" s="98"/>
      <c r="V532" s="100"/>
      <c r="W532" s="98"/>
      <c r="X532" s="96"/>
      <c r="Y532" s="98"/>
      <c r="Z532" s="96"/>
      <c r="AA532" s="97"/>
      <c r="AB532" s="96"/>
      <c r="AC532" s="98"/>
      <c r="AD532" s="98"/>
      <c r="AE532" s="98"/>
    </row>
    <row r="533" spans="2:31" x14ac:dyDescent="0.3">
      <c r="B533" s="96"/>
      <c r="C533" s="96"/>
      <c r="D533" s="96"/>
      <c r="E533" s="97"/>
      <c r="F533" s="96"/>
      <c r="G533" s="98"/>
      <c r="H533" s="96"/>
      <c r="I533" s="98"/>
      <c r="J533" s="97"/>
      <c r="K533" s="98"/>
      <c r="L533" s="100"/>
      <c r="M533" s="98"/>
      <c r="N533" s="96"/>
      <c r="O533" s="97"/>
      <c r="P533" s="70"/>
      <c r="Q533" s="97"/>
      <c r="R533" s="97"/>
      <c r="S533" s="98"/>
      <c r="T533" s="97"/>
      <c r="U533" s="98"/>
      <c r="V533" s="100"/>
      <c r="W533" s="98"/>
      <c r="X533" s="96"/>
      <c r="Y533" s="98"/>
      <c r="Z533" s="96"/>
      <c r="AA533" s="97"/>
      <c r="AB533" s="96"/>
      <c r="AC533" s="98"/>
      <c r="AD533" s="98"/>
      <c r="AE533" s="98"/>
    </row>
    <row r="534" spans="2:31" x14ac:dyDescent="0.3">
      <c r="B534" s="96"/>
      <c r="C534" s="96"/>
      <c r="D534" s="96"/>
      <c r="E534" s="97"/>
      <c r="F534" s="96"/>
      <c r="G534" s="98"/>
      <c r="H534" s="96"/>
      <c r="I534" s="98"/>
      <c r="J534" s="97"/>
      <c r="K534" s="98"/>
      <c r="L534" s="100"/>
      <c r="M534" s="98"/>
      <c r="N534" s="96"/>
      <c r="O534" s="97"/>
      <c r="P534" s="70"/>
      <c r="Q534" s="97"/>
      <c r="R534" s="97"/>
      <c r="S534" s="98"/>
      <c r="T534" s="97"/>
      <c r="U534" s="98"/>
      <c r="V534" s="100"/>
      <c r="W534" s="98"/>
      <c r="X534" s="96"/>
      <c r="Y534" s="98"/>
      <c r="Z534" s="96"/>
      <c r="AA534" s="97"/>
      <c r="AB534" s="96"/>
      <c r="AC534" s="98"/>
      <c r="AD534" s="98"/>
      <c r="AE534" s="98"/>
    </row>
    <row r="535" spans="2:31" x14ac:dyDescent="0.3">
      <c r="B535" s="96"/>
      <c r="C535" s="96"/>
      <c r="D535" s="96"/>
      <c r="E535" s="97"/>
      <c r="F535" s="96"/>
      <c r="G535" s="98"/>
      <c r="H535" s="96"/>
      <c r="I535" s="98"/>
      <c r="J535" s="97"/>
      <c r="K535" s="98"/>
      <c r="L535" s="100"/>
      <c r="M535" s="98"/>
      <c r="N535" s="96"/>
      <c r="O535" s="97"/>
      <c r="P535" s="70"/>
      <c r="Q535" s="97"/>
      <c r="R535" s="97"/>
      <c r="S535" s="98"/>
      <c r="T535" s="97"/>
      <c r="U535" s="98"/>
      <c r="V535" s="100"/>
      <c r="W535" s="98"/>
      <c r="X535" s="96"/>
      <c r="Y535" s="98"/>
      <c r="Z535" s="96"/>
      <c r="AA535" s="97"/>
      <c r="AB535" s="96"/>
      <c r="AC535" s="98"/>
      <c r="AD535" s="98"/>
      <c r="AE535" s="98"/>
    </row>
    <row r="536" spans="2:31" x14ac:dyDescent="0.3">
      <c r="B536" s="96"/>
      <c r="C536" s="96"/>
      <c r="D536" s="96"/>
      <c r="E536" s="97"/>
      <c r="F536" s="96"/>
      <c r="G536" s="98"/>
      <c r="H536" s="96"/>
      <c r="I536" s="98"/>
      <c r="J536" s="97"/>
      <c r="K536" s="98"/>
      <c r="L536" s="100"/>
      <c r="M536" s="98"/>
      <c r="N536" s="96"/>
      <c r="O536" s="97"/>
      <c r="P536" s="70"/>
      <c r="Q536" s="97"/>
      <c r="R536" s="97"/>
      <c r="S536" s="98"/>
      <c r="T536" s="97"/>
      <c r="U536" s="98"/>
      <c r="V536" s="100"/>
      <c r="W536" s="98"/>
      <c r="X536" s="96"/>
      <c r="Y536" s="98"/>
      <c r="Z536" s="96"/>
      <c r="AA536" s="97"/>
      <c r="AB536" s="96"/>
      <c r="AC536" s="98"/>
      <c r="AD536" s="98"/>
      <c r="AE536" s="98"/>
    </row>
    <row r="537" spans="2:31" x14ac:dyDescent="0.3">
      <c r="B537" s="96"/>
      <c r="C537" s="96"/>
      <c r="D537" s="96"/>
      <c r="E537" s="97"/>
      <c r="F537" s="96"/>
      <c r="G537" s="98"/>
      <c r="H537" s="96"/>
      <c r="I537" s="98"/>
      <c r="J537" s="97"/>
      <c r="K537" s="98"/>
      <c r="L537" s="100"/>
      <c r="M537" s="98"/>
      <c r="N537" s="96"/>
      <c r="O537" s="97"/>
      <c r="P537" s="70"/>
      <c r="Q537" s="97"/>
      <c r="R537" s="97"/>
      <c r="S537" s="98"/>
      <c r="T537" s="97"/>
      <c r="U537" s="98"/>
      <c r="V537" s="100"/>
      <c r="W537" s="98"/>
      <c r="X537" s="96"/>
      <c r="Y537" s="98"/>
      <c r="Z537" s="96"/>
      <c r="AA537" s="97"/>
      <c r="AB537" s="96"/>
      <c r="AC537" s="98"/>
      <c r="AD537" s="98"/>
      <c r="AE537" s="98"/>
    </row>
    <row r="538" spans="2:31" x14ac:dyDescent="0.3">
      <c r="B538" s="96"/>
      <c r="C538" s="96"/>
      <c r="D538" s="96"/>
      <c r="E538" s="97"/>
      <c r="F538" s="96"/>
      <c r="G538" s="98"/>
      <c r="H538" s="96"/>
      <c r="I538" s="98"/>
      <c r="J538" s="97"/>
      <c r="K538" s="98"/>
      <c r="L538" s="100"/>
      <c r="M538" s="98"/>
      <c r="N538" s="96"/>
      <c r="O538" s="97"/>
      <c r="P538" s="70"/>
      <c r="Q538" s="97"/>
      <c r="R538" s="97"/>
      <c r="S538" s="98"/>
      <c r="T538" s="97"/>
      <c r="U538" s="98"/>
      <c r="V538" s="100"/>
      <c r="W538" s="98"/>
      <c r="X538" s="96"/>
      <c r="Y538" s="98"/>
      <c r="Z538" s="96"/>
      <c r="AA538" s="97"/>
      <c r="AB538" s="96"/>
      <c r="AC538" s="98"/>
      <c r="AD538" s="98"/>
      <c r="AE538" s="98"/>
    </row>
    <row r="539" spans="2:31" x14ac:dyDescent="0.3">
      <c r="B539" s="96"/>
      <c r="C539" s="96"/>
      <c r="D539" s="96"/>
      <c r="E539" s="97"/>
      <c r="F539" s="96"/>
      <c r="G539" s="98"/>
      <c r="H539" s="96"/>
      <c r="I539" s="98"/>
      <c r="J539" s="97"/>
      <c r="K539" s="98"/>
      <c r="L539" s="100"/>
      <c r="M539" s="98"/>
      <c r="N539" s="96"/>
      <c r="O539" s="97"/>
      <c r="P539" s="70"/>
      <c r="Q539" s="97"/>
      <c r="R539" s="97"/>
      <c r="S539" s="98"/>
      <c r="T539" s="97"/>
      <c r="U539" s="98"/>
      <c r="V539" s="100"/>
      <c r="W539" s="98"/>
      <c r="X539" s="96"/>
      <c r="Y539" s="98"/>
      <c r="Z539" s="96"/>
      <c r="AA539" s="97"/>
      <c r="AB539" s="96"/>
      <c r="AC539" s="98"/>
      <c r="AD539" s="98"/>
      <c r="AE539" s="98"/>
    </row>
    <row r="540" spans="2:31" x14ac:dyDescent="0.3">
      <c r="B540" s="96"/>
      <c r="C540" s="96"/>
      <c r="D540" s="96"/>
      <c r="E540" s="97"/>
      <c r="F540" s="96"/>
      <c r="G540" s="98"/>
      <c r="H540" s="96"/>
      <c r="I540" s="98"/>
      <c r="J540" s="97"/>
      <c r="K540" s="98"/>
      <c r="L540" s="100"/>
      <c r="M540" s="98"/>
      <c r="N540" s="96"/>
      <c r="O540" s="97"/>
      <c r="P540" s="70"/>
      <c r="Q540" s="97"/>
      <c r="R540" s="97"/>
      <c r="S540" s="98"/>
      <c r="T540" s="97"/>
      <c r="U540" s="98"/>
      <c r="V540" s="100"/>
      <c r="W540" s="98"/>
      <c r="X540" s="96"/>
      <c r="Y540" s="98"/>
      <c r="Z540" s="96"/>
      <c r="AA540" s="97"/>
      <c r="AB540" s="96"/>
      <c r="AC540" s="98"/>
      <c r="AD540" s="98"/>
      <c r="AE540" s="98"/>
    </row>
    <row r="541" spans="2:31" x14ac:dyDescent="0.3">
      <c r="B541" s="96"/>
      <c r="C541" s="96"/>
      <c r="D541" s="96"/>
      <c r="E541" s="97"/>
      <c r="F541" s="96"/>
      <c r="G541" s="98"/>
      <c r="H541" s="96"/>
      <c r="I541" s="98"/>
      <c r="J541" s="97"/>
      <c r="K541" s="98"/>
      <c r="L541" s="100"/>
      <c r="M541" s="98"/>
      <c r="N541" s="96"/>
      <c r="O541" s="97"/>
      <c r="P541" s="70"/>
      <c r="Q541" s="97"/>
      <c r="R541" s="97"/>
      <c r="S541" s="98"/>
      <c r="T541" s="97"/>
      <c r="U541" s="98"/>
      <c r="V541" s="100"/>
      <c r="W541" s="98"/>
      <c r="X541" s="96"/>
      <c r="Y541" s="98"/>
      <c r="Z541" s="96"/>
      <c r="AA541" s="97"/>
      <c r="AB541" s="96"/>
      <c r="AC541" s="98"/>
      <c r="AD541" s="98"/>
      <c r="AE541" s="98"/>
    </row>
    <row r="542" spans="2:31" x14ac:dyDescent="0.3">
      <c r="B542" s="96"/>
      <c r="C542" s="96"/>
      <c r="D542" s="96"/>
      <c r="E542" s="97"/>
      <c r="F542" s="96"/>
      <c r="G542" s="98"/>
      <c r="H542" s="96"/>
      <c r="I542" s="98"/>
      <c r="J542" s="97"/>
      <c r="K542" s="98"/>
      <c r="L542" s="100"/>
      <c r="M542" s="98"/>
      <c r="N542" s="96"/>
      <c r="O542" s="97"/>
      <c r="P542" s="70"/>
      <c r="Q542" s="97"/>
      <c r="R542" s="97"/>
      <c r="S542" s="98"/>
      <c r="T542" s="97"/>
      <c r="U542" s="98"/>
      <c r="V542" s="100"/>
      <c r="W542" s="98"/>
      <c r="X542" s="96"/>
      <c r="Y542" s="98"/>
      <c r="Z542" s="96"/>
      <c r="AA542" s="97"/>
      <c r="AB542" s="96"/>
      <c r="AC542" s="98"/>
      <c r="AD542" s="98"/>
      <c r="AE542" s="98"/>
    </row>
    <row r="543" spans="2:31" x14ac:dyDescent="0.3">
      <c r="B543" s="96"/>
      <c r="C543" s="96"/>
      <c r="D543" s="96"/>
      <c r="E543" s="97"/>
      <c r="F543" s="96"/>
      <c r="G543" s="98"/>
      <c r="H543" s="96"/>
      <c r="I543" s="98"/>
      <c r="J543" s="97"/>
      <c r="K543" s="98"/>
      <c r="L543" s="100"/>
      <c r="M543" s="98"/>
      <c r="N543" s="96"/>
      <c r="O543" s="97"/>
      <c r="P543" s="70"/>
      <c r="Q543" s="97"/>
      <c r="R543" s="97"/>
      <c r="S543" s="98"/>
      <c r="T543" s="97"/>
      <c r="U543" s="98"/>
      <c r="V543" s="100"/>
      <c r="W543" s="98"/>
      <c r="X543" s="96"/>
      <c r="Y543" s="98"/>
      <c r="Z543" s="96"/>
      <c r="AA543" s="97"/>
      <c r="AB543" s="96"/>
      <c r="AC543" s="98"/>
      <c r="AD543" s="98"/>
      <c r="AE543" s="98"/>
    </row>
    <row r="544" spans="2:31" x14ac:dyDescent="0.3">
      <c r="B544" s="96"/>
      <c r="C544" s="96"/>
      <c r="D544" s="96"/>
      <c r="E544" s="97"/>
      <c r="F544" s="96"/>
      <c r="G544" s="98"/>
      <c r="H544" s="96"/>
      <c r="I544" s="98"/>
      <c r="J544" s="97"/>
      <c r="K544" s="98"/>
      <c r="L544" s="100"/>
      <c r="M544" s="98"/>
      <c r="N544" s="96"/>
      <c r="O544" s="97"/>
      <c r="P544" s="70"/>
      <c r="Q544" s="97"/>
      <c r="R544" s="97"/>
      <c r="S544" s="98"/>
      <c r="T544" s="97"/>
      <c r="U544" s="98"/>
      <c r="V544" s="100"/>
      <c r="W544" s="98"/>
      <c r="X544" s="96"/>
      <c r="Y544" s="98"/>
      <c r="Z544" s="96"/>
      <c r="AA544" s="97"/>
      <c r="AB544" s="96"/>
      <c r="AC544" s="98"/>
      <c r="AD544" s="98"/>
      <c r="AE544" s="98"/>
    </row>
    <row r="545" spans="2:31" x14ac:dyDescent="0.3">
      <c r="B545" s="96"/>
      <c r="C545" s="96"/>
      <c r="D545" s="96"/>
      <c r="E545" s="97"/>
      <c r="F545" s="96"/>
      <c r="G545" s="98"/>
      <c r="H545" s="96"/>
      <c r="I545" s="98"/>
      <c r="J545" s="97"/>
      <c r="K545" s="98"/>
      <c r="L545" s="100"/>
      <c r="M545" s="98"/>
      <c r="N545" s="96"/>
      <c r="O545" s="97"/>
      <c r="P545" s="70"/>
      <c r="Q545" s="97"/>
      <c r="R545" s="97"/>
      <c r="S545" s="98"/>
      <c r="T545" s="97"/>
      <c r="U545" s="98"/>
      <c r="V545" s="100"/>
      <c r="W545" s="98"/>
      <c r="X545" s="96"/>
      <c r="Y545" s="98"/>
      <c r="Z545" s="96"/>
      <c r="AA545" s="97"/>
      <c r="AB545" s="96"/>
      <c r="AC545" s="98"/>
      <c r="AD545" s="98"/>
      <c r="AE545" s="98"/>
    </row>
    <row r="546" spans="2:31" x14ac:dyDescent="0.3">
      <c r="B546" s="96"/>
      <c r="C546" s="96"/>
      <c r="D546" s="96"/>
      <c r="E546" s="97"/>
      <c r="F546" s="96"/>
      <c r="G546" s="98"/>
      <c r="H546" s="96"/>
      <c r="I546" s="98"/>
      <c r="J546" s="97"/>
      <c r="K546" s="98"/>
      <c r="L546" s="100"/>
      <c r="M546" s="98"/>
      <c r="N546" s="96"/>
      <c r="O546" s="97"/>
      <c r="P546" s="70"/>
      <c r="Q546" s="97"/>
      <c r="R546" s="97"/>
      <c r="S546" s="98"/>
      <c r="T546" s="97"/>
      <c r="U546" s="98"/>
      <c r="V546" s="100"/>
      <c r="W546" s="98"/>
      <c r="X546" s="96"/>
      <c r="Y546" s="98"/>
      <c r="Z546" s="96"/>
      <c r="AA546" s="97"/>
      <c r="AB546" s="96"/>
      <c r="AC546" s="98"/>
      <c r="AD546" s="98"/>
      <c r="AE546" s="98"/>
    </row>
    <row r="547" spans="2:31" x14ac:dyDescent="0.3">
      <c r="B547" s="96"/>
      <c r="C547" s="96"/>
      <c r="D547" s="96"/>
      <c r="E547" s="97"/>
      <c r="F547" s="96"/>
      <c r="G547" s="98"/>
      <c r="H547" s="96"/>
      <c r="I547" s="98"/>
      <c r="J547" s="97"/>
      <c r="K547" s="98"/>
      <c r="L547" s="100"/>
      <c r="M547" s="98"/>
      <c r="N547" s="96"/>
      <c r="O547" s="97"/>
      <c r="P547" s="70"/>
      <c r="Q547" s="97"/>
      <c r="R547" s="97"/>
      <c r="S547" s="98"/>
      <c r="T547" s="97"/>
      <c r="U547" s="98"/>
      <c r="V547" s="100"/>
      <c r="W547" s="98"/>
      <c r="X547" s="96"/>
      <c r="Y547" s="98"/>
      <c r="Z547" s="96"/>
      <c r="AA547" s="97"/>
      <c r="AB547" s="96"/>
      <c r="AC547" s="98"/>
      <c r="AD547" s="98"/>
      <c r="AE547" s="98"/>
    </row>
    <row r="548" spans="2:31" x14ac:dyDescent="0.3">
      <c r="B548" s="96"/>
      <c r="C548" s="96"/>
      <c r="D548" s="96"/>
      <c r="E548" s="97"/>
      <c r="F548" s="96"/>
      <c r="G548" s="98"/>
      <c r="H548" s="96"/>
      <c r="I548" s="98"/>
      <c r="J548" s="97"/>
      <c r="K548" s="98"/>
      <c r="L548" s="100"/>
      <c r="M548" s="98"/>
      <c r="N548" s="96"/>
      <c r="O548" s="97"/>
      <c r="P548" s="70"/>
      <c r="Q548" s="97"/>
      <c r="R548" s="97"/>
      <c r="S548" s="98"/>
      <c r="T548" s="97"/>
      <c r="U548" s="98"/>
      <c r="V548" s="100"/>
      <c r="W548" s="98"/>
      <c r="X548" s="96"/>
      <c r="Y548" s="98"/>
      <c r="Z548" s="96"/>
      <c r="AA548" s="97"/>
      <c r="AB548" s="96"/>
      <c r="AC548" s="98"/>
      <c r="AD548" s="98"/>
      <c r="AE548" s="98"/>
    </row>
    <row r="549" spans="2:31" x14ac:dyDescent="0.3">
      <c r="B549" s="96"/>
      <c r="C549" s="96"/>
      <c r="D549" s="96"/>
      <c r="E549" s="97"/>
      <c r="F549" s="96"/>
      <c r="G549" s="98"/>
      <c r="H549" s="96"/>
      <c r="I549" s="98"/>
      <c r="J549" s="97"/>
      <c r="K549" s="98"/>
      <c r="L549" s="100"/>
      <c r="M549" s="98"/>
      <c r="N549" s="96"/>
      <c r="O549" s="97"/>
      <c r="P549" s="70"/>
      <c r="Q549" s="97"/>
      <c r="R549" s="97"/>
      <c r="S549" s="98"/>
      <c r="T549" s="97"/>
      <c r="U549" s="98"/>
      <c r="V549" s="100"/>
      <c r="W549" s="98"/>
      <c r="X549" s="96"/>
      <c r="Y549" s="98"/>
      <c r="Z549" s="96"/>
      <c r="AA549" s="97"/>
      <c r="AB549" s="96"/>
      <c r="AC549" s="98"/>
      <c r="AD549" s="98"/>
      <c r="AE549" s="98"/>
    </row>
    <row r="550" spans="2:31" x14ac:dyDescent="0.3">
      <c r="B550" s="96"/>
      <c r="C550" s="96"/>
      <c r="D550" s="96"/>
      <c r="E550" s="97"/>
      <c r="F550" s="96"/>
      <c r="G550" s="98"/>
      <c r="H550" s="96"/>
      <c r="I550" s="98"/>
      <c r="J550" s="97"/>
      <c r="K550" s="98"/>
      <c r="L550" s="100"/>
      <c r="M550" s="98"/>
      <c r="N550" s="96"/>
      <c r="O550" s="97"/>
      <c r="P550" s="70"/>
      <c r="Q550" s="97"/>
      <c r="R550" s="97"/>
      <c r="S550" s="98"/>
      <c r="T550" s="97"/>
      <c r="U550" s="98"/>
      <c r="V550" s="100"/>
      <c r="W550" s="98"/>
      <c r="X550" s="96"/>
      <c r="Y550" s="98"/>
      <c r="Z550" s="96"/>
      <c r="AA550" s="97"/>
      <c r="AB550" s="96"/>
      <c r="AC550" s="98"/>
      <c r="AD550" s="98"/>
      <c r="AE550" s="98"/>
    </row>
    <row r="551" spans="2:31" x14ac:dyDescent="0.3">
      <c r="B551" s="96"/>
      <c r="C551" s="96"/>
      <c r="D551" s="96"/>
      <c r="E551" s="97"/>
      <c r="F551" s="96"/>
      <c r="G551" s="98"/>
      <c r="H551" s="96"/>
      <c r="I551" s="98"/>
      <c r="J551" s="97"/>
      <c r="K551" s="98"/>
      <c r="L551" s="100"/>
      <c r="M551" s="98"/>
      <c r="N551" s="96"/>
      <c r="O551" s="97"/>
      <c r="P551" s="70"/>
      <c r="Q551" s="97"/>
      <c r="R551" s="97"/>
      <c r="S551" s="98"/>
      <c r="T551" s="97"/>
      <c r="U551" s="98"/>
      <c r="V551" s="100"/>
      <c r="W551" s="98"/>
      <c r="X551" s="96"/>
      <c r="Y551" s="98"/>
      <c r="Z551" s="96"/>
      <c r="AA551" s="97"/>
      <c r="AB551" s="96"/>
      <c r="AC551" s="98"/>
      <c r="AD551" s="98"/>
      <c r="AE551" s="98"/>
    </row>
    <row r="552" spans="2:31" x14ac:dyDescent="0.3">
      <c r="B552" s="96"/>
      <c r="C552" s="96"/>
      <c r="D552" s="96"/>
      <c r="E552" s="97"/>
      <c r="F552" s="96"/>
      <c r="G552" s="98"/>
      <c r="H552" s="96"/>
      <c r="I552" s="98"/>
      <c r="J552" s="97"/>
      <c r="K552" s="98"/>
      <c r="L552" s="100"/>
      <c r="M552" s="98"/>
      <c r="N552" s="96"/>
      <c r="O552" s="97"/>
      <c r="P552" s="70"/>
      <c r="Q552" s="97"/>
      <c r="R552" s="97"/>
      <c r="S552" s="98"/>
      <c r="T552" s="97"/>
      <c r="U552" s="98"/>
      <c r="V552" s="100"/>
      <c r="W552" s="98"/>
      <c r="X552" s="96"/>
      <c r="Y552" s="98"/>
      <c r="Z552" s="96"/>
      <c r="AA552" s="97"/>
      <c r="AB552" s="96"/>
      <c r="AC552" s="98"/>
      <c r="AD552" s="98"/>
      <c r="AE552" s="98"/>
    </row>
    <row r="553" spans="2:31" x14ac:dyDescent="0.3">
      <c r="B553" s="96"/>
      <c r="C553" s="96"/>
      <c r="D553" s="96"/>
      <c r="E553" s="97"/>
      <c r="F553" s="96"/>
      <c r="G553" s="98"/>
      <c r="H553" s="96"/>
      <c r="I553" s="98"/>
      <c r="J553" s="97"/>
      <c r="K553" s="98"/>
      <c r="L553" s="100"/>
      <c r="M553" s="98"/>
      <c r="N553" s="96"/>
      <c r="O553" s="97"/>
      <c r="P553" s="70"/>
      <c r="Q553" s="97"/>
      <c r="R553" s="97"/>
      <c r="S553" s="98"/>
      <c r="T553" s="97"/>
      <c r="U553" s="98"/>
      <c r="V553" s="100"/>
      <c r="W553" s="98"/>
      <c r="X553" s="96"/>
      <c r="Y553" s="98"/>
      <c r="Z553" s="96"/>
      <c r="AA553" s="97"/>
      <c r="AB553" s="96"/>
      <c r="AC553" s="98"/>
      <c r="AD553" s="98"/>
      <c r="AE553" s="98"/>
    </row>
    <row r="554" spans="2:31" x14ac:dyDescent="0.3">
      <c r="B554" s="96"/>
      <c r="C554" s="96"/>
      <c r="D554" s="96"/>
      <c r="E554" s="97"/>
      <c r="F554" s="96"/>
      <c r="G554" s="98"/>
      <c r="H554" s="96"/>
      <c r="I554" s="98"/>
      <c r="J554" s="97"/>
      <c r="K554" s="98"/>
      <c r="L554" s="100"/>
      <c r="M554" s="98"/>
      <c r="N554" s="96"/>
      <c r="O554" s="97"/>
      <c r="P554" s="70"/>
      <c r="Q554" s="97"/>
      <c r="R554" s="97"/>
      <c r="S554" s="98"/>
      <c r="T554" s="97"/>
      <c r="U554" s="98"/>
      <c r="V554" s="100"/>
      <c r="W554" s="98"/>
      <c r="X554" s="96"/>
      <c r="Y554" s="98"/>
      <c r="Z554" s="96"/>
      <c r="AA554" s="97"/>
      <c r="AB554" s="96"/>
      <c r="AC554" s="98"/>
      <c r="AD554" s="98"/>
      <c r="AE554" s="98"/>
    </row>
    <row r="555" spans="2:31" x14ac:dyDescent="0.3">
      <c r="B555" s="96"/>
      <c r="C555" s="96"/>
      <c r="D555" s="96"/>
      <c r="E555" s="97"/>
      <c r="F555" s="96"/>
      <c r="G555" s="98"/>
      <c r="H555" s="96"/>
      <c r="I555" s="98"/>
      <c r="J555" s="97"/>
      <c r="K555" s="98"/>
      <c r="L555" s="100"/>
      <c r="M555" s="98"/>
      <c r="N555" s="96"/>
      <c r="O555" s="97"/>
      <c r="P555" s="70"/>
      <c r="Q555" s="97"/>
      <c r="R555" s="97"/>
      <c r="S555" s="98"/>
      <c r="T555" s="97"/>
      <c r="U555" s="98"/>
      <c r="V555" s="100"/>
      <c r="W555" s="98"/>
      <c r="X555" s="96"/>
      <c r="Y555" s="98"/>
      <c r="Z555" s="96"/>
      <c r="AA555" s="97"/>
      <c r="AB555" s="96"/>
      <c r="AC555" s="98"/>
      <c r="AD555" s="98"/>
      <c r="AE555" s="98"/>
    </row>
    <row r="556" spans="2:31" x14ac:dyDescent="0.3">
      <c r="B556" s="96"/>
      <c r="C556" s="96"/>
      <c r="D556" s="96"/>
      <c r="E556" s="97"/>
      <c r="F556" s="96"/>
      <c r="G556" s="98"/>
      <c r="H556" s="96"/>
      <c r="I556" s="98"/>
      <c r="J556" s="97"/>
      <c r="K556" s="98"/>
      <c r="L556" s="100"/>
      <c r="M556" s="98"/>
      <c r="N556" s="96"/>
      <c r="O556" s="97"/>
      <c r="P556" s="70"/>
      <c r="Q556" s="97"/>
      <c r="R556" s="97"/>
      <c r="S556" s="98"/>
      <c r="T556" s="97"/>
      <c r="U556" s="98"/>
      <c r="V556" s="100"/>
      <c r="W556" s="98"/>
      <c r="X556" s="96"/>
      <c r="Y556" s="98"/>
      <c r="Z556" s="96"/>
      <c r="AA556" s="97"/>
      <c r="AB556" s="96"/>
      <c r="AC556" s="98"/>
      <c r="AD556" s="98"/>
      <c r="AE556" s="98"/>
    </row>
    <row r="557" spans="2:31" x14ac:dyDescent="0.3">
      <c r="B557" s="96"/>
      <c r="C557" s="96"/>
      <c r="D557" s="96"/>
      <c r="E557" s="97"/>
      <c r="F557" s="96"/>
      <c r="G557" s="98"/>
      <c r="H557" s="96"/>
      <c r="I557" s="98"/>
      <c r="J557" s="97"/>
      <c r="K557" s="98"/>
      <c r="L557" s="100"/>
      <c r="M557" s="98"/>
      <c r="N557" s="96"/>
      <c r="O557" s="97"/>
      <c r="P557" s="70"/>
      <c r="Q557" s="97"/>
      <c r="R557" s="97"/>
      <c r="S557" s="98"/>
      <c r="T557" s="97"/>
      <c r="U557" s="98"/>
      <c r="V557" s="100"/>
      <c r="W557" s="98"/>
      <c r="X557" s="96"/>
      <c r="Y557" s="98"/>
      <c r="Z557" s="96"/>
      <c r="AA557" s="97"/>
      <c r="AB557" s="96"/>
      <c r="AC557" s="98"/>
      <c r="AD557" s="98"/>
      <c r="AE557" s="98"/>
    </row>
    <row r="558" spans="2:31" x14ac:dyDescent="0.3">
      <c r="B558" s="96"/>
      <c r="C558" s="96"/>
      <c r="D558" s="96"/>
      <c r="E558" s="97"/>
      <c r="F558" s="96"/>
      <c r="G558" s="98"/>
      <c r="H558" s="96"/>
      <c r="I558" s="98"/>
      <c r="J558" s="97"/>
      <c r="K558" s="98"/>
      <c r="L558" s="100"/>
      <c r="M558" s="98"/>
      <c r="N558" s="96"/>
      <c r="O558" s="97"/>
      <c r="P558" s="70"/>
      <c r="Q558" s="97"/>
      <c r="R558" s="97"/>
      <c r="S558" s="98"/>
      <c r="T558" s="97"/>
      <c r="U558" s="98"/>
      <c r="V558" s="100"/>
      <c r="W558" s="98"/>
      <c r="X558" s="96"/>
      <c r="Y558" s="98"/>
      <c r="Z558" s="96"/>
      <c r="AA558" s="97"/>
      <c r="AB558" s="96"/>
      <c r="AC558" s="98"/>
      <c r="AD558" s="98"/>
      <c r="AE558" s="98"/>
    </row>
    <row r="559" spans="2:31" x14ac:dyDescent="0.3">
      <c r="B559" s="96"/>
      <c r="C559" s="96"/>
      <c r="D559" s="96"/>
      <c r="E559" s="97"/>
      <c r="F559" s="96"/>
      <c r="G559" s="98"/>
      <c r="H559" s="96"/>
      <c r="I559" s="98"/>
      <c r="J559" s="97"/>
      <c r="K559" s="98"/>
      <c r="L559" s="100"/>
      <c r="M559" s="98"/>
      <c r="N559" s="96"/>
      <c r="O559" s="97"/>
      <c r="P559" s="70"/>
      <c r="Q559" s="97"/>
      <c r="R559" s="97"/>
      <c r="S559" s="98"/>
      <c r="T559" s="97"/>
      <c r="U559" s="98"/>
      <c r="V559" s="100"/>
      <c r="W559" s="98"/>
      <c r="X559" s="96"/>
      <c r="Y559" s="98"/>
      <c r="Z559" s="96"/>
      <c r="AA559" s="97"/>
      <c r="AB559" s="96"/>
      <c r="AC559" s="98"/>
      <c r="AD559" s="98"/>
      <c r="AE559" s="98"/>
    </row>
    <row r="560" spans="2:31" x14ac:dyDescent="0.3">
      <c r="B560" s="96"/>
      <c r="C560" s="96"/>
      <c r="D560" s="96"/>
      <c r="E560" s="97"/>
      <c r="F560" s="96"/>
      <c r="G560" s="98"/>
      <c r="H560" s="96"/>
      <c r="I560" s="98"/>
      <c r="J560" s="97"/>
      <c r="K560" s="98"/>
      <c r="L560" s="100"/>
      <c r="M560" s="98"/>
      <c r="N560" s="96"/>
      <c r="O560" s="97"/>
      <c r="P560" s="70"/>
      <c r="Q560" s="97"/>
      <c r="R560" s="97"/>
      <c r="S560" s="98"/>
      <c r="T560" s="97"/>
      <c r="U560" s="98"/>
      <c r="V560" s="100"/>
      <c r="W560" s="98"/>
      <c r="X560" s="96"/>
      <c r="Y560" s="98"/>
      <c r="Z560" s="96"/>
      <c r="AA560" s="97"/>
      <c r="AB560" s="96"/>
      <c r="AC560" s="98"/>
      <c r="AD560" s="98"/>
      <c r="AE560" s="98"/>
    </row>
    <row r="561" spans="2:31" x14ac:dyDescent="0.3">
      <c r="B561" s="96"/>
      <c r="C561" s="96"/>
      <c r="D561" s="96"/>
      <c r="E561" s="97"/>
      <c r="F561" s="96"/>
      <c r="G561" s="98"/>
      <c r="H561" s="96"/>
      <c r="I561" s="98"/>
      <c r="J561" s="97"/>
      <c r="K561" s="98"/>
      <c r="L561" s="100"/>
      <c r="M561" s="98"/>
      <c r="N561" s="96"/>
      <c r="O561" s="97"/>
      <c r="P561" s="70"/>
      <c r="Q561" s="97"/>
      <c r="R561" s="97"/>
      <c r="S561" s="98"/>
      <c r="T561" s="97"/>
      <c r="U561" s="98"/>
      <c r="V561" s="100"/>
      <c r="W561" s="98"/>
      <c r="X561" s="96"/>
      <c r="Y561" s="98"/>
      <c r="Z561" s="96"/>
      <c r="AA561" s="97"/>
      <c r="AB561" s="96"/>
      <c r="AC561" s="98"/>
      <c r="AD561" s="98"/>
      <c r="AE561" s="98"/>
    </row>
    <row r="562" spans="2:31" x14ac:dyDescent="0.3">
      <c r="B562" s="96"/>
      <c r="C562" s="96"/>
      <c r="D562" s="96"/>
      <c r="E562" s="97"/>
      <c r="F562" s="96"/>
      <c r="G562" s="98"/>
      <c r="H562" s="96"/>
      <c r="I562" s="98"/>
      <c r="J562" s="97"/>
      <c r="K562" s="98"/>
      <c r="L562" s="100"/>
      <c r="M562" s="98"/>
      <c r="N562" s="96"/>
      <c r="O562" s="97"/>
      <c r="P562" s="70"/>
      <c r="Q562" s="97"/>
      <c r="R562" s="97"/>
      <c r="S562" s="98"/>
      <c r="T562" s="97"/>
      <c r="U562" s="98"/>
      <c r="V562" s="100"/>
      <c r="W562" s="98"/>
      <c r="X562" s="96"/>
      <c r="Y562" s="98"/>
      <c r="Z562" s="96"/>
      <c r="AA562" s="97"/>
      <c r="AB562" s="96"/>
      <c r="AC562" s="98"/>
      <c r="AD562" s="98"/>
      <c r="AE562" s="98"/>
    </row>
    <row r="563" spans="2:31" x14ac:dyDescent="0.3">
      <c r="B563" s="96"/>
      <c r="C563" s="96"/>
      <c r="D563" s="96"/>
      <c r="E563" s="97"/>
      <c r="F563" s="96"/>
      <c r="G563" s="98"/>
      <c r="H563" s="96"/>
      <c r="I563" s="98"/>
      <c r="J563" s="97"/>
      <c r="K563" s="98"/>
      <c r="L563" s="100"/>
      <c r="M563" s="98"/>
      <c r="N563" s="96"/>
      <c r="O563" s="97"/>
      <c r="P563" s="70"/>
      <c r="Q563" s="97"/>
      <c r="R563" s="97"/>
      <c r="S563" s="98"/>
      <c r="T563" s="97"/>
      <c r="U563" s="98"/>
      <c r="V563" s="100"/>
      <c r="W563" s="98"/>
      <c r="X563" s="96"/>
      <c r="Y563" s="98"/>
      <c r="Z563" s="96"/>
      <c r="AA563" s="97"/>
      <c r="AB563" s="96"/>
      <c r="AC563" s="98"/>
      <c r="AD563" s="98"/>
      <c r="AE563" s="98"/>
    </row>
    <row r="564" spans="2:31" x14ac:dyDescent="0.3">
      <c r="B564" s="96"/>
      <c r="C564" s="96"/>
      <c r="D564" s="96"/>
      <c r="E564" s="97"/>
      <c r="F564" s="96"/>
      <c r="G564" s="98"/>
      <c r="H564" s="96"/>
      <c r="I564" s="98"/>
      <c r="J564" s="97"/>
      <c r="K564" s="98"/>
      <c r="L564" s="100"/>
      <c r="M564" s="98"/>
      <c r="N564" s="96"/>
      <c r="O564" s="97"/>
      <c r="P564" s="70"/>
      <c r="Q564" s="97"/>
      <c r="R564" s="97"/>
      <c r="S564" s="98"/>
      <c r="T564" s="97"/>
      <c r="U564" s="98"/>
      <c r="V564" s="100"/>
      <c r="W564" s="98"/>
      <c r="X564" s="96"/>
      <c r="Y564" s="98"/>
      <c r="Z564" s="96"/>
      <c r="AA564" s="97"/>
      <c r="AB564" s="96"/>
      <c r="AC564" s="98"/>
      <c r="AD564" s="98"/>
      <c r="AE564" s="98"/>
    </row>
    <row r="565" spans="2:31" x14ac:dyDescent="0.3">
      <c r="B565" s="96"/>
      <c r="C565" s="96"/>
      <c r="D565" s="96"/>
      <c r="E565" s="97"/>
      <c r="F565" s="96"/>
      <c r="G565" s="98"/>
      <c r="H565" s="96"/>
      <c r="I565" s="98"/>
      <c r="J565" s="97"/>
      <c r="K565" s="98"/>
      <c r="L565" s="100"/>
      <c r="M565" s="98"/>
      <c r="N565" s="96"/>
      <c r="O565" s="97"/>
      <c r="P565" s="70"/>
      <c r="Q565" s="97"/>
      <c r="R565" s="97"/>
      <c r="S565" s="98"/>
      <c r="T565" s="97"/>
      <c r="U565" s="98"/>
      <c r="V565" s="100"/>
      <c r="W565" s="98"/>
      <c r="X565" s="96"/>
      <c r="Y565" s="98"/>
      <c r="Z565" s="96"/>
      <c r="AA565" s="97"/>
      <c r="AB565" s="96"/>
      <c r="AC565" s="98"/>
      <c r="AD565" s="98"/>
      <c r="AE565" s="98"/>
    </row>
    <row r="566" spans="2:31" x14ac:dyDescent="0.3">
      <c r="B566" s="96"/>
      <c r="C566" s="96"/>
      <c r="D566" s="96"/>
      <c r="E566" s="97"/>
      <c r="F566" s="96"/>
      <c r="G566" s="98"/>
      <c r="H566" s="96"/>
      <c r="I566" s="98"/>
      <c r="J566" s="97"/>
      <c r="K566" s="98"/>
      <c r="L566" s="100"/>
      <c r="M566" s="98"/>
      <c r="N566" s="96"/>
      <c r="O566" s="97"/>
      <c r="P566" s="70"/>
      <c r="Q566" s="97"/>
      <c r="R566" s="97"/>
      <c r="S566" s="98"/>
      <c r="T566" s="97"/>
      <c r="U566" s="98"/>
      <c r="V566" s="100"/>
      <c r="W566" s="98"/>
      <c r="X566" s="96"/>
      <c r="Y566" s="98"/>
      <c r="Z566" s="96"/>
      <c r="AA566" s="97"/>
      <c r="AB566" s="96"/>
      <c r="AC566" s="98"/>
      <c r="AD566" s="98"/>
      <c r="AE566" s="98"/>
    </row>
    <row r="567" spans="2:31" x14ac:dyDescent="0.3">
      <c r="B567" s="96"/>
      <c r="C567" s="96"/>
      <c r="D567" s="96"/>
      <c r="E567" s="97"/>
      <c r="F567" s="96"/>
      <c r="G567" s="98"/>
      <c r="H567" s="96"/>
      <c r="I567" s="98"/>
      <c r="J567" s="97"/>
      <c r="K567" s="98"/>
      <c r="L567" s="100"/>
      <c r="M567" s="98"/>
      <c r="N567" s="96"/>
      <c r="O567" s="97"/>
      <c r="P567" s="70"/>
      <c r="Q567" s="97"/>
      <c r="R567" s="97"/>
      <c r="S567" s="98"/>
      <c r="T567" s="97"/>
      <c r="U567" s="98"/>
      <c r="V567" s="100"/>
      <c r="W567" s="98"/>
      <c r="X567" s="96"/>
      <c r="Y567" s="98"/>
      <c r="Z567" s="96"/>
      <c r="AA567" s="97"/>
      <c r="AB567" s="96"/>
      <c r="AC567" s="98"/>
      <c r="AD567" s="98"/>
      <c r="AE567" s="98"/>
    </row>
    <row r="568" spans="2:31" x14ac:dyDescent="0.3">
      <c r="B568" s="96"/>
      <c r="C568" s="96"/>
      <c r="D568" s="96"/>
      <c r="E568" s="97"/>
      <c r="F568" s="96"/>
      <c r="G568" s="98"/>
      <c r="H568" s="96"/>
      <c r="I568" s="98"/>
      <c r="J568" s="97"/>
      <c r="K568" s="98"/>
      <c r="L568" s="100"/>
      <c r="M568" s="98"/>
      <c r="N568" s="96"/>
      <c r="O568" s="97"/>
      <c r="P568" s="70"/>
      <c r="Q568" s="97"/>
      <c r="R568" s="97"/>
      <c r="S568" s="98"/>
      <c r="T568" s="97"/>
      <c r="U568" s="98"/>
      <c r="V568" s="100"/>
      <c r="W568" s="98"/>
      <c r="X568" s="96"/>
      <c r="Y568" s="98"/>
      <c r="Z568" s="96"/>
      <c r="AA568" s="97"/>
      <c r="AB568" s="96"/>
      <c r="AC568" s="98"/>
      <c r="AD568" s="98"/>
      <c r="AE568" s="98"/>
    </row>
    <row r="569" spans="2:31" x14ac:dyDescent="0.3">
      <c r="B569" s="96"/>
      <c r="C569" s="96"/>
      <c r="D569" s="96"/>
      <c r="E569" s="97"/>
      <c r="F569" s="96"/>
      <c r="G569" s="98"/>
      <c r="H569" s="96"/>
      <c r="I569" s="98"/>
      <c r="J569" s="97"/>
      <c r="K569" s="98"/>
      <c r="L569" s="100"/>
      <c r="M569" s="98"/>
      <c r="N569" s="96"/>
      <c r="O569" s="97"/>
      <c r="P569" s="70"/>
      <c r="Q569" s="97"/>
      <c r="R569" s="97"/>
      <c r="S569" s="98"/>
      <c r="T569" s="97"/>
      <c r="U569" s="98"/>
      <c r="V569" s="100"/>
      <c r="W569" s="98"/>
      <c r="X569" s="96"/>
      <c r="Y569" s="98"/>
      <c r="Z569" s="96"/>
      <c r="AA569" s="97"/>
      <c r="AB569" s="96"/>
      <c r="AC569" s="98"/>
      <c r="AD569" s="98"/>
      <c r="AE569" s="98"/>
    </row>
    <row r="570" spans="2:31" x14ac:dyDescent="0.3">
      <c r="B570" s="96"/>
      <c r="C570" s="96"/>
      <c r="D570" s="96"/>
      <c r="E570" s="97"/>
      <c r="F570" s="96"/>
      <c r="G570" s="98"/>
      <c r="H570" s="96"/>
      <c r="I570" s="98"/>
      <c r="J570" s="97"/>
      <c r="K570" s="98"/>
      <c r="L570" s="100"/>
      <c r="M570" s="98"/>
      <c r="N570" s="96"/>
      <c r="O570" s="97"/>
      <c r="P570" s="70"/>
      <c r="Q570" s="97"/>
      <c r="R570" s="97"/>
      <c r="S570" s="98"/>
      <c r="T570" s="97"/>
      <c r="U570" s="98"/>
      <c r="V570" s="100"/>
      <c r="W570" s="98"/>
      <c r="X570" s="96"/>
      <c r="Y570" s="98"/>
      <c r="Z570" s="96"/>
      <c r="AA570" s="97"/>
      <c r="AB570" s="96"/>
      <c r="AC570" s="98"/>
      <c r="AD570" s="98"/>
      <c r="AE570" s="98"/>
    </row>
    <row r="571" spans="2:31" x14ac:dyDescent="0.3">
      <c r="B571" s="96"/>
      <c r="C571" s="96"/>
      <c r="D571" s="96"/>
      <c r="E571" s="97"/>
      <c r="F571" s="96"/>
      <c r="G571" s="98"/>
      <c r="H571" s="96"/>
      <c r="I571" s="98"/>
      <c r="J571" s="97"/>
      <c r="K571" s="98"/>
      <c r="L571" s="100"/>
      <c r="M571" s="98"/>
      <c r="N571" s="96"/>
      <c r="O571" s="97"/>
      <c r="P571" s="70"/>
      <c r="Q571" s="97"/>
      <c r="R571" s="97"/>
      <c r="S571" s="98"/>
      <c r="T571" s="97"/>
      <c r="U571" s="98"/>
      <c r="V571" s="100"/>
      <c r="W571" s="98"/>
      <c r="X571" s="96"/>
      <c r="Y571" s="98"/>
      <c r="Z571" s="96"/>
      <c r="AA571" s="97"/>
      <c r="AB571" s="96"/>
      <c r="AC571" s="98"/>
      <c r="AD571" s="98"/>
      <c r="AE571" s="98"/>
    </row>
    <row r="572" spans="2:31" x14ac:dyDescent="0.3">
      <c r="B572" s="96"/>
      <c r="C572" s="96"/>
      <c r="D572" s="96"/>
      <c r="E572" s="97"/>
      <c r="F572" s="96"/>
      <c r="G572" s="98"/>
      <c r="H572" s="96"/>
      <c r="I572" s="98"/>
      <c r="J572" s="97"/>
      <c r="K572" s="98"/>
      <c r="L572" s="100"/>
      <c r="M572" s="98"/>
      <c r="N572" s="96"/>
      <c r="O572" s="97"/>
      <c r="P572" s="70"/>
      <c r="Q572" s="97"/>
      <c r="R572" s="97"/>
      <c r="S572" s="98"/>
      <c r="T572" s="97"/>
      <c r="U572" s="98"/>
      <c r="V572" s="100"/>
      <c r="W572" s="98"/>
      <c r="X572" s="96"/>
      <c r="Y572" s="98"/>
      <c r="Z572" s="96"/>
      <c r="AA572" s="97"/>
      <c r="AB572" s="96"/>
      <c r="AC572" s="98"/>
      <c r="AD572" s="98"/>
      <c r="AE572" s="98"/>
    </row>
    <row r="573" spans="2:31" x14ac:dyDescent="0.3">
      <c r="B573" s="96"/>
      <c r="C573" s="96"/>
      <c r="D573" s="96"/>
      <c r="E573" s="97"/>
      <c r="F573" s="96"/>
      <c r="G573" s="98"/>
      <c r="H573" s="96"/>
      <c r="I573" s="98"/>
      <c r="J573" s="97"/>
      <c r="K573" s="98"/>
      <c r="L573" s="100"/>
      <c r="M573" s="98"/>
      <c r="N573" s="96"/>
      <c r="O573" s="97"/>
      <c r="P573" s="70"/>
      <c r="Q573" s="97"/>
      <c r="R573" s="97"/>
      <c r="S573" s="98"/>
      <c r="T573" s="97"/>
      <c r="U573" s="98"/>
      <c r="V573" s="100"/>
      <c r="W573" s="98"/>
      <c r="X573" s="96"/>
      <c r="Y573" s="98"/>
      <c r="Z573" s="96"/>
      <c r="AA573" s="97"/>
      <c r="AB573" s="96"/>
      <c r="AC573" s="98"/>
      <c r="AD573" s="98"/>
      <c r="AE573" s="98"/>
    </row>
    <row r="574" spans="2:31" x14ac:dyDescent="0.3">
      <c r="B574" s="96"/>
      <c r="C574" s="96"/>
      <c r="D574" s="96"/>
      <c r="E574" s="97"/>
      <c r="F574" s="96"/>
      <c r="G574" s="98"/>
      <c r="H574" s="96"/>
      <c r="I574" s="98"/>
      <c r="J574" s="97"/>
      <c r="K574" s="98"/>
      <c r="L574" s="100"/>
      <c r="M574" s="98"/>
      <c r="N574" s="96"/>
      <c r="O574" s="97"/>
      <c r="P574" s="70"/>
      <c r="Q574" s="97"/>
      <c r="R574" s="97"/>
      <c r="S574" s="98"/>
      <c r="T574" s="97"/>
      <c r="U574" s="98"/>
      <c r="V574" s="100"/>
      <c r="W574" s="98"/>
      <c r="X574" s="96"/>
      <c r="Y574" s="98"/>
      <c r="Z574" s="96"/>
      <c r="AA574" s="97"/>
      <c r="AB574" s="96"/>
      <c r="AC574" s="98"/>
      <c r="AD574" s="98"/>
      <c r="AE574" s="98"/>
    </row>
    <row r="575" spans="2:31" x14ac:dyDescent="0.3">
      <c r="B575" s="96"/>
      <c r="C575" s="96"/>
      <c r="D575" s="96"/>
      <c r="E575" s="97"/>
      <c r="F575" s="96"/>
      <c r="G575" s="98"/>
      <c r="H575" s="96"/>
      <c r="I575" s="98"/>
      <c r="J575" s="97"/>
      <c r="K575" s="98"/>
      <c r="L575" s="100"/>
      <c r="M575" s="98"/>
      <c r="N575" s="96"/>
      <c r="O575" s="97"/>
      <c r="P575" s="70"/>
      <c r="Q575" s="97"/>
      <c r="R575" s="97"/>
      <c r="S575" s="98"/>
      <c r="T575" s="97"/>
      <c r="U575" s="98"/>
      <c r="V575" s="100"/>
      <c r="W575" s="98"/>
      <c r="X575" s="96"/>
      <c r="Y575" s="98"/>
      <c r="Z575" s="96"/>
      <c r="AA575" s="97"/>
      <c r="AB575" s="96"/>
      <c r="AC575" s="98"/>
      <c r="AD575" s="98"/>
      <c r="AE575" s="98"/>
    </row>
    <row r="576" spans="2:31" x14ac:dyDescent="0.3">
      <c r="B576" s="96"/>
      <c r="C576" s="96"/>
      <c r="D576" s="96"/>
      <c r="E576" s="97"/>
      <c r="F576" s="96"/>
      <c r="G576" s="98"/>
      <c r="H576" s="96"/>
      <c r="I576" s="98"/>
      <c r="J576" s="97"/>
      <c r="K576" s="98"/>
      <c r="L576" s="100"/>
      <c r="M576" s="98"/>
      <c r="N576" s="96"/>
      <c r="O576" s="97"/>
      <c r="P576" s="70"/>
      <c r="Q576" s="97"/>
      <c r="R576" s="97"/>
      <c r="S576" s="98"/>
      <c r="T576" s="97"/>
      <c r="U576" s="98"/>
      <c r="V576" s="100"/>
      <c r="W576" s="98"/>
      <c r="X576" s="96"/>
      <c r="Y576" s="98"/>
      <c r="Z576" s="96"/>
      <c r="AA576" s="97"/>
      <c r="AB576" s="96"/>
      <c r="AC576" s="98"/>
      <c r="AD576" s="98"/>
      <c r="AE576" s="98"/>
    </row>
    <row r="577" spans="2:31" x14ac:dyDescent="0.3">
      <c r="B577" s="96"/>
      <c r="C577" s="96"/>
      <c r="D577" s="96"/>
      <c r="E577" s="97"/>
      <c r="F577" s="96"/>
      <c r="G577" s="98"/>
      <c r="H577" s="96"/>
      <c r="I577" s="98"/>
      <c r="J577" s="97"/>
      <c r="K577" s="98"/>
      <c r="L577" s="100"/>
      <c r="M577" s="98"/>
      <c r="N577" s="96"/>
      <c r="O577" s="97"/>
      <c r="P577" s="70"/>
      <c r="Q577" s="97"/>
      <c r="R577" s="97"/>
      <c r="S577" s="98"/>
      <c r="T577" s="97"/>
      <c r="U577" s="98"/>
      <c r="V577" s="100"/>
      <c r="W577" s="98"/>
      <c r="X577" s="96"/>
      <c r="Y577" s="98"/>
      <c r="Z577" s="96"/>
      <c r="AA577" s="97"/>
      <c r="AB577" s="96"/>
      <c r="AC577" s="98"/>
      <c r="AD577" s="98"/>
      <c r="AE577" s="98"/>
    </row>
    <row r="578" spans="2:31" x14ac:dyDescent="0.3">
      <c r="B578" s="96"/>
      <c r="C578" s="96"/>
      <c r="D578" s="96"/>
      <c r="E578" s="97"/>
      <c r="F578" s="96"/>
      <c r="G578" s="98"/>
      <c r="H578" s="96"/>
      <c r="I578" s="98"/>
      <c r="J578" s="97"/>
      <c r="K578" s="98"/>
      <c r="L578" s="100"/>
      <c r="M578" s="98"/>
      <c r="N578" s="96"/>
      <c r="O578" s="97"/>
      <c r="P578" s="70"/>
      <c r="Q578" s="97"/>
      <c r="R578" s="97"/>
      <c r="S578" s="98"/>
      <c r="T578" s="97"/>
      <c r="U578" s="98"/>
      <c r="V578" s="100"/>
      <c r="W578" s="98"/>
      <c r="X578" s="96"/>
      <c r="Y578" s="98"/>
      <c r="Z578" s="96"/>
      <c r="AA578" s="97"/>
      <c r="AB578" s="96"/>
      <c r="AC578" s="98"/>
      <c r="AD578" s="98"/>
      <c r="AE578" s="98"/>
    </row>
    <row r="579" spans="2:31" x14ac:dyDescent="0.3">
      <c r="B579" s="96"/>
      <c r="C579" s="96"/>
      <c r="D579" s="96"/>
      <c r="E579" s="97"/>
      <c r="F579" s="96"/>
      <c r="G579" s="98"/>
      <c r="H579" s="96"/>
      <c r="I579" s="98"/>
      <c r="J579" s="97"/>
      <c r="K579" s="98"/>
      <c r="L579" s="100"/>
      <c r="M579" s="98"/>
      <c r="N579" s="96"/>
      <c r="O579" s="97"/>
      <c r="P579" s="70"/>
      <c r="Q579" s="97"/>
      <c r="R579" s="97"/>
      <c r="S579" s="98"/>
      <c r="T579" s="97"/>
      <c r="U579" s="98"/>
      <c r="V579" s="100"/>
      <c r="W579" s="98"/>
      <c r="X579" s="96"/>
      <c r="Y579" s="98"/>
      <c r="Z579" s="96"/>
      <c r="AA579" s="97"/>
      <c r="AB579" s="96"/>
      <c r="AC579" s="98"/>
      <c r="AD579" s="98"/>
      <c r="AE579" s="98"/>
    </row>
    <row r="580" spans="2:31" x14ac:dyDescent="0.3">
      <c r="B580" s="96"/>
      <c r="C580" s="96"/>
      <c r="D580" s="96"/>
      <c r="E580" s="97"/>
      <c r="F580" s="96"/>
      <c r="G580" s="98"/>
      <c r="H580" s="96"/>
      <c r="I580" s="98"/>
      <c r="J580" s="97"/>
      <c r="K580" s="98"/>
      <c r="L580" s="100"/>
      <c r="M580" s="98"/>
      <c r="N580" s="96"/>
      <c r="O580" s="97"/>
      <c r="P580" s="70"/>
      <c r="Q580" s="97"/>
      <c r="R580" s="97"/>
      <c r="S580" s="98"/>
      <c r="T580" s="97"/>
      <c r="U580" s="98"/>
      <c r="V580" s="100"/>
      <c r="W580" s="98"/>
      <c r="X580" s="96"/>
      <c r="Y580" s="98"/>
      <c r="Z580" s="96"/>
      <c r="AA580" s="97"/>
      <c r="AB580" s="96"/>
      <c r="AC580" s="98"/>
      <c r="AD580" s="98"/>
      <c r="AE580" s="98"/>
    </row>
    <row r="581" spans="2:31" x14ac:dyDescent="0.3">
      <c r="B581" s="96"/>
      <c r="C581" s="96"/>
      <c r="D581" s="96"/>
      <c r="E581" s="97"/>
      <c r="F581" s="96"/>
      <c r="G581" s="98"/>
      <c r="H581" s="96"/>
      <c r="I581" s="98"/>
      <c r="J581" s="97"/>
      <c r="K581" s="98"/>
      <c r="L581" s="100"/>
      <c r="M581" s="98"/>
      <c r="N581" s="96"/>
      <c r="O581" s="97"/>
      <c r="P581" s="70"/>
      <c r="Q581" s="97"/>
      <c r="R581" s="97"/>
      <c r="S581" s="98"/>
      <c r="T581" s="97"/>
      <c r="U581" s="98"/>
      <c r="V581" s="100"/>
      <c r="W581" s="98"/>
      <c r="X581" s="96"/>
      <c r="Y581" s="98"/>
      <c r="Z581" s="96"/>
      <c r="AA581" s="97"/>
      <c r="AB581" s="96"/>
      <c r="AC581" s="98"/>
      <c r="AD581" s="98"/>
      <c r="AE581" s="98"/>
    </row>
    <row r="582" spans="2:31" x14ac:dyDescent="0.3">
      <c r="B582" s="96"/>
      <c r="C582" s="96"/>
      <c r="D582" s="96"/>
      <c r="E582" s="97"/>
      <c r="F582" s="96"/>
      <c r="G582" s="98"/>
      <c r="H582" s="96"/>
      <c r="I582" s="98"/>
      <c r="J582" s="97"/>
      <c r="K582" s="98"/>
      <c r="L582" s="100"/>
      <c r="M582" s="98"/>
      <c r="N582" s="96"/>
      <c r="O582" s="97"/>
      <c r="P582" s="70"/>
      <c r="Q582" s="97"/>
      <c r="R582" s="97"/>
      <c r="S582" s="98"/>
      <c r="T582" s="97"/>
      <c r="U582" s="98"/>
      <c r="V582" s="100"/>
      <c r="W582" s="98"/>
      <c r="X582" s="96"/>
      <c r="Y582" s="98"/>
      <c r="Z582" s="96"/>
      <c r="AA582" s="97"/>
      <c r="AB582" s="96"/>
      <c r="AC582" s="98"/>
      <c r="AD582" s="98"/>
      <c r="AE582" s="98"/>
    </row>
    <row r="583" spans="2:31" x14ac:dyDescent="0.3">
      <c r="B583" s="96"/>
      <c r="C583" s="96"/>
      <c r="D583" s="96"/>
      <c r="E583" s="97"/>
      <c r="F583" s="96"/>
      <c r="G583" s="98"/>
      <c r="H583" s="96"/>
      <c r="I583" s="98"/>
      <c r="J583" s="97"/>
      <c r="K583" s="98"/>
      <c r="L583" s="100"/>
      <c r="M583" s="98"/>
      <c r="N583" s="96"/>
      <c r="O583" s="97"/>
      <c r="P583" s="70"/>
      <c r="Q583" s="97"/>
      <c r="R583" s="97"/>
      <c r="S583" s="98"/>
      <c r="T583" s="97"/>
      <c r="U583" s="98"/>
      <c r="V583" s="100"/>
      <c r="W583" s="98"/>
      <c r="X583" s="96"/>
      <c r="Y583" s="98"/>
      <c r="Z583" s="96"/>
      <c r="AA583" s="97"/>
      <c r="AB583" s="96"/>
      <c r="AC583" s="98"/>
      <c r="AD583" s="98"/>
      <c r="AE583" s="98"/>
    </row>
    <row r="584" spans="2:31" x14ac:dyDescent="0.3">
      <c r="B584" s="96"/>
      <c r="C584" s="96"/>
      <c r="D584" s="96"/>
      <c r="E584" s="97"/>
      <c r="F584" s="96"/>
      <c r="G584" s="98"/>
      <c r="H584" s="96"/>
      <c r="I584" s="98"/>
      <c r="J584" s="97"/>
      <c r="K584" s="98"/>
      <c r="L584" s="100"/>
      <c r="M584" s="98"/>
      <c r="N584" s="96"/>
      <c r="O584" s="97"/>
      <c r="P584" s="70"/>
      <c r="Q584" s="97"/>
      <c r="R584" s="97"/>
      <c r="S584" s="98"/>
      <c r="T584" s="97"/>
      <c r="U584" s="98"/>
      <c r="V584" s="100"/>
      <c r="W584" s="98"/>
      <c r="X584" s="96"/>
      <c r="Y584" s="98"/>
      <c r="Z584" s="96"/>
      <c r="AA584" s="97"/>
      <c r="AB584" s="96"/>
      <c r="AC584" s="98"/>
      <c r="AD584" s="98"/>
      <c r="AE584" s="98"/>
    </row>
    <row r="585" spans="2:31" x14ac:dyDescent="0.3">
      <c r="B585" s="96"/>
      <c r="C585" s="96"/>
      <c r="D585" s="96"/>
      <c r="E585" s="97"/>
      <c r="F585" s="96"/>
      <c r="G585" s="98"/>
      <c r="H585" s="96"/>
      <c r="I585" s="98"/>
      <c r="J585" s="97"/>
      <c r="K585" s="98"/>
      <c r="L585" s="100"/>
      <c r="M585" s="98"/>
      <c r="N585" s="96"/>
      <c r="O585" s="97"/>
      <c r="P585" s="70"/>
      <c r="Q585" s="97"/>
      <c r="R585" s="97"/>
      <c r="S585" s="98"/>
      <c r="T585" s="97"/>
      <c r="U585" s="98"/>
      <c r="V585" s="100"/>
      <c r="W585" s="98"/>
      <c r="X585" s="96"/>
      <c r="Y585" s="98"/>
      <c r="Z585" s="96"/>
      <c r="AA585" s="97"/>
      <c r="AB585" s="96"/>
      <c r="AC585" s="98"/>
      <c r="AD585" s="98"/>
      <c r="AE585" s="98"/>
    </row>
    <row r="586" spans="2:31" x14ac:dyDescent="0.3">
      <c r="B586" s="96"/>
      <c r="C586" s="96"/>
      <c r="D586" s="96"/>
      <c r="E586" s="97"/>
      <c r="F586" s="96"/>
      <c r="G586" s="98"/>
      <c r="H586" s="96"/>
      <c r="I586" s="98"/>
      <c r="J586" s="97"/>
      <c r="K586" s="98"/>
      <c r="L586" s="100"/>
      <c r="M586" s="98"/>
      <c r="N586" s="96"/>
      <c r="O586" s="97"/>
      <c r="P586" s="70"/>
      <c r="Q586" s="97"/>
      <c r="R586" s="97"/>
      <c r="S586" s="98"/>
      <c r="T586" s="97"/>
      <c r="U586" s="98"/>
      <c r="V586" s="100"/>
      <c r="W586" s="98"/>
      <c r="X586" s="96"/>
      <c r="Y586" s="98"/>
      <c r="Z586" s="96"/>
      <c r="AA586" s="97"/>
      <c r="AB586" s="96"/>
      <c r="AC586" s="98"/>
      <c r="AD586" s="98"/>
      <c r="AE586" s="98"/>
    </row>
    <row r="587" spans="2:31" x14ac:dyDescent="0.3">
      <c r="B587" s="96"/>
      <c r="C587" s="96"/>
      <c r="D587" s="96"/>
      <c r="E587" s="97"/>
      <c r="F587" s="96"/>
      <c r="G587" s="98"/>
      <c r="H587" s="96"/>
      <c r="I587" s="98"/>
      <c r="J587" s="97"/>
      <c r="K587" s="98"/>
      <c r="L587" s="100"/>
      <c r="M587" s="98"/>
      <c r="N587" s="96"/>
      <c r="O587" s="97"/>
      <c r="P587" s="70"/>
      <c r="Q587" s="97"/>
      <c r="R587" s="97"/>
      <c r="S587" s="98"/>
      <c r="T587" s="97"/>
      <c r="U587" s="98"/>
      <c r="V587" s="100"/>
      <c r="W587" s="98"/>
      <c r="X587" s="96"/>
      <c r="Y587" s="98"/>
      <c r="Z587" s="96"/>
      <c r="AA587" s="97"/>
      <c r="AB587" s="96"/>
      <c r="AC587" s="98"/>
      <c r="AD587" s="98"/>
      <c r="AE587" s="98"/>
    </row>
    <row r="588" spans="2:31" x14ac:dyDescent="0.3">
      <c r="B588" s="96"/>
      <c r="C588" s="96"/>
      <c r="D588" s="96"/>
      <c r="E588" s="97"/>
      <c r="F588" s="96"/>
      <c r="G588" s="98"/>
      <c r="H588" s="96"/>
      <c r="I588" s="98"/>
      <c r="J588" s="97"/>
      <c r="K588" s="98"/>
      <c r="L588" s="100"/>
      <c r="M588" s="98"/>
      <c r="N588" s="96"/>
      <c r="O588" s="97"/>
      <c r="P588" s="70"/>
      <c r="Q588" s="97"/>
      <c r="R588" s="97"/>
      <c r="S588" s="98"/>
      <c r="T588" s="97"/>
      <c r="U588" s="98"/>
      <c r="V588" s="100"/>
      <c r="W588" s="98"/>
      <c r="X588" s="96"/>
      <c r="Y588" s="98"/>
      <c r="Z588" s="96"/>
      <c r="AA588" s="97"/>
      <c r="AB588" s="96"/>
      <c r="AC588" s="98"/>
      <c r="AD588" s="98"/>
      <c r="AE588" s="98"/>
    </row>
    <row r="589" spans="2:31" x14ac:dyDescent="0.3">
      <c r="B589" s="96"/>
      <c r="C589" s="96"/>
      <c r="D589" s="96"/>
      <c r="E589" s="97"/>
      <c r="F589" s="96"/>
      <c r="G589" s="98"/>
      <c r="H589" s="96"/>
      <c r="I589" s="98"/>
      <c r="J589" s="97"/>
      <c r="K589" s="98"/>
      <c r="L589" s="100"/>
      <c r="M589" s="98"/>
      <c r="N589" s="96"/>
      <c r="O589" s="97"/>
      <c r="P589" s="70"/>
      <c r="Q589" s="97"/>
      <c r="R589" s="97"/>
      <c r="S589" s="98"/>
      <c r="T589" s="97"/>
      <c r="U589" s="98"/>
      <c r="V589" s="100"/>
      <c r="W589" s="98"/>
      <c r="X589" s="96"/>
      <c r="Y589" s="98"/>
      <c r="Z589" s="96"/>
      <c r="AA589" s="97"/>
      <c r="AB589" s="96"/>
      <c r="AC589" s="98"/>
      <c r="AD589" s="98"/>
      <c r="AE589" s="98"/>
    </row>
    <row r="590" spans="2:31" x14ac:dyDescent="0.3">
      <c r="B590" s="96"/>
      <c r="C590" s="96"/>
      <c r="D590" s="96"/>
      <c r="E590" s="97"/>
      <c r="F590" s="96"/>
      <c r="G590" s="98"/>
      <c r="H590" s="96"/>
      <c r="I590" s="98"/>
      <c r="J590" s="97"/>
      <c r="K590" s="98"/>
      <c r="L590" s="100"/>
      <c r="M590" s="98"/>
      <c r="N590" s="96"/>
      <c r="O590" s="97"/>
      <c r="P590" s="70"/>
      <c r="Q590" s="97"/>
      <c r="R590" s="97"/>
      <c r="S590" s="98"/>
      <c r="T590" s="97"/>
      <c r="U590" s="98"/>
      <c r="V590" s="100"/>
      <c r="W590" s="98"/>
      <c r="X590" s="96"/>
      <c r="Y590" s="98"/>
      <c r="Z590" s="96"/>
      <c r="AA590" s="97"/>
      <c r="AB590" s="96"/>
      <c r="AC590" s="98"/>
      <c r="AD590" s="98"/>
      <c r="AE590" s="98"/>
    </row>
    <row r="591" spans="2:31" x14ac:dyDescent="0.3">
      <c r="B591" s="96"/>
      <c r="C591" s="96"/>
      <c r="D591" s="96"/>
      <c r="E591" s="97"/>
      <c r="F591" s="96"/>
      <c r="G591" s="98"/>
      <c r="H591" s="96"/>
      <c r="I591" s="98"/>
      <c r="J591" s="97"/>
      <c r="K591" s="98"/>
      <c r="L591" s="100"/>
      <c r="M591" s="98"/>
      <c r="N591" s="96"/>
      <c r="O591" s="97"/>
      <c r="P591" s="70"/>
      <c r="Q591" s="97"/>
      <c r="R591" s="97"/>
      <c r="S591" s="98"/>
      <c r="T591" s="97"/>
      <c r="U591" s="98"/>
      <c r="V591" s="100"/>
      <c r="W591" s="98"/>
      <c r="X591" s="96"/>
      <c r="Y591" s="98"/>
      <c r="Z591" s="96"/>
      <c r="AA591" s="97"/>
      <c r="AB591" s="96"/>
      <c r="AC591" s="98"/>
      <c r="AD591" s="98"/>
      <c r="AE591" s="98"/>
    </row>
    <row r="592" spans="2:31" x14ac:dyDescent="0.3">
      <c r="B592" s="96"/>
      <c r="C592" s="96"/>
      <c r="D592" s="96"/>
      <c r="E592" s="97"/>
      <c r="F592" s="96"/>
      <c r="G592" s="98"/>
      <c r="H592" s="96"/>
      <c r="I592" s="98"/>
      <c r="J592" s="97"/>
      <c r="K592" s="98"/>
      <c r="L592" s="100"/>
      <c r="M592" s="98"/>
      <c r="N592" s="96"/>
      <c r="O592" s="97"/>
      <c r="P592" s="70"/>
      <c r="Q592" s="97"/>
      <c r="R592" s="97"/>
      <c r="S592" s="98"/>
      <c r="T592" s="97"/>
      <c r="U592" s="98"/>
      <c r="V592" s="100"/>
      <c r="W592" s="98"/>
      <c r="X592" s="96"/>
      <c r="Y592" s="98"/>
      <c r="Z592" s="96"/>
      <c r="AA592" s="97"/>
      <c r="AB592" s="96"/>
      <c r="AC592" s="98"/>
      <c r="AD592" s="98"/>
      <c r="AE592" s="98"/>
    </row>
    <row r="593" spans="2:31" x14ac:dyDescent="0.3">
      <c r="B593" s="96"/>
      <c r="C593" s="96"/>
      <c r="D593" s="96"/>
      <c r="E593" s="97"/>
      <c r="F593" s="96"/>
      <c r="G593" s="98"/>
      <c r="H593" s="96"/>
      <c r="I593" s="98"/>
      <c r="J593" s="97"/>
      <c r="K593" s="98"/>
      <c r="L593" s="100"/>
      <c r="M593" s="98"/>
      <c r="N593" s="96"/>
      <c r="O593" s="97"/>
      <c r="P593" s="70"/>
      <c r="Q593" s="97"/>
      <c r="R593" s="97"/>
      <c r="S593" s="98"/>
      <c r="T593" s="97"/>
      <c r="U593" s="98"/>
      <c r="V593" s="100"/>
      <c r="W593" s="98"/>
      <c r="X593" s="96"/>
      <c r="Y593" s="98"/>
      <c r="Z593" s="96"/>
      <c r="AA593" s="97"/>
      <c r="AB593" s="96"/>
      <c r="AC593" s="98"/>
      <c r="AD593" s="98"/>
      <c r="AE593" s="98"/>
    </row>
    <row r="594" spans="2:31" x14ac:dyDescent="0.3">
      <c r="B594" s="96"/>
      <c r="C594" s="96"/>
      <c r="D594" s="96"/>
      <c r="E594" s="97"/>
      <c r="F594" s="96"/>
      <c r="G594" s="98"/>
      <c r="H594" s="96"/>
      <c r="I594" s="98"/>
      <c r="J594" s="97"/>
      <c r="K594" s="98"/>
      <c r="L594" s="100"/>
      <c r="M594" s="98"/>
      <c r="N594" s="96"/>
      <c r="O594" s="97"/>
      <c r="P594" s="70"/>
      <c r="Q594" s="97"/>
      <c r="R594" s="97"/>
      <c r="S594" s="98"/>
      <c r="T594" s="97"/>
      <c r="U594" s="98"/>
      <c r="V594" s="100"/>
      <c r="W594" s="98"/>
      <c r="X594" s="96"/>
      <c r="Y594" s="98"/>
      <c r="Z594" s="96"/>
      <c r="AA594" s="97"/>
      <c r="AB594" s="96"/>
      <c r="AC594" s="98"/>
      <c r="AD594" s="98"/>
      <c r="AE594" s="98"/>
    </row>
    <row r="595" spans="2:31" x14ac:dyDescent="0.3">
      <c r="B595" s="96"/>
      <c r="C595" s="96"/>
      <c r="D595" s="96"/>
      <c r="E595" s="97"/>
      <c r="F595" s="96"/>
      <c r="G595" s="98"/>
      <c r="H595" s="96"/>
      <c r="I595" s="98"/>
      <c r="J595" s="97"/>
      <c r="K595" s="98"/>
      <c r="L595" s="100"/>
      <c r="M595" s="98"/>
      <c r="N595" s="96"/>
      <c r="O595" s="97"/>
      <c r="P595" s="70"/>
      <c r="Q595" s="97"/>
      <c r="R595" s="97"/>
      <c r="S595" s="98"/>
      <c r="T595" s="97"/>
      <c r="U595" s="98"/>
      <c r="V595" s="100"/>
      <c r="W595" s="98"/>
      <c r="X595" s="96"/>
      <c r="Y595" s="98"/>
      <c r="Z595" s="96"/>
      <c r="AA595" s="97"/>
      <c r="AB595" s="96"/>
      <c r="AC595" s="98"/>
      <c r="AD595" s="98"/>
      <c r="AE595" s="98"/>
    </row>
    <row r="596" spans="2:31" x14ac:dyDescent="0.3">
      <c r="B596" s="96"/>
      <c r="C596" s="96"/>
      <c r="D596" s="96"/>
      <c r="E596" s="97"/>
      <c r="F596" s="96"/>
      <c r="G596" s="98"/>
      <c r="H596" s="96"/>
      <c r="I596" s="98"/>
      <c r="J596" s="97"/>
      <c r="K596" s="98"/>
      <c r="L596" s="100"/>
      <c r="M596" s="98"/>
      <c r="N596" s="96"/>
      <c r="O596" s="97"/>
      <c r="P596" s="70"/>
      <c r="Q596" s="97"/>
      <c r="R596" s="97"/>
      <c r="S596" s="98"/>
      <c r="T596" s="97"/>
      <c r="U596" s="98"/>
      <c r="V596" s="100"/>
      <c r="W596" s="98"/>
      <c r="X596" s="96"/>
      <c r="Y596" s="98"/>
      <c r="Z596" s="96"/>
      <c r="AA596" s="97"/>
      <c r="AB596" s="96"/>
      <c r="AC596" s="98"/>
      <c r="AD596" s="98"/>
      <c r="AE596" s="98"/>
    </row>
    <row r="597" spans="2:31" x14ac:dyDescent="0.3">
      <c r="B597" s="96"/>
      <c r="C597" s="96"/>
      <c r="D597" s="96"/>
      <c r="E597" s="97"/>
      <c r="F597" s="96"/>
      <c r="G597" s="98"/>
      <c r="H597" s="96"/>
      <c r="I597" s="98"/>
      <c r="J597" s="97"/>
      <c r="K597" s="98"/>
      <c r="L597" s="100"/>
      <c r="M597" s="98"/>
      <c r="N597" s="96"/>
      <c r="O597" s="97"/>
      <c r="P597" s="70"/>
      <c r="Q597" s="97"/>
      <c r="R597" s="97"/>
      <c r="S597" s="98"/>
      <c r="T597" s="97"/>
      <c r="U597" s="98"/>
      <c r="V597" s="100"/>
      <c r="W597" s="98"/>
      <c r="X597" s="96"/>
      <c r="Y597" s="98"/>
      <c r="Z597" s="96"/>
      <c r="AA597" s="97"/>
      <c r="AB597" s="96"/>
      <c r="AC597" s="98"/>
      <c r="AD597" s="98"/>
      <c r="AE597" s="98"/>
    </row>
    <row r="598" spans="2:31" x14ac:dyDescent="0.3">
      <c r="B598" s="96"/>
      <c r="C598" s="96"/>
      <c r="D598" s="96"/>
      <c r="E598" s="97"/>
      <c r="F598" s="96"/>
      <c r="G598" s="98"/>
      <c r="H598" s="96"/>
      <c r="I598" s="98"/>
      <c r="J598" s="97"/>
      <c r="K598" s="98"/>
      <c r="L598" s="100"/>
      <c r="M598" s="98"/>
      <c r="N598" s="96"/>
      <c r="O598" s="97"/>
      <c r="P598" s="70"/>
      <c r="Q598" s="97"/>
      <c r="R598" s="97"/>
      <c r="S598" s="98"/>
      <c r="T598" s="97"/>
      <c r="U598" s="98"/>
      <c r="V598" s="100"/>
      <c r="W598" s="98"/>
      <c r="X598" s="96"/>
      <c r="Y598" s="98"/>
      <c r="Z598" s="96"/>
      <c r="AA598" s="97"/>
      <c r="AB598" s="96"/>
      <c r="AC598" s="98"/>
      <c r="AD598" s="98"/>
      <c r="AE598" s="98"/>
    </row>
    <row r="599" spans="2:31" x14ac:dyDescent="0.3">
      <c r="B599" s="96"/>
      <c r="C599" s="96"/>
      <c r="D599" s="96"/>
      <c r="E599" s="97"/>
      <c r="F599" s="96"/>
      <c r="G599" s="98"/>
      <c r="H599" s="96"/>
      <c r="I599" s="98"/>
      <c r="J599" s="97"/>
      <c r="K599" s="98"/>
      <c r="L599" s="100"/>
      <c r="M599" s="98"/>
      <c r="N599" s="96"/>
      <c r="O599" s="97"/>
      <c r="P599" s="70"/>
      <c r="Q599" s="97"/>
      <c r="R599" s="97"/>
      <c r="S599" s="98"/>
      <c r="T599" s="97"/>
      <c r="U599" s="98"/>
      <c r="V599" s="100"/>
      <c r="W599" s="98"/>
      <c r="X599" s="96"/>
      <c r="Y599" s="98"/>
      <c r="Z599" s="96"/>
      <c r="AA599" s="97"/>
      <c r="AB599" s="96"/>
      <c r="AC599" s="98"/>
      <c r="AD599" s="98"/>
      <c r="AE599" s="98"/>
    </row>
    <row r="600" spans="2:31" x14ac:dyDescent="0.3">
      <c r="B600" s="96"/>
      <c r="C600" s="96"/>
      <c r="D600" s="96"/>
      <c r="E600" s="97"/>
      <c r="F600" s="96"/>
      <c r="G600" s="98"/>
      <c r="H600" s="96"/>
      <c r="I600" s="98"/>
      <c r="J600" s="97"/>
      <c r="K600" s="98"/>
      <c r="L600" s="100"/>
      <c r="M600" s="98"/>
      <c r="N600" s="96"/>
      <c r="O600" s="97"/>
      <c r="P600" s="70"/>
      <c r="Q600" s="97"/>
      <c r="R600" s="97"/>
      <c r="S600" s="98"/>
      <c r="T600" s="97"/>
      <c r="U600" s="98"/>
      <c r="V600" s="100"/>
      <c r="W600" s="98"/>
      <c r="X600" s="96"/>
      <c r="Y600" s="98"/>
      <c r="Z600" s="96"/>
      <c r="AA600" s="97"/>
      <c r="AB600" s="96"/>
      <c r="AC600" s="98"/>
      <c r="AD600" s="98"/>
      <c r="AE600" s="98"/>
    </row>
    <row r="601" spans="2:31" x14ac:dyDescent="0.3">
      <c r="B601" s="96"/>
      <c r="C601" s="96"/>
      <c r="D601" s="96"/>
      <c r="E601" s="97"/>
      <c r="F601" s="96"/>
      <c r="G601" s="98"/>
      <c r="H601" s="96"/>
      <c r="I601" s="98"/>
      <c r="J601" s="97"/>
      <c r="K601" s="98"/>
      <c r="L601" s="100"/>
      <c r="M601" s="98"/>
      <c r="N601" s="96"/>
      <c r="O601" s="97"/>
      <c r="P601" s="70"/>
      <c r="Q601" s="97"/>
      <c r="R601" s="97"/>
      <c r="S601" s="98"/>
      <c r="T601" s="97"/>
      <c r="U601" s="98"/>
      <c r="V601" s="100"/>
      <c r="W601" s="98"/>
      <c r="X601" s="96"/>
      <c r="Y601" s="98"/>
      <c r="Z601" s="96"/>
      <c r="AA601" s="97"/>
      <c r="AB601" s="96"/>
      <c r="AC601" s="98"/>
      <c r="AD601" s="98"/>
      <c r="AE601" s="98"/>
    </row>
    <row r="602" spans="2:31" x14ac:dyDescent="0.3">
      <c r="B602" s="96"/>
      <c r="C602" s="96"/>
      <c r="D602" s="96"/>
      <c r="E602" s="97"/>
      <c r="F602" s="96"/>
      <c r="G602" s="98"/>
      <c r="H602" s="96"/>
      <c r="I602" s="98"/>
      <c r="J602" s="97"/>
      <c r="K602" s="98"/>
      <c r="L602" s="100"/>
      <c r="M602" s="98"/>
      <c r="N602" s="96"/>
      <c r="O602" s="97"/>
      <c r="P602" s="70"/>
      <c r="Q602" s="97"/>
      <c r="R602" s="97"/>
      <c r="S602" s="98"/>
      <c r="T602" s="97"/>
      <c r="U602" s="98"/>
      <c r="V602" s="100"/>
      <c r="W602" s="98"/>
      <c r="X602" s="96"/>
      <c r="Y602" s="98"/>
      <c r="Z602" s="96"/>
      <c r="AA602" s="97"/>
      <c r="AB602" s="96"/>
      <c r="AC602" s="98"/>
      <c r="AD602" s="98"/>
      <c r="AE602" s="98"/>
    </row>
    <row r="603" spans="2:31" x14ac:dyDescent="0.3">
      <c r="B603" s="96"/>
      <c r="C603" s="96"/>
      <c r="D603" s="96"/>
      <c r="E603" s="97"/>
      <c r="F603" s="96"/>
      <c r="G603" s="98"/>
      <c r="H603" s="96"/>
      <c r="I603" s="98"/>
      <c r="J603" s="97"/>
      <c r="K603" s="98"/>
      <c r="L603" s="100"/>
      <c r="M603" s="98"/>
      <c r="N603" s="96"/>
      <c r="O603" s="97"/>
      <c r="P603" s="70"/>
      <c r="Q603" s="97"/>
      <c r="R603" s="97"/>
      <c r="S603" s="98"/>
      <c r="T603" s="97"/>
      <c r="U603" s="98"/>
      <c r="V603" s="100"/>
      <c r="W603" s="98"/>
      <c r="X603" s="96"/>
      <c r="Y603" s="98"/>
      <c r="Z603" s="96"/>
      <c r="AA603" s="97"/>
      <c r="AB603" s="96"/>
      <c r="AC603" s="98"/>
      <c r="AD603" s="98"/>
      <c r="AE603" s="98"/>
    </row>
    <row r="604" spans="2:31" x14ac:dyDescent="0.3">
      <c r="B604" s="96"/>
      <c r="C604" s="96"/>
      <c r="D604" s="96"/>
      <c r="E604" s="97"/>
      <c r="F604" s="96"/>
      <c r="G604" s="98"/>
      <c r="H604" s="96"/>
      <c r="I604" s="98"/>
      <c r="J604" s="97"/>
      <c r="K604" s="98"/>
      <c r="L604" s="100"/>
      <c r="M604" s="98"/>
      <c r="N604" s="96"/>
      <c r="O604" s="97"/>
      <c r="P604" s="70"/>
      <c r="Q604" s="97"/>
      <c r="R604" s="97"/>
      <c r="S604" s="98"/>
      <c r="T604" s="97"/>
      <c r="U604" s="98"/>
      <c r="V604" s="100"/>
      <c r="W604" s="98"/>
      <c r="X604" s="96"/>
      <c r="Y604" s="98"/>
      <c r="Z604" s="96"/>
      <c r="AA604" s="97"/>
      <c r="AB604" s="96"/>
      <c r="AC604" s="98"/>
      <c r="AD604" s="98"/>
      <c r="AE604" s="98"/>
    </row>
    <row r="605" spans="2:31" x14ac:dyDescent="0.3">
      <c r="B605" s="96"/>
      <c r="C605" s="96"/>
      <c r="D605" s="96"/>
      <c r="E605" s="97"/>
      <c r="F605" s="96"/>
      <c r="G605" s="98"/>
      <c r="H605" s="96"/>
      <c r="I605" s="98"/>
      <c r="J605" s="97"/>
      <c r="K605" s="98"/>
      <c r="L605" s="100"/>
      <c r="M605" s="98"/>
      <c r="N605" s="96"/>
      <c r="O605" s="97"/>
      <c r="P605" s="70"/>
      <c r="Q605" s="97"/>
      <c r="R605" s="97"/>
      <c r="S605" s="98"/>
      <c r="T605" s="97"/>
      <c r="U605" s="98"/>
      <c r="V605" s="100"/>
      <c r="W605" s="98"/>
      <c r="X605" s="96"/>
      <c r="Y605" s="98"/>
      <c r="Z605" s="96"/>
      <c r="AA605" s="97"/>
      <c r="AB605" s="96"/>
      <c r="AC605" s="98"/>
      <c r="AD605" s="98"/>
      <c r="AE605" s="98"/>
    </row>
    <row r="606" spans="2:31" x14ac:dyDescent="0.3">
      <c r="B606" s="96"/>
      <c r="C606" s="96"/>
      <c r="D606" s="96"/>
      <c r="E606" s="97"/>
      <c r="F606" s="96"/>
      <c r="G606" s="98"/>
      <c r="H606" s="96"/>
      <c r="I606" s="98"/>
      <c r="J606" s="97"/>
      <c r="K606" s="98"/>
      <c r="L606" s="100"/>
      <c r="M606" s="98"/>
      <c r="N606" s="96"/>
      <c r="O606" s="97"/>
      <c r="P606" s="70"/>
      <c r="Q606" s="97"/>
      <c r="R606" s="97"/>
      <c r="S606" s="98"/>
      <c r="T606" s="97"/>
      <c r="U606" s="98"/>
      <c r="V606" s="100"/>
      <c r="W606" s="98"/>
      <c r="X606" s="96"/>
      <c r="Y606" s="98"/>
      <c r="Z606" s="96"/>
      <c r="AA606" s="97"/>
      <c r="AB606" s="96"/>
      <c r="AC606" s="98"/>
      <c r="AD606" s="98"/>
      <c r="AE606" s="98"/>
    </row>
    <row r="607" spans="2:31" x14ac:dyDescent="0.3">
      <c r="B607" s="96"/>
      <c r="C607" s="96"/>
      <c r="D607" s="96"/>
      <c r="E607" s="97"/>
      <c r="F607" s="96"/>
      <c r="G607" s="98"/>
      <c r="H607" s="96"/>
      <c r="I607" s="98"/>
      <c r="J607" s="97"/>
      <c r="K607" s="98"/>
      <c r="L607" s="100"/>
      <c r="M607" s="98"/>
      <c r="N607" s="96"/>
      <c r="O607" s="97"/>
      <c r="P607" s="70"/>
      <c r="Q607" s="97"/>
      <c r="R607" s="97"/>
      <c r="S607" s="98"/>
      <c r="T607" s="97"/>
      <c r="U607" s="98"/>
      <c r="V607" s="100"/>
      <c r="W607" s="98"/>
      <c r="X607" s="96"/>
      <c r="Y607" s="98"/>
      <c r="Z607" s="96"/>
      <c r="AA607" s="97"/>
      <c r="AB607" s="96"/>
      <c r="AC607" s="98"/>
      <c r="AD607" s="98"/>
      <c r="AE607" s="98"/>
    </row>
    <row r="608" spans="2:31" x14ac:dyDescent="0.3">
      <c r="B608" s="96"/>
      <c r="C608" s="96"/>
      <c r="D608" s="96"/>
      <c r="E608" s="97"/>
      <c r="F608" s="96"/>
      <c r="G608" s="98"/>
      <c r="H608" s="96"/>
      <c r="I608" s="98"/>
      <c r="J608" s="97"/>
      <c r="K608" s="98"/>
      <c r="L608" s="100"/>
      <c r="M608" s="98"/>
      <c r="N608" s="96"/>
      <c r="O608" s="97"/>
      <c r="P608" s="70"/>
      <c r="Q608" s="97"/>
      <c r="R608" s="97"/>
      <c r="S608" s="98"/>
      <c r="T608" s="97"/>
      <c r="U608" s="98"/>
      <c r="V608" s="100"/>
      <c r="W608" s="98"/>
      <c r="X608" s="96"/>
      <c r="Y608" s="98"/>
      <c r="Z608" s="96"/>
      <c r="AA608" s="97"/>
      <c r="AB608" s="96"/>
      <c r="AC608" s="98"/>
      <c r="AD608" s="98"/>
      <c r="AE608" s="98"/>
    </row>
    <row r="609" spans="2:31" x14ac:dyDescent="0.3">
      <c r="B609" s="96"/>
      <c r="C609" s="96"/>
      <c r="D609" s="96"/>
      <c r="E609" s="97"/>
      <c r="F609" s="96"/>
      <c r="G609" s="98"/>
      <c r="H609" s="96"/>
      <c r="I609" s="98"/>
      <c r="J609" s="97"/>
      <c r="K609" s="98"/>
      <c r="L609" s="100"/>
      <c r="M609" s="98"/>
      <c r="N609" s="96"/>
      <c r="O609" s="97"/>
      <c r="P609" s="70"/>
      <c r="Q609" s="97"/>
      <c r="R609" s="97"/>
      <c r="S609" s="98"/>
      <c r="T609" s="97"/>
      <c r="U609" s="98"/>
      <c r="V609" s="100"/>
      <c r="W609" s="98"/>
      <c r="X609" s="96"/>
      <c r="Y609" s="98"/>
      <c r="Z609" s="96"/>
      <c r="AA609" s="97"/>
      <c r="AB609" s="96"/>
      <c r="AC609" s="98"/>
      <c r="AD609" s="98"/>
      <c r="AE609" s="98"/>
    </row>
    <row r="610" spans="2:31" x14ac:dyDescent="0.3">
      <c r="B610" s="96"/>
      <c r="C610" s="96"/>
      <c r="D610" s="96"/>
      <c r="E610" s="97"/>
      <c r="F610" s="96"/>
      <c r="G610" s="98"/>
      <c r="H610" s="96"/>
      <c r="I610" s="98"/>
      <c r="J610" s="97"/>
      <c r="K610" s="98"/>
      <c r="L610" s="100"/>
      <c r="M610" s="98"/>
      <c r="N610" s="96"/>
      <c r="O610" s="97"/>
      <c r="P610" s="70"/>
      <c r="Q610" s="97"/>
      <c r="R610" s="97"/>
      <c r="S610" s="98"/>
      <c r="T610" s="97"/>
      <c r="U610" s="98"/>
      <c r="V610" s="100"/>
      <c r="W610" s="98"/>
      <c r="X610" s="96"/>
      <c r="Y610" s="98"/>
      <c r="Z610" s="96"/>
      <c r="AA610" s="97"/>
      <c r="AB610" s="96"/>
      <c r="AC610" s="98"/>
      <c r="AD610" s="98"/>
      <c r="AE610" s="98"/>
    </row>
    <row r="611" spans="2:31" x14ac:dyDescent="0.3">
      <c r="B611" s="96"/>
      <c r="C611" s="96"/>
      <c r="D611" s="96"/>
      <c r="E611" s="97"/>
      <c r="F611" s="96"/>
      <c r="G611" s="98"/>
      <c r="H611" s="96"/>
      <c r="I611" s="98"/>
      <c r="J611" s="97"/>
      <c r="K611" s="98"/>
      <c r="L611" s="100"/>
      <c r="M611" s="98"/>
      <c r="N611" s="96"/>
      <c r="O611" s="97"/>
      <c r="P611" s="70"/>
      <c r="Q611" s="97"/>
      <c r="R611" s="97"/>
      <c r="S611" s="98"/>
      <c r="T611" s="97"/>
      <c r="U611" s="98"/>
      <c r="V611" s="100"/>
      <c r="W611" s="98"/>
      <c r="X611" s="96"/>
      <c r="Y611" s="98"/>
      <c r="Z611" s="96"/>
      <c r="AA611" s="97"/>
      <c r="AB611" s="96"/>
      <c r="AC611" s="98"/>
      <c r="AD611" s="98"/>
      <c r="AE611" s="98"/>
    </row>
    <row r="612" spans="2:31" x14ac:dyDescent="0.3">
      <c r="B612" s="96"/>
      <c r="C612" s="96"/>
      <c r="D612" s="96"/>
      <c r="E612" s="97"/>
      <c r="F612" s="96"/>
      <c r="G612" s="98"/>
      <c r="H612" s="96"/>
      <c r="I612" s="98"/>
      <c r="J612" s="97"/>
      <c r="K612" s="98"/>
      <c r="L612" s="100"/>
      <c r="M612" s="98"/>
      <c r="N612" s="96"/>
      <c r="O612" s="97"/>
      <c r="P612" s="70"/>
      <c r="Q612" s="97"/>
      <c r="R612" s="97"/>
      <c r="S612" s="98"/>
      <c r="T612" s="97"/>
      <c r="U612" s="98"/>
      <c r="V612" s="100"/>
      <c r="W612" s="98"/>
      <c r="X612" s="96"/>
      <c r="Y612" s="98"/>
      <c r="Z612" s="96"/>
      <c r="AA612" s="97"/>
      <c r="AB612" s="96"/>
      <c r="AC612" s="98"/>
      <c r="AD612" s="98"/>
      <c r="AE612" s="98"/>
    </row>
    <row r="613" spans="2:31" x14ac:dyDescent="0.3">
      <c r="B613" s="96"/>
      <c r="C613" s="96"/>
      <c r="D613" s="96"/>
      <c r="E613" s="97"/>
      <c r="F613" s="96"/>
      <c r="G613" s="98"/>
      <c r="H613" s="96"/>
      <c r="I613" s="98"/>
      <c r="J613" s="97"/>
      <c r="K613" s="98"/>
      <c r="L613" s="100"/>
      <c r="M613" s="98"/>
      <c r="N613" s="96"/>
      <c r="O613" s="97"/>
      <c r="P613" s="70"/>
      <c r="Q613" s="97"/>
      <c r="R613" s="97"/>
      <c r="S613" s="98"/>
      <c r="T613" s="97"/>
      <c r="U613" s="98"/>
      <c r="V613" s="100"/>
      <c r="W613" s="98"/>
      <c r="X613" s="96"/>
      <c r="Y613" s="98"/>
      <c r="Z613" s="96"/>
      <c r="AA613" s="97"/>
      <c r="AB613" s="96"/>
      <c r="AC613" s="98"/>
      <c r="AD613" s="98"/>
      <c r="AE613" s="98"/>
    </row>
    <row r="614" spans="2:31" x14ac:dyDescent="0.3">
      <c r="B614" s="96"/>
      <c r="C614" s="96"/>
      <c r="D614" s="96"/>
      <c r="E614" s="97"/>
      <c r="F614" s="96"/>
      <c r="G614" s="98"/>
      <c r="H614" s="96"/>
      <c r="I614" s="98"/>
      <c r="J614" s="97"/>
      <c r="K614" s="98"/>
      <c r="L614" s="100"/>
      <c r="M614" s="98"/>
      <c r="N614" s="96"/>
      <c r="O614" s="97"/>
      <c r="P614" s="70"/>
      <c r="Q614" s="97"/>
      <c r="R614" s="97"/>
      <c r="S614" s="98"/>
      <c r="T614" s="97"/>
      <c r="U614" s="98"/>
      <c r="V614" s="100"/>
      <c r="W614" s="98"/>
      <c r="X614" s="96"/>
      <c r="Y614" s="98"/>
      <c r="Z614" s="96"/>
      <c r="AA614" s="97"/>
      <c r="AB614" s="96"/>
      <c r="AC614" s="98"/>
      <c r="AD614" s="98"/>
      <c r="AE614" s="98"/>
    </row>
    <row r="615" spans="2:31" x14ac:dyDescent="0.3">
      <c r="B615" s="96"/>
      <c r="C615" s="96"/>
      <c r="D615" s="96"/>
      <c r="E615" s="97"/>
      <c r="F615" s="96"/>
      <c r="G615" s="98"/>
      <c r="H615" s="96"/>
      <c r="I615" s="98"/>
      <c r="J615" s="97"/>
      <c r="K615" s="98"/>
      <c r="L615" s="100"/>
      <c r="M615" s="98"/>
      <c r="N615" s="96"/>
      <c r="O615" s="97"/>
      <c r="P615" s="70"/>
      <c r="Q615" s="97"/>
      <c r="R615" s="97"/>
      <c r="S615" s="98"/>
      <c r="T615" s="97"/>
      <c r="U615" s="98"/>
      <c r="V615" s="100"/>
      <c r="W615" s="98"/>
      <c r="X615" s="96"/>
      <c r="Y615" s="98"/>
      <c r="Z615" s="96"/>
      <c r="AA615" s="97"/>
      <c r="AB615" s="96"/>
      <c r="AC615" s="98"/>
      <c r="AD615" s="98"/>
      <c r="AE615" s="98"/>
    </row>
    <row r="616" spans="2:31" x14ac:dyDescent="0.3">
      <c r="B616" s="96"/>
      <c r="C616" s="96"/>
      <c r="D616" s="96"/>
      <c r="E616" s="97"/>
      <c r="F616" s="96"/>
      <c r="G616" s="98"/>
      <c r="H616" s="96"/>
      <c r="I616" s="98"/>
      <c r="J616" s="97"/>
      <c r="K616" s="98"/>
      <c r="L616" s="100"/>
      <c r="M616" s="98"/>
      <c r="N616" s="96"/>
      <c r="O616" s="97"/>
      <c r="P616" s="70"/>
      <c r="Q616" s="97"/>
      <c r="R616" s="97"/>
      <c r="S616" s="98"/>
      <c r="T616" s="97"/>
      <c r="U616" s="98"/>
      <c r="V616" s="100"/>
      <c r="W616" s="98"/>
      <c r="X616" s="96"/>
      <c r="Y616" s="98"/>
      <c r="Z616" s="96"/>
      <c r="AA616" s="97"/>
      <c r="AB616" s="96"/>
      <c r="AC616" s="98"/>
      <c r="AD616" s="98"/>
      <c r="AE616" s="98"/>
    </row>
    <row r="617" spans="2:31" x14ac:dyDescent="0.3">
      <c r="B617" s="96"/>
      <c r="C617" s="96"/>
      <c r="D617" s="96"/>
      <c r="E617" s="97"/>
      <c r="F617" s="96"/>
      <c r="G617" s="98"/>
      <c r="H617" s="96"/>
      <c r="I617" s="98"/>
      <c r="J617" s="97"/>
      <c r="K617" s="98"/>
      <c r="L617" s="100"/>
      <c r="M617" s="98"/>
      <c r="N617" s="96"/>
      <c r="O617" s="97"/>
      <c r="P617" s="70"/>
      <c r="Q617" s="97"/>
      <c r="R617" s="97"/>
      <c r="S617" s="98"/>
      <c r="T617" s="97"/>
      <c r="U617" s="98"/>
      <c r="V617" s="100"/>
      <c r="W617" s="98"/>
      <c r="X617" s="96"/>
      <c r="Y617" s="98"/>
      <c r="Z617" s="96"/>
      <c r="AA617" s="97"/>
      <c r="AB617" s="96"/>
      <c r="AC617" s="98"/>
      <c r="AD617" s="98"/>
      <c r="AE617" s="98"/>
    </row>
    <row r="618" spans="2:31" x14ac:dyDescent="0.3">
      <c r="B618" s="96"/>
      <c r="C618" s="96"/>
      <c r="D618" s="96"/>
      <c r="E618" s="97"/>
      <c r="F618" s="96"/>
      <c r="G618" s="98"/>
      <c r="H618" s="96"/>
      <c r="I618" s="98"/>
      <c r="J618" s="97"/>
      <c r="K618" s="98"/>
      <c r="L618" s="100"/>
      <c r="M618" s="98"/>
      <c r="N618" s="96"/>
      <c r="O618" s="97"/>
      <c r="P618" s="70"/>
      <c r="Q618" s="97"/>
      <c r="R618" s="97"/>
      <c r="S618" s="98"/>
      <c r="T618" s="97"/>
      <c r="U618" s="98"/>
      <c r="V618" s="100"/>
      <c r="W618" s="98"/>
      <c r="X618" s="96"/>
      <c r="Y618" s="98"/>
      <c r="Z618" s="96"/>
      <c r="AA618" s="97"/>
      <c r="AB618" s="96"/>
      <c r="AC618" s="98"/>
      <c r="AD618" s="98"/>
      <c r="AE618" s="98"/>
    </row>
    <row r="619" spans="2:31" x14ac:dyDescent="0.3">
      <c r="B619" s="96"/>
      <c r="C619" s="96"/>
      <c r="D619" s="96"/>
      <c r="E619" s="97"/>
      <c r="F619" s="96"/>
      <c r="G619" s="98"/>
      <c r="H619" s="96"/>
      <c r="I619" s="98"/>
      <c r="J619" s="97"/>
      <c r="K619" s="98"/>
      <c r="L619" s="100"/>
      <c r="M619" s="98"/>
      <c r="N619" s="96"/>
      <c r="O619" s="97"/>
      <c r="P619" s="70"/>
      <c r="Q619" s="97"/>
      <c r="R619" s="97"/>
      <c r="S619" s="98"/>
      <c r="T619" s="97"/>
      <c r="U619" s="98"/>
      <c r="V619" s="100"/>
      <c r="W619" s="98"/>
      <c r="X619" s="96"/>
      <c r="Y619" s="98"/>
      <c r="Z619" s="96"/>
      <c r="AA619" s="97"/>
      <c r="AB619" s="96"/>
      <c r="AC619" s="98"/>
      <c r="AD619" s="98"/>
      <c r="AE619" s="98"/>
    </row>
    <row r="620" spans="2:31" x14ac:dyDescent="0.3">
      <c r="B620" s="96"/>
      <c r="C620" s="96"/>
      <c r="D620" s="96"/>
      <c r="E620" s="97"/>
      <c r="F620" s="96"/>
      <c r="G620" s="98"/>
      <c r="H620" s="96"/>
      <c r="I620" s="98"/>
      <c r="J620" s="97"/>
      <c r="K620" s="98"/>
      <c r="L620" s="100"/>
      <c r="M620" s="98"/>
      <c r="N620" s="96"/>
      <c r="O620" s="97"/>
      <c r="P620" s="70"/>
      <c r="Q620" s="97"/>
      <c r="R620" s="97"/>
      <c r="S620" s="98"/>
      <c r="T620" s="97"/>
      <c r="U620" s="98"/>
      <c r="V620" s="100"/>
      <c r="W620" s="98"/>
      <c r="X620" s="96"/>
      <c r="Y620" s="98"/>
      <c r="Z620" s="96"/>
      <c r="AA620" s="97"/>
      <c r="AB620" s="96"/>
      <c r="AC620" s="98"/>
      <c r="AD620" s="98"/>
      <c r="AE620" s="98"/>
    </row>
    <row r="621" spans="2:31" x14ac:dyDescent="0.3">
      <c r="B621" s="96"/>
      <c r="C621" s="96"/>
      <c r="D621" s="96"/>
      <c r="E621" s="97"/>
      <c r="F621" s="96"/>
      <c r="G621" s="98"/>
      <c r="H621" s="96"/>
      <c r="I621" s="98"/>
      <c r="J621" s="97"/>
      <c r="K621" s="98"/>
      <c r="L621" s="100"/>
      <c r="M621" s="98"/>
      <c r="N621" s="96"/>
      <c r="O621" s="97"/>
      <c r="P621" s="70"/>
      <c r="Q621" s="97"/>
      <c r="R621" s="97"/>
      <c r="S621" s="98"/>
      <c r="T621" s="97"/>
      <c r="U621" s="98"/>
      <c r="V621" s="100"/>
      <c r="W621" s="98"/>
      <c r="X621" s="96"/>
      <c r="Y621" s="98"/>
      <c r="Z621" s="96"/>
      <c r="AA621" s="97"/>
      <c r="AB621" s="96"/>
      <c r="AC621" s="98"/>
      <c r="AD621" s="98"/>
      <c r="AE621" s="98"/>
    </row>
    <row r="622" spans="2:31" x14ac:dyDescent="0.3">
      <c r="B622" s="96"/>
      <c r="C622" s="96"/>
      <c r="D622" s="96"/>
      <c r="E622" s="97"/>
      <c r="F622" s="96"/>
      <c r="G622" s="98"/>
      <c r="H622" s="96"/>
      <c r="I622" s="98"/>
      <c r="J622" s="97"/>
      <c r="K622" s="98"/>
      <c r="L622" s="100"/>
      <c r="M622" s="98"/>
      <c r="N622" s="96"/>
      <c r="O622" s="97"/>
      <c r="P622" s="70"/>
      <c r="Q622" s="97"/>
      <c r="R622" s="97"/>
      <c r="S622" s="98"/>
      <c r="T622" s="97"/>
      <c r="U622" s="98"/>
      <c r="V622" s="100"/>
      <c r="W622" s="98"/>
      <c r="X622" s="96"/>
      <c r="Y622" s="98"/>
      <c r="Z622" s="96"/>
      <c r="AA622" s="97"/>
      <c r="AB622" s="96"/>
      <c r="AC622" s="98"/>
      <c r="AD622" s="98"/>
      <c r="AE622" s="98"/>
    </row>
    <row r="623" spans="2:31" x14ac:dyDescent="0.3">
      <c r="B623" s="96"/>
      <c r="C623" s="96"/>
      <c r="D623" s="96"/>
      <c r="E623" s="97"/>
      <c r="F623" s="96"/>
      <c r="G623" s="98"/>
      <c r="H623" s="96"/>
      <c r="I623" s="98"/>
      <c r="J623" s="97"/>
      <c r="K623" s="98"/>
      <c r="L623" s="100"/>
      <c r="M623" s="98"/>
      <c r="N623" s="96"/>
      <c r="O623" s="97"/>
      <c r="P623" s="70"/>
      <c r="Q623" s="97"/>
      <c r="R623" s="97"/>
      <c r="S623" s="98"/>
      <c r="T623" s="97"/>
      <c r="U623" s="98"/>
      <c r="V623" s="100"/>
      <c r="W623" s="98"/>
      <c r="X623" s="96"/>
      <c r="Y623" s="98"/>
      <c r="Z623" s="96"/>
      <c r="AA623" s="97"/>
      <c r="AB623" s="96"/>
      <c r="AC623" s="98"/>
      <c r="AD623" s="98"/>
      <c r="AE623" s="98"/>
    </row>
    <row r="624" spans="2:31" x14ac:dyDescent="0.3">
      <c r="B624" s="96"/>
      <c r="C624" s="96"/>
      <c r="D624" s="96"/>
      <c r="E624" s="97"/>
      <c r="F624" s="96"/>
      <c r="G624" s="98"/>
      <c r="H624" s="96"/>
      <c r="I624" s="98"/>
      <c r="J624" s="97"/>
      <c r="K624" s="98"/>
      <c r="L624" s="100"/>
      <c r="M624" s="98"/>
      <c r="N624" s="96"/>
      <c r="O624" s="97"/>
      <c r="P624" s="70"/>
      <c r="Q624" s="97"/>
      <c r="R624" s="97"/>
      <c r="S624" s="98"/>
      <c r="T624" s="97"/>
      <c r="U624" s="98"/>
      <c r="V624" s="100"/>
      <c r="W624" s="98"/>
      <c r="X624" s="96"/>
      <c r="Y624" s="98"/>
      <c r="Z624" s="96"/>
      <c r="AA624" s="97"/>
      <c r="AB624" s="96"/>
      <c r="AC624" s="98"/>
      <c r="AD624" s="98"/>
      <c r="AE624" s="98"/>
    </row>
    <row r="625" spans="2:31" x14ac:dyDescent="0.3">
      <c r="B625" s="96"/>
      <c r="C625" s="96"/>
      <c r="D625" s="96"/>
      <c r="E625" s="97"/>
      <c r="F625" s="96"/>
      <c r="G625" s="98"/>
      <c r="H625" s="96"/>
      <c r="I625" s="98"/>
      <c r="J625" s="97"/>
      <c r="K625" s="98"/>
      <c r="L625" s="100"/>
      <c r="M625" s="98"/>
      <c r="N625" s="96"/>
      <c r="O625" s="97"/>
      <c r="P625" s="70"/>
      <c r="Q625" s="97"/>
      <c r="R625" s="97"/>
      <c r="S625" s="98"/>
      <c r="T625" s="97"/>
      <c r="U625" s="98"/>
      <c r="V625" s="100"/>
      <c r="W625" s="98"/>
      <c r="X625" s="96"/>
      <c r="Y625" s="98"/>
      <c r="Z625" s="96"/>
      <c r="AA625" s="97"/>
      <c r="AB625" s="96"/>
      <c r="AC625" s="98"/>
      <c r="AD625" s="98"/>
      <c r="AE625" s="98"/>
    </row>
    <row r="626" spans="2:31" x14ac:dyDescent="0.3">
      <c r="B626" s="96"/>
      <c r="C626" s="96"/>
      <c r="D626" s="96"/>
      <c r="E626" s="97"/>
      <c r="F626" s="96"/>
      <c r="G626" s="98"/>
      <c r="H626" s="96"/>
      <c r="I626" s="98"/>
      <c r="J626" s="97"/>
      <c r="K626" s="98"/>
      <c r="L626" s="100"/>
      <c r="M626" s="98"/>
      <c r="N626" s="96"/>
      <c r="O626" s="97"/>
      <c r="P626" s="70"/>
      <c r="Q626" s="97"/>
      <c r="R626" s="97"/>
      <c r="S626" s="98"/>
      <c r="T626" s="97"/>
      <c r="U626" s="98"/>
      <c r="V626" s="100"/>
      <c r="W626" s="98"/>
      <c r="X626" s="96"/>
      <c r="Y626" s="98"/>
      <c r="Z626" s="96"/>
      <c r="AA626" s="97"/>
      <c r="AB626" s="96"/>
      <c r="AC626" s="98"/>
      <c r="AD626" s="98"/>
      <c r="AE626" s="98"/>
    </row>
    <row r="627" spans="2:31" x14ac:dyDescent="0.3">
      <c r="B627" s="96"/>
      <c r="C627" s="96"/>
      <c r="D627" s="96"/>
      <c r="E627" s="97"/>
      <c r="F627" s="96"/>
      <c r="G627" s="98"/>
      <c r="H627" s="96"/>
      <c r="I627" s="98"/>
      <c r="J627" s="97"/>
      <c r="K627" s="98"/>
      <c r="L627" s="100"/>
      <c r="M627" s="98"/>
      <c r="N627" s="96"/>
      <c r="O627" s="97"/>
      <c r="P627" s="70"/>
      <c r="Q627" s="97"/>
      <c r="R627" s="97"/>
      <c r="S627" s="98"/>
      <c r="T627" s="97"/>
      <c r="U627" s="98"/>
      <c r="V627" s="100"/>
      <c r="W627" s="98"/>
      <c r="X627" s="96"/>
      <c r="Y627" s="98"/>
      <c r="Z627" s="96"/>
      <c r="AA627" s="97"/>
      <c r="AB627" s="96"/>
      <c r="AC627" s="98"/>
      <c r="AD627" s="98"/>
      <c r="AE627" s="98"/>
    </row>
    <row r="628" spans="2:31" x14ac:dyDescent="0.3">
      <c r="B628" s="96"/>
      <c r="C628" s="96"/>
      <c r="D628" s="96"/>
      <c r="E628" s="97"/>
      <c r="F628" s="96"/>
      <c r="G628" s="98"/>
      <c r="H628" s="96"/>
      <c r="I628" s="98"/>
      <c r="J628" s="97"/>
      <c r="K628" s="98"/>
      <c r="L628" s="100"/>
      <c r="M628" s="98"/>
      <c r="N628" s="96"/>
      <c r="O628" s="97"/>
      <c r="P628" s="70"/>
      <c r="Q628" s="97"/>
      <c r="R628" s="97"/>
      <c r="S628" s="98"/>
      <c r="T628" s="97"/>
      <c r="U628" s="98"/>
      <c r="V628" s="100"/>
      <c r="W628" s="98"/>
      <c r="X628" s="96"/>
      <c r="Y628" s="98"/>
      <c r="Z628" s="96"/>
      <c r="AA628" s="97"/>
      <c r="AB628" s="96"/>
      <c r="AC628" s="98"/>
      <c r="AD628" s="98"/>
      <c r="AE628" s="98"/>
    </row>
    <row r="629" spans="2:31" x14ac:dyDescent="0.3">
      <c r="B629" s="96"/>
      <c r="C629" s="96"/>
      <c r="D629" s="96"/>
      <c r="E629" s="97"/>
      <c r="F629" s="96"/>
      <c r="G629" s="98"/>
      <c r="H629" s="96"/>
      <c r="I629" s="98"/>
      <c r="J629" s="97"/>
      <c r="K629" s="98"/>
      <c r="L629" s="100"/>
      <c r="M629" s="98"/>
      <c r="N629" s="96"/>
      <c r="O629" s="97"/>
      <c r="P629" s="70"/>
      <c r="Q629" s="97"/>
      <c r="R629" s="97"/>
      <c r="S629" s="98"/>
      <c r="T629" s="97"/>
      <c r="U629" s="98"/>
      <c r="V629" s="100"/>
      <c r="W629" s="98"/>
      <c r="X629" s="96"/>
      <c r="Y629" s="98"/>
      <c r="Z629" s="96"/>
      <c r="AA629" s="97"/>
      <c r="AB629" s="96"/>
      <c r="AC629" s="98"/>
      <c r="AD629" s="98"/>
      <c r="AE629" s="98"/>
    </row>
    <row r="630" spans="2:31" x14ac:dyDescent="0.3">
      <c r="B630" s="96"/>
      <c r="C630" s="96"/>
      <c r="D630" s="96"/>
      <c r="E630" s="97"/>
      <c r="F630" s="96"/>
      <c r="G630" s="98"/>
      <c r="H630" s="96"/>
      <c r="I630" s="98"/>
      <c r="J630" s="97"/>
      <c r="K630" s="98"/>
      <c r="L630" s="100"/>
      <c r="M630" s="98"/>
      <c r="N630" s="96"/>
      <c r="O630" s="97"/>
      <c r="P630" s="70"/>
      <c r="Q630" s="97"/>
      <c r="R630" s="97"/>
      <c r="S630" s="98"/>
      <c r="T630" s="97"/>
      <c r="U630" s="98"/>
      <c r="V630" s="100"/>
      <c r="W630" s="98"/>
      <c r="X630" s="96"/>
      <c r="Y630" s="98"/>
      <c r="Z630" s="96"/>
      <c r="AA630" s="97"/>
      <c r="AB630" s="96"/>
      <c r="AC630" s="98"/>
      <c r="AD630" s="98"/>
      <c r="AE630" s="98"/>
    </row>
    <row r="631" spans="2:31" x14ac:dyDescent="0.3">
      <c r="B631" s="96"/>
      <c r="C631" s="96"/>
      <c r="D631" s="96"/>
      <c r="E631" s="97"/>
      <c r="F631" s="96"/>
      <c r="G631" s="98"/>
      <c r="H631" s="96"/>
      <c r="I631" s="98"/>
      <c r="J631" s="97"/>
      <c r="K631" s="98"/>
      <c r="L631" s="100"/>
      <c r="M631" s="98"/>
      <c r="N631" s="96"/>
      <c r="O631" s="97"/>
      <c r="P631" s="70"/>
      <c r="Q631" s="97"/>
      <c r="R631" s="97"/>
      <c r="S631" s="98"/>
      <c r="T631" s="97"/>
      <c r="U631" s="98"/>
      <c r="V631" s="100"/>
      <c r="W631" s="98"/>
      <c r="X631" s="96"/>
      <c r="Y631" s="98"/>
      <c r="Z631" s="96"/>
      <c r="AA631" s="97"/>
      <c r="AB631" s="96"/>
      <c r="AC631" s="98"/>
      <c r="AD631" s="98"/>
      <c r="AE631" s="98"/>
    </row>
    <row r="632" spans="2:31" x14ac:dyDescent="0.3">
      <c r="B632" s="96"/>
      <c r="C632" s="96"/>
      <c r="D632" s="96"/>
      <c r="E632" s="97"/>
      <c r="F632" s="96"/>
      <c r="G632" s="98"/>
      <c r="H632" s="96"/>
      <c r="I632" s="98"/>
      <c r="J632" s="97"/>
      <c r="K632" s="98"/>
      <c r="L632" s="100"/>
      <c r="M632" s="98"/>
      <c r="N632" s="96"/>
      <c r="O632" s="97"/>
      <c r="P632" s="70"/>
      <c r="Q632" s="97"/>
      <c r="R632" s="97"/>
      <c r="S632" s="98"/>
      <c r="T632" s="97"/>
      <c r="U632" s="98"/>
      <c r="V632" s="100"/>
      <c r="W632" s="98"/>
      <c r="X632" s="96"/>
      <c r="Y632" s="98"/>
      <c r="Z632" s="96"/>
      <c r="AA632" s="97"/>
      <c r="AB632" s="96"/>
      <c r="AC632" s="98"/>
      <c r="AD632" s="98"/>
      <c r="AE632" s="98"/>
    </row>
    <row r="633" spans="2:31" x14ac:dyDescent="0.3">
      <c r="B633" s="96"/>
      <c r="C633" s="96"/>
      <c r="D633" s="96"/>
      <c r="E633" s="97"/>
      <c r="F633" s="96"/>
      <c r="G633" s="98"/>
      <c r="H633" s="96"/>
      <c r="I633" s="98"/>
      <c r="J633" s="97"/>
      <c r="K633" s="98"/>
      <c r="L633" s="100"/>
      <c r="M633" s="98"/>
      <c r="N633" s="96"/>
      <c r="O633" s="97"/>
      <c r="P633" s="70"/>
      <c r="Q633" s="97"/>
      <c r="R633" s="97"/>
      <c r="S633" s="98"/>
      <c r="T633" s="97"/>
      <c r="U633" s="98"/>
      <c r="V633" s="100"/>
      <c r="W633" s="98"/>
      <c r="X633" s="96"/>
      <c r="Y633" s="98"/>
      <c r="Z633" s="96"/>
      <c r="AA633" s="97"/>
      <c r="AB633" s="96"/>
      <c r="AC633" s="98"/>
      <c r="AD633" s="98"/>
      <c r="AE633" s="98"/>
    </row>
    <row r="634" spans="2:31" x14ac:dyDescent="0.3">
      <c r="B634" s="96"/>
      <c r="C634" s="96"/>
      <c r="D634" s="96"/>
      <c r="E634" s="97"/>
      <c r="F634" s="96"/>
      <c r="G634" s="98"/>
      <c r="H634" s="96"/>
      <c r="I634" s="98"/>
      <c r="J634" s="97"/>
      <c r="K634" s="98"/>
      <c r="L634" s="100"/>
      <c r="M634" s="98"/>
      <c r="N634" s="96"/>
      <c r="O634" s="97"/>
      <c r="P634" s="70"/>
      <c r="Q634" s="97"/>
      <c r="R634" s="97"/>
      <c r="S634" s="98"/>
      <c r="T634" s="97"/>
      <c r="U634" s="98"/>
      <c r="V634" s="100"/>
      <c r="W634" s="98"/>
      <c r="X634" s="96"/>
      <c r="Y634" s="98"/>
      <c r="Z634" s="96"/>
      <c r="AA634" s="97"/>
      <c r="AB634" s="96"/>
      <c r="AC634" s="98"/>
      <c r="AD634" s="98"/>
      <c r="AE634" s="98"/>
    </row>
    <row r="635" spans="2:31" x14ac:dyDescent="0.3">
      <c r="B635" s="96"/>
      <c r="C635" s="96"/>
      <c r="D635" s="96"/>
      <c r="E635" s="97"/>
      <c r="F635" s="96"/>
      <c r="G635" s="98"/>
      <c r="H635" s="96"/>
      <c r="I635" s="98"/>
      <c r="J635" s="97"/>
      <c r="K635" s="98"/>
      <c r="L635" s="100"/>
      <c r="M635" s="98"/>
      <c r="N635" s="96"/>
      <c r="O635" s="97"/>
      <c r="P635" s="70"/>
      <c r="Q635" s="97"/>
      <c r="R635" s="97"/>
      <c r="S635" s="98"/>
      <c r="T635" s="97"/>
      <c r="U635" s="98"/>
      <c r="V635" s="100"/>
      <c r="W635" s="98"/>
      <c r="X635" s="96"/>
      <c r="Y635" s="98"/>
      <c r="Z635" s="96"/>
      <c r="AA635" s="97"/>
      <c r="AB635" s="96"/>
      <c r="AC635" s="98"/>
      <c r="AD635" s="98"/>
      <c r="AE635" s="98"/>
    </row>
    <row r="636" spans="2:31" x14ac:dyDescent="0.3">
      <c r="B636" s="96"/>
      <c r="C636" s="96"/>
      <c r="D636" s="96"/>
      <c r="E636" s="97"/>
      <c r="F636" s="96"/>
      <c r="G636" s="98"/>
      <c r="H636" s="96"/>
      <c r="I636" s="98"/>
      <c r="J636" s="97"/>
      <c r="K636" s="98"/>
      <c r="L636" s="100"/>
      <c r="M636" s="98"/>
      <c r="N636" s="96"/>
      <c r="O636" s="97"/>
      <c r="P636" s="70"/>
      <c r="Q636" s="97"/>
      <c r="R636" s="97"/>
      <c r="S636" s="98"/>
      <c r="T636" s="97"/>
      <c r="U636" s="98"/>
      <c r="V636" s="100"/>
      <c r="W636" s="98"/>
      <c r="X636" s="96"/>
      <c r="Y636" s="98"/>
      <c r="Z636" s="96"/>
      <c r="AA636" s="97"/>
      <c r="AB636" s="96"/>
      <c r="AC636" s="98"/>
      <c r="AD636" s="98"/>
      <c r="AE636" s="98"/>
    </row>
    <row r="637" spans="2:31" x14ac:dyDescent="0.3">
      <c r="B637" s="96"/>
      <c r="C637" s="96"/>
      <c r="D637" s="96"/>
      <c r="E637" s="97"/>
      <c r="F637" s="96"/>
      <c r="G637" s="98"/>
      <c r="H637" s="96"/>
      <c r="I637" s="98"/>
      <c r="J637" s="97"/>
      <c r="K637" s="98"/>
      <c r="L637" s="100"/>
      <c r="M637" s="98"/>
      <c r="N637" s="96"/>
      <c r="O637" s="97"/>
      <c r="P637" s="70"/>
      <c r="Q637" s="97"/>
      <c r="R637" s="97"/>
      <c r="S637" s="98"/>
      <c r="T637" s="97"/>
      <c r="U637" s="98"/>
      <c r="V637" s="100"/>
      <c r="W637" s="98"/>
      <c r="X637" s="96"/>
      <c r="Y637" s="98"/>
      <c r="Z637" s="96"/>
      <c r="AA637" s="97"/>
      <c r="AB637" s="96"/>
      <c r="AC637" s="98"/>
      <c r="AD637" s="98"/>
      <c r="AE637" s="98"/>
    </row>
    <row r="638" spans="2:31" x14ac:dyDescent="0.3">
      <c r="B638" s="96"/>
      <c r="C638" s="96"/>
      <c r="D638" s="96"/>
      <c r="E638" s="97"/>
      <c r="F638" s="96"/>
      <c r="G638" s="98"/>
      <c r="H638" s="96"/>
      <c r="I638" s="98"/>
      <c r="J638" s="97"/>
      <c r="K638" s="98"/>
      <c r="L638" s="100"/>
      <c r="M638" s="98"/>
      <c r="N638" s="96"/>
      <c r="O638" s="97"/>
      <c r="P638" s="70"/>
      <c r="Q638" s="97"/>
      <c r="R638" s="97"/>
      <c r="S638" s="98"/>
      <c r="T638" s="97"/>
      <c r="U638" s="98"/>
      <c r="V638" s="100"/>
      <c r="W638" s="98"/>
      <c r="X638" s="96"/>
      <c r="Y638" s="98"/>
      <c r="Z638" s="96"/>
      <c r="AA638" s="97"/>
      <c r="AB638" s="96"/>
      <c r="AC638" s="98"/>
      <c r="AD638" s="98"/>
      <c r="AE638" s="98"/>
    </row>
    <row r="639" spans="2:31" x14ac:dyDescent="0.3">
      <c r="B639" s="96"/>
      <c r="C639" s="96"/>
      <c r="D639" s="96"/>
      <c r="E639" s="97"/>
      <c r="F639" s="96"/>
      <c r="G639" s="98"/>
      <c r="H639" s="96"/>
      <c r="I639" s="98"/>
      <c r="J639" s="97"/>
      <c r="K639" s="98"/>
      <c r="L639" s="100"/>
      <c r="M639" s="98"/>
      <c r="N639" s="96"/>
      <c r="O639" s="97"/>
      <c r="P639" s="70"/>
      <c r="Q639" s="97"/>
      <c r="R639" s="97"/>
      <c r="S639" s="98"/>
      <c r="T639" s="97"/>
      <c r="U639" s="98"/>
      <c r="V639" s="100"/>
      <c r="W639" s="98"/>
      <c r="X639" s="96"/>
      <c r="Y639" s="98"/>
      <c r="Z639" s="96"/>
      <c r="AA639" s="97"/>
      <c r="AB639" s="96"/>
      <c r="AC639" s="98"/>
      <c r="AD639" s="98"/>
      <c r="AE639" s="98"/>
    </row>
    <row r="640" spans="2:31" x14ac:dyDescent="0.3">
      <c r="B640" s="96"/>
      <c r="C640" s="96"/>
      <c r="D640" s="96"/>
      <c r="E640" s="97"/>
      <c r="F640" s="96"/>
      <c r="G640" s="98"/>
      <c r="H640" s="96"/>
      <c r="I640" s="98"/>
      <c r="J640" s="97"/>
      <c r="K640" s="98"/>
      <c r="L640" s="100"/>
      <c r="M640" s="98"/>
      <c r="N640" s="96"/>
      <c r="O640" s="97"/>
      <c r="P640" s="70"/>
      <c r="Q640" s="97"/>
      <c r="R640" s="97"/>
      <c r="S640" s="98"/>
      <c r="T640" s="97"/>
      <c r="U640" s="98"/>
      <c r="V640" s="100"/>
      <c r="W640" s="98"/>
      <c r="X640" s="96"/>
      <c r="Y640" s="98"/>
      <c r="Z640" s="96"/>
      <c r="AA640" s="97"/>
      <c r="AB640" s="96"/>
      <c r="AC640" s="98"/>
      <c r="AD640" s="98"/>
      <c r="AE640" s="98"/>
    </row>
    <row r="641" spans="2:31" x14ac:dyDescent="0.3">
      <c r="B641" s="96"/>
      <c r="C641" s="96"/>
      <c r="D641" s="96"/>
      <c r="E641" s="97"/>
      <c r="F641" s="96"/>
      <c r="G641" s="98"/>
      <c r="H641" s="96"/>
      <c r="I641" s="98"/>
      <c r="J641" s="97"/>
      <c r="K641" s="98"/>
      <c r="L641" s="100"/>
      <c r="M641" s="98"/>
      <c r="N641" s="96"/>
      <c r="O641" s="97"/>
      <c r="P641" s="70"/>
      <c r="Q641" s="97"/>
      <c r="R641" s="97"/>
      <c r="S641" s="98"/>
      <c r="T641" s="97"/>
      <c r="U641" s="98"/>
      <c r="V641" s="100"/>
      <c r="W641" s="98"/>
      <c r="X641" s="96"/>
      <c r="Y641" s="98"/>
      <c r="Z641" s="96"/>
      <c r="AA641" s="97"/>
      <c r="AB641" s="96"/>
      <c r="AC641" s="98"/>
      <c r="AD641" s="98"/>
      <c r="AE641" s="98"/>
    </row>
    <row r="642" spans="2:31" x14ac:dyDescent="0.3">
      <c r="B642" s="96"/>
      <c r="C642" s="96"/>
      <c r="D642" s="96"/>
      <c r="E642" s="97"/>
      <c r="F642" s="96"/>
      <c r="G642" s="98"/>
      <c r="H642" s="96"/>
      <c r="I642" s="98"/>
      <c r="J642" s="97"/>
      <c r="K642" s="98"/>
      <c r="L642" s="100"/>
      <c r="M642" s="98"/>
      <c r="N642" s="96"/>
      <c r="O642" s="97"/>
      <c r="P642" s="70"/>
      <c r="Q642" s="97"/>
      <c r="R642" s="97"/>
      <c r="S642" s="98"/>
      <c r="T642" s="97"/>
      <c r="U642" s="98"/>
      <c r="V642" s="100"/>
      <c r="W642" s="98"/>
      <c r="X642" s="96"/>
      <c r="Y642" s="98"/>
      <c r="Z642" s="96"/>
      <c r="AA642" s="97"/>
      <c r="AB642" s="96"/>
      <c r="AC642" s="98"/>
      <c r="AD642" s="98"/>
      <c r="AE642" s="98"/>
    </row>
    <row r="643" spans="2:31" x14ac:dyDescent="0.3">
      <c r="B643" s="96"/>
      <c r="C643" s="96"/>
      <c r="D643" s="96"/>
      <c r="E643" s="97"/>
      <c r="F643" s="96"/>
      <c r="G643" s="98"/>
      <c r="H643" s="96"/>
      <c r="I643" s="98"/>
      <c r="J643" s="97"/>
      <c r="K643" s="98"/>
      <c r="L643" s="100"/>
      <c r="M643" s="98"/>
      <c r="N643" s="96"/>
      <c r="O643" s="97"/>
      <c r="P643" s="70"/>
      <c r="Q643" s="97"/>
      <c r="R643" s="97"/>
      <c r="S643" s="98"/>
      <c r="T643" s="97"/>
      <c r="U643" s="98"/>
      <c r="V643" s="100"/>
      <c r="W643" s="98"/>
      <c r="X643" s="96"/>
      <c r="Y643" s="98"/>
      <c r="Z643" s="96"/>
      <c r="AA643" s="97"/>
      <c r="AB643" s="96"/>
      <c r="AC643" s="98"/>
      <c r="AD643" s="98"/>
      <c r="AE643" s="98"/>
    </row>
    <row r="644" spans="2:31" x14ac:dyDescent="0.3">
      <c r="B644" s="96"/>
      <c r="C644" s="96"/>
      <c r="D644" s="96"/>
      <c r="E644" s="97"/>
      <c r="F644" s="96"/>
      <c r="G644" s="98"/>
      <c r="H644" s="96"/>
      <c r="I644" s="98"/>
      <c r="J644" s="97"/>
      <c r="K644" s="98"/>
      <c r="L644" s="100"/>
      <c r="M644" s="98"/>
      <c r="N644" s="96"/>
      <c r="O644" s="97"/>
      <c r="P644" s="70"/>
      <c r="Q644" s="97"/>
      <c r="R644" s="97"/>
      <c r="S644" s="98"/>
      <c r="T644" s="97"/>
      <c r="U644" s="98"/>
      <c r="V644" s="100"/>
      <c r="W644" s="98"/>
      <c r="X644" s="96"/>
      <c r="Y644" s="98"/>
      <c r="Z644" s="96"/>
      <c r="AA644" s="97"/>
      <c r="AB644" s="96"/>
      <c r="AC644" s="98"/>
      <c r="AD644" s="98"/>
      <c r="AE644" s="98"/>
    </row>
    <row r="645" spans="2:31" x14ac:dyDescent="0.3">
      <c r="B645" s="96"/>
      <c r="C645" s="96"/>
      <c r="D645" s="96"/>
      <c r="E645" s="97"/>
      <c r="F645" s="96"/>
      <c r="G645" s="98"/>
      <c r="H645" s="96"/>
      <c r="I645" s="98"/>
      <c r="J645" s="97"/>
      <c r="K645" s="98"/>
      <c r="L645" s="100"/>
      <c r="M645" s="98"/>
      <c r="N645" s="96"/>
      <c r="O645" s="97"/>
      <c r="P645" s="70"/>
      <c r="Q645" s="97"/>
      <c r="R645" s="97"/>
      <c r="S645" s="98"/>
      <c r="T645" s="97"/>
      <c r="U645" s="98"/>
      <c r="V645" s="100"/>
      <c r="W645" s="98"/>
      <c r="X645" s="96"/>
      <c r="Y645" s="98"/>
      <c r="Z645" s="96"/>
      <c r="AA645" s="97"/>
      <c r="AB645" s="96"/>
      <c r="AC645" s="98"/>
      <c r="AD645" s="98"/>
      <c r="AE645" s="98"/>
    </row>
    <row r="646" spans="2:31" x14ac:dyDescent="0.3">
      <c r="B646" s="96"/>
      <c r="C646" s="96"/>
      <c r="D646" s="96"/>
      <c r="E646" s="97"/>
      <c r="F646" s="96"/>
      <c r="G646" s="98"/>
      <c r="H646" s="96"/>
      <c r="I646" s="98"/>
      <c r="J646" s="97"/>
      <c r="K646" s="98"/>
      <c r="L646" s="100"/>
      <c r="M646" s="98"/>
      <c r="N646" s="96"/>
      <c r="O646" s="97"/>
      <c r="P646" s="70"/>
      <c r="Q646" s="97"/>
      <c r="R646" s="97"/>
      <c r="S646" s="98"/>
      <c r="T646" s="97"/>
      <c r="U646" s="98"/>
      <c r="V646" s="100"/>
      <c r="W646" s="98"/>
      <c r="X646" s="96"/>
      <c r="Y646" s="98"/>
      <c r="Z646" s="96"/>
      <c r="AA646" s="97"/>
      <c r="AB646" s="96"/>
      <c r="AC646" s="98"/>
      <c r="AD646" s="98"/>
      <c r="AE646" s="98"/>
    </row>
    <row r="647" spans="2:31" x14ac:dyDescent="0.3">
      <c r="B647" s="96"/>
      <c r="C647" s="96"/>
      <c r="D647" s="96"/>
      <c r="E647" s="97"/>
      <c r="F647" s="96"/>
      <c r="G647" s="98"/>
      <c r="H647" s="96"/>
      <c r="I647" s="98"/>
      <c r="J647" s="97"/>
      <c r="K647" s="98"/>
      <c r="L647" s="100"/>
      <c r="M647" s="98"/>
      <c r="N647" s="96"/>
      <c r="O647" s="97"/>
      <c r="P647" s="70"/>
      <c r="Q647" s="97"/>
      <c r="R647" s="97"/>
      <c r="S647" s="98"/>
      <c r="T647" s="97"/>
      <c r="U647" s="98"/>
      <c r="V647" s="100"/>
      <c r="W647" s="98"/>
      <c r="X647" s="96"/>
      <c r="Y647" s="98"/>
      <c r="Z647" s="96"/>
      <c r="AA647" s="97"/>
      <c r="AB647" s="96"/>
      <c r="AC647" s="98"/>
      <c r="AD647" s="98"/>
      <c r="AE647" s="98"/>
    </row>
    <row r="648" spans="2:31" x14ac:dyDescent="0.3">
      <c r="B648" s="96"/>
      <c r="C648" s="96"/>
      <c r="D648" s="96"/>
      <c r="E648" s="97"/>
      <c r="F648" s="96"/>
      <c r="G648" s="98"/>
      <c r="H648" s="96"/>
      <c r="I648" s="98"/>
      <c r="J648" s="97"/>
      <c r="K648" s="98"/>
      <c r="L648" s="100"/>
      <c r="M648" s="98"/>
      <c r="N648" s="96"/>
      <c r="O648" s="97"/>
      <c r="P648" s="70"/>
      <c r="Q648" s="97"/>
      <c r="R648" s="97"/>
      <c r="S648" s="98"/>
      <c r="T648" s="97"/>
      <c r="U648" s="98"/>
      <c r="V648" s="100"/>
      <c r="W648" s="98"/>
      <c r="X648" s="96"/>
      <c r="Y648" s="98"/>
      <c r="Z648" s="96"/>
      <c r="AA648" s="97"/>
      <c r="AB648" s="96"/>
      <c r="AC648" s="98"/>
      <c r="AD648" s="98"/>
      <c r="AE648" s="98"/>
    </row>
    <row r="649" spans="2:31" x14ac:dyDescent="0.3">
      <c r="B649" s="96"/>
      <c r="C649" s="96"/>
      <c r="D649" s="96"/>
      <c r="E649" s="97"/>
      <c r="F649" s="96"/>
      <c r="G649" s="98"/>
      <c r="H649" s="96"/>
      <c r="I649" s="98"/>
      <c r="J649" s="97"/>
      <c r="K649" s="98"/>
      <c r="L649" s="100"/>
      <c r="M649" s="98"/>
      <c r="N649" s="96"/>
      <c r="O649" s="97"/>
      <c r="P649" s="70"/>
      <c r="Q649" s="97"/>
      <c r="R649" s="97"/>
      <c r="S649" s="98"/>
      <c r="T649" s="97"/>
      <c r="U649" s="98"/>
      <c r="V649" s="100"/>
      <c r="W649" s="98"/>
      <c r="X649" s="96"/>
      <c r="Y649" s="98"/>
      <c r="Z649" s="96"/>
      <c r="AA649" s="97"/>
      <c r="AB649" s="96"/>
      <c r="AC649" s="98"/>
      <c r="AD649" s="98"/>
      <c r="AE649" s="98"/>
    </row>
    <row r="650" spans="2:31" x14ac:dyDescent="0.3">
      <c r="B650" s="96"/>
      <c r="C650" s="96"/>
      <c r="D650" s="96"/>
      <c r="E650" s="97"/>
      <c r="F650" s="96"/>
      <c r="G650" s="98"/>
      <c r="H650" s="96"/>
      <c r="I650" s="98"/>
      <c r="J650" s="97"/>
      <c r="K650" s="98"/>
      <c r="L650" s="100"/>
      <c r="M650" s="98"/>
      <c r="N650" s="96"/>
      <c r="O650" s="97"/>
      <c r="P650" s="70"/>
      <c r="Q650" s="97"/>
      <c r="R650" s="97"/>
      <c r="S650" s="98"/>
      <c r="T650" s="97"/>
      <c r="U650" s="98"/>
      <c r="V650" s="100"/>
      <c r="W650" s="98"/>
      <c r="X650" s="96"/>
      <c r="Y650" s="98"/>
      <c r="Z650" s="96"/>
      <c r="AA650" s="97"/>
      <c r="AB650" s="96"/>
      <c r="AC650" s="98"/>
      <c r="AD650" s="98"/>
      <c r="AE650" s="98"/>
    </row>
    <row r="651" spans="2:31" x14ac:dyDescent="0.3">
      <c r="B651" s="96"/>
      <c r="C651" s="96"/>
      <c r="D651" s="96"/>
      <c r="E651" s="97"/>
      <c r="F651" s="96"/>
      <c r="G651" s="98"/>
      <c r="H651" s="96"/>
      <c r="I651" s="98"/>
      <c r="J651" s="97"/>
      <c r="K651" s="98"/>
      <c r="L651" s="100"/>
      <c r="M651" s="98"/>
      <c r="N651" s="96"/>
      <c r="O651" s="97"/>
      <c r="P651" s="70"/>
      <c r="Q651" s="97"/>
      <c r="R651" s="97"/>
      <c r="S651" s="98"/>
      <c r="T651" s="97"/>
      <c r="U651" s="98"/>
      <c r="V651" s="100"/>
      <c r="W651" s="98"/>
      <c r="X651" s="96"/>
      <c r="Y651" s="98"/>
      <c r="Z651" s="96"/>
      <c r="AA651" s="97"/>
      <c r="AB651" s="96"/>
      <c r="AC651" s="98"/>
      <c r="AD651" s="98"/>
      <c r="AE651" s="98"/>
    </row>
    <row r="652" spans="2:31" x14ac:dyDescent="0.3">
      <c r="B652" s="96"/>
      <c r="C652" s="96"/>
      <c r="D652" s="96"/>
      <c r="E652" s="97"/>
      <c r="F652" s="96"/>
      <c r="G652" s="98"/>
      <c r="H652" s="96"/>
      <c r="I652" s="98"/>
      <c r="J652" s="97"/>
      <c r="K652" s="98"/>
      <c r="L652" s="100"/>
      <c r="M652" s="98"/>
      <c r="N652" s="96"/>
      <c r="O652" s="97"/>
      <c r="P652" s="70"/>
      <c r="Q652" s="97"/>
      <c r="R652" s="97"/>
      <c r="S652" s="98"/>
      <c r="T652" s="97"/>
      <c r="U652" s="98"/>
      <c r="V652" s="100"/>
      <c r="W652" s="98"/>
      <c r="X652" s="96"/>
      <c r="Y652" s="98"/>
      <c r="Z652" s="96"/>
      <c r="AA652" s="97"/>
      <c r="AB652" s="96"/>
      <c r="AC652" s="98"/>
      <c r="AD652" s="98"/>
      <c r="AE652" s="98"/>
    </row>
    <row r="653" spans="2:31" x14ac:dyDescent="0.3">
      <c r="B653" s="96"/>
      <c r="C653" s="96"/>
      <c r="D653" s="96"/>
      <c r="E653" s="97"/>
      <c r="F653" s="96"/>
      <c r="G653" s="98"/>
      <c r="H653" s="96"/>
      <c r="I653" s="98"/>
      <c r="J653" s="97"/>
      <c r="K653" s="98"/>
      <c r="L653" s="100"/>
      <c r="M653" s="98"/>
      <c r="N653" s="96"/>
      <c r="O653" s="97"/>
      <c r="P653" s="70"/>
      <c r="Q653" s="97"/>
      <c r="R653" s="97"/>
      <c r="S653" s="98"/>
      <c r="T653" s="97"/>
      <c r="U653" s="98"/>
      <c r="V653" s="100"/>
      <c r="W653" s="98"/>
      <c r="X653" s="96"/>
      <c r="Y653" s="98"/>
      <c r="Z653" s="96"/>
      <c r="AA653" s="97"/>
      <c r="AB653" s="96"/>
      <c r="AC653" s="98"/>
      <c r="AD653" s="98"/>
      <c r="AE653" s="98"/>
    </row>
    <row r="654" spans="2:31" x14ac:dyDescent="0.3">
      <c r="B654" s="96"/>
      <c r="C654" s="96"/>
      <c r="D654" s="96"/>
      <c r="E654" s="97"/>
      <c r="F654" s="96"/>
      <c r="G654" s="98"/>
      <c r="H654" s="96"/>
      <c r="I654" s="98"/>
      <c r="J654" s="97"/>
      <c r="K654" s="98"/>
      <c r="L654" s="100"/>
      <c r="M654" s="98"/>
      <c r="N654" s="96"/>
      <c r="O654" s="97"/>
      <c r="P654" s="70"/>
      <c r="Q654" s="97"/>
      <c r="R654" s="97"/>
      <c r="S654" s="98"/>
      <c r="T654" s="97"/>
      <c r="U654" s="98"/>
      <c r="V654" s="100"/>
      <c r="W654" s="98"/>
      <c r="X654" s="96"/>
      <c r="Y654" s="98"/>
      <c r="Z654" s="96"/>
      <c r="AA654" s="97"/>
      <c r="AB654" s="96"/>
      <c r="AC654" s="98"/>
      <c r="AD654" s="98"/>
      <c r="AE654" s="98"/>
    </row>
    <row r="655" spans="2:31" x14ac:dyDescent="0.3">
      <c r="B655" s="96"/>
      <c r="C655" s="96"/>
      <c r="D655" s="96"/>
      <c r="E655" s="97"/>
      <c r="F655" s="96"/>
      <c r="G655" s="98"/>
      <c r="H655" s="96"/>
      <c r="I655" s="98"/>
      <c r="J655" s="97"/>
      <c r="K655" s="98"/>
      <c r="L655" s="100"/>
      <c r="M655" s="98"/>
      <c r="N655" s="96"/>
      <c r="O655" s="97"/>
      <c r="P655" s="70"/>
      <c r="Q655" s="97"/>
      <c r="R655" s="97"/>
      <c r="S655" s="98"/>
      <c r="T655" s="97"/>
      <c r="U655" s="98"/>
      <c r="V655" s="100"/>
      <c r="W655" s="98"/>
      <c r="X655" s="96"/>
      <c r="Y655" s="98"/>
      <c r="Z655" s="96"/>
      <c r="AA655" s="97"/>
      <c r="AB655" s="96"/>
      <c r="AC655" s="98"/>
      <c r="AD655" s="98"/>
      <c r="AE655" s="98"/>
    </row>
    <row r="656" spans="2:31" x14ac:dyDescent="0.3">
      <c r="B656" s="96"/>
      <c r="C656" s="96"/>
      <c r="D656" s="96"/>
      <c r="E656" s="97"/>
      <c r="F656" s="96"/>
      <c r="G656" s="98"/>
      <c r="H656" s="96"/>
      <c r="I656" s="98"/>
      <c r="J656" s="97"/>
      <c r="K656" s="98"/>
      <c r="L656" s="100"/>
      <c r="M656" s="98"/>
      <c r="N656" s="96"/>
      <c r="O656" s="97"/>
      <c r="P656" s="70"/>
      <c r="Q656" s="97"/>
      <c r="R656" s="97"/>
      <c r="S656" s="98"/>
      <c r="T656" s="97"/>
      <c r="U656" s="98"/>
      <c r="V656" s="100"/>
      <c r="W656" s="98"/>
      <c r="X656" s="96"/>
      <c r="Y656" s="98"/>
      <c r="Z656" s="96"/>
      <c r="AA656" s="97"/>
      <c r="AB656" s="96"/>
      <c r="AC656" s="98"/>
      <c r="AD656" s="98"/>
      <c r="AE656" s="98"/>
    </row>
    <row r="657" spans="2:31" x14ac:dyDescent="0.3">
      <c r="B657" s="96"/>
      <c r="C657" s="96"/>
      <c r="D657" s="96"/>
      <c r="E657" s="97"/>
      <c r="F657" s="96"/>
      <c r="G657" s="98"/>
      <c r="H657" s="96"/>
      <c r="I657" s="98"/>
      <c r="J657" s="97"/>
      <c r="K657" s="98"/>
      <c r="L657" s="100"/>
      <c r="M657" s="98"/>
      <c r="N657" s="96"/>
      <c r="O657" s="97"/>
      <c r="P657" s="70"/>
      <c r="Q657" s="97"/>
      <c r="R657" s="97"/>
      <c r="S657" s="98"/>
      <c r="T657" s="97"/>
      <c r="U657" s="98"/>
      <c r="V657" s="100"/>
      <c r="W657" s="98"/>
      <c r="X657" s="96"/>
      <c r="Y657" s="98"/>
      <c r="Z657" s="96"/>
      <c r="AA657" s="97"/>
      <c r="AB657" s="96"/>
      <c r="AC657" s="98"/>
      <c r="AD657" s="98"/>
      <c r="AE657" s="98"/>
    </row>
    <row r="658" spans="2:31" x14ac:dyDescent="0.3">
      <c r="B658" s="96"/>
      <c r="C658" s="96"/>
      <c r="D658" s="96"/>
      <c r="E658" s="97"/>
      <c r="F658" s="96"/>
      <c r="G658" s="98"/>
      <c r="H658" s="96"/>
      <c r="I658" s="98"/>
      <c r="J658" s="97"/>
      <c r="K658" s="98"/>
      <c r="L658" s="100"/>
      <c r="M658" s="98"/>
      <c r="N658" s="96"/>
      <c r="O658" s="97"/>
      <c r="P658" s="70"/>
      <c r="Q658" s="97"/>
      <c r="R658" s="97"/>
      <c r="S658" s="98"/>
      <c r="T658" s="97"/>
      <c r="U658" s="98"/>
      <c r="V658" s="100"/>
      <c r="W658" s="98"/>
      <c r="X658" s="96"/>
      <c r="Y658" s="98"/>
      <c r="Z658" s="96"/>
      <c r="AA658" s="97"/>
      <c r="AB658" s="96"/>
      <c r="AC658" s="98"/>
      <c r="AD658" s="98"/>
      <c r="AE658" s="98"/>
    </row>
    <row r="659" spans="2:31" x14ac:dyDescent="0.3">
      <c r="B659" s="96"/>
      <c r="C659" s="96"/>
      <c r="D659" s="96"/>
      <c r="E659" s="97"/>
      <c r="F659" s="96"/>
      <c r="G659" s="98"/>
      <c r="H659" s="96"/>
      <c r="I659" s="98"/>
      <c r="J659" s="97"/>
      <c r="K659" s="98"/>
      <c r="L659" s="100"/>
      <c r="M659" s="98"/>
      <c r="N659" s="96"/>
      <c r="O659" s="97"/>
      <c r="P659" s="70"/>
      <c r="Q659" s="97"/>
      <c r="R659" s="97"/>
      <c r="S659" s="98"/>
      <c r="T659" s="97"/>
      <c r="U659" s="98"/>
      <c r="V659" s="100"/>
      <c r="W659" s="98"/>
      <c r="X659" s="96"/>
      <c r="Y659" s="98"/>
      <c r="Z659" s="96"/>
      <c r="AA659" s="97"/>
      <c r="AB659" s="96"/>
      <c r="AC659" s="98"/>
      <c r="AD659" s="98"/>
      <c r="AE659" s="98"/>
    </row>
    <row r="660" spans="2:31" x14ac:dyDescent="0.3">
      <c r="B660" s="96"/>
      <c r="C660" s="96"/>
      <c r="D660" s="96"/>
      <c r="E660" s="97"/>
      <c r="F660" s="96"/>
      <c r="G660" s="98"/>
      <c r="H660" s="96"/>
      <c r="I660" s="98"/>
      <c r="J660" s="97"/>
      <c r="K660" s="98"/>
      <c r="L660" s="100"/>
      <c r="M660" s="98"/>
      <c r="N660" s="96"/>
      <c r="O660" s="97"/>
      <c r="P660" s="70"/>
      <c r="Q660" s="97"/>
      <c r="R660" s="97"/>
      <c r="S660" s="98"/>
      <c r="T660" s="97"/>
      <c r="U660" s="98"/>
      <c r="V660" s="100"/>
      <c r="W660" s="98"/>
      <c r="X660" s="96"/>
      <c r="Y660" s="98"/>
      <c r="Z660" s="96"/>
      <c r="AA660" s="97"/>
      <c r="AB660" s="96"/>
      <c r="AC660" s="98"/>
      <c r="AD660" s="98"/>
      <c r="AE660" s="98"/>
    </row>
    <row r="661" spans="2:31" x14ac:dyDescent="0.3">
      <c r="B661" s="96"/>
      <c r="C661" s="96"/>
      <c r="D661" s="96"/>
      <c r="E661" s="97"/>
      <c r="F661" s="96"/>
      <c r="G661" s="98"/>
      <c r="H661" s="96"/>
      <c r="I661" s="98"/>
      <c r="J661" s="97"/>
      <c r="K661" s="98"/>
      <c r="L661" s="100"/>
      <c r="M661" s="98"/>
      <c r="N661" s="96"/>
      <c r="O661" s="97"/>
      <c r="P661" s="70"/>
      <c r="Q661" s="97"/>
      <c r="R661" s="97"/>
      <c r="S661" s="98"/>
      <c r="T661" s="97"/>
      <c r="U661" s="98"/>
      <c r="V661" s="100"/>
      <c r="W661" s="98"/>
      <c r="X661" s="96"/>
      <c r="Y661" s="98"/>
      <c r="Z661" s="96"/>
      <c r="AA661" s="97"/>
      <c r="AB661" s="96"/>
      <c r="AC661" s="98"/>
      <c r="AD661" s="98"/>
      <c r="AE661" s="98"/>
    </row>
    <row r="662" spans="2:31" x14ac:dyDescent="0.3">
      <c r="B662" s="96"/>
      <c r="C662" s="96"/>
      <c r="D662" s="96"/>
      <c r="E662" s="97"/>
      <c r="F662" s="96"/>
      <c r="G662" s="98"/>
      <c r="H662" s="96"/>
      <c r="I662" s="98"/>
      <c r="J662" s="97"/>
      <c r="K662" s="98"/>
      <c r="L662" s="100"/>
      <c r="M662" s="98"/>
      <c r="N662" s="96"/>
      <c r="O662" s="97"/>
      <c r="P662" s="70"/>
      <c r="Q662" s="97"/>
      <c r="R662" s="97"/>
      <c r="S662" s="98"/>
      <c r="T662" s="97"/>
      <c r="U662" s="98"/>
      <c r="V662" s="100"/>
      <c r="W662" s="98"/>
      <c r="X662" s="96"/>
      <c r="Y662" s="98"/>
      <c r="Z662" s="96"/>
      <c r="AA662" s="97"/>
      <c r="AB662" s="96"/>
      <c r="AC662" s="98"/>
      <c r="AD662" s="98"/>
      <c r="AE662" s="98"/>
    </row>
    <row r="663" spans="2:31" x14ac:dyDescent="0.3">
      <c r="B663" s="96"/>
      <c r="C663" s="96"/>
      <c r="D663" s="96"/>
      <c r="E663" s="97"/>
      <c r="F663" s="96"/>
      <c r="G663" s="98"/>
      <c r="H663" s="96"/>
      <c r="I663" s="98"/>
      <c r="J663" s="97"/>
      <c r="K663" s="98"/>
      <c r="L663" s="100"/>
      <c r="M663" s="98"/>
      <c r="N663" s="96"/>
      <c r="O663" s="97"/>
      <c r="P663" s="70"/>
      <c r="Q663" s="97"/>
      <c r="R663" s="97"/>
      <c r="S663" s="98"/>
      <c r="T663" s="97"/>
      <c r="U663" s="98"/>
      <c r="V663" s="100"/>
      <c r="W663" s="98"/>
      <c r="X663" s="96"/>
      <c r="Y663" s="98"/>
      <c r="Z663" s="96"/>
      <c r="AA663" s="97"/>
      <c r="AB663" s="96"/>
      <c r="AC663" s="98"/>
      <c r="AD663" s="98"/>
      <c r="AE663" s="98"/>
    </row>
    <row r="664" spans="2:31" x14ac:dyDescent="0.3">
      <c r="B664" s="96"/>
      <c r="C664" s="96"/>
      <c r="D664" s="96"/>
      <c r="E664" s="97"/>
      <c r="F664" s="96"/>
      <c r="G664" s="98"/>
      <c r="H664" s="96"/>
      <c r="I664" s="98"/>
      <c r="J664" s="97"/>
      <c r="K664" s="98"/>
      <c r="L664" s="100"/>
      <c r="M664" s="98"/>
      <c r="N664" s="96"/>
      <c r="O664" s="97"/>
      <c r="P664" s="70"/>
      <c r="Q664" s="97"/>
      <c r="R664" s="97"/>
      <c r="S664" s="98"/>
      <c r="T664" s="97"/>
      <c r="U664" s="98"/>
      <c r="V664" s="100"/>
      <c r="W664" s="98"/>
      <c r="X664" s="96"/>
      <c r="Y664" s="98"/>
      <c r="Z664" s="96"/>
      <c r="AA664" s="97"/>
      <c r="AB664" s="96"/>
      <c r="AC664" s="98"/>
      <c r="AD664" s="98"/>
      <c r="AE664" s="98"/>
    </row>
    <row r="665" spans="2:31" x14ac:dyDescent="0.3">
      <c r="B665" s="96"/>
      <c r="C665" s="96"/>
      <c r="D665" s="96"/>
      <c r="E665" s="97"/>
      <c r="F665" s="96"/>
      <c r="G665" s="98"/>
      <c r="H665" s="96"/>
      <c r="I665" s="98"/>
      <c r="J665" s="97"/>
      <c r="K665" s="98"/>
      <c r="L665" s="100"/>
      <c r="M665" s="98"/>
      <c r="N665" s="96"/>
      <c r="O665" s="97"/>
      <c r="P665" s="70"/>
      <c r="Q665" s="97"/>
      <c r="R665" s="97"/>
      <c r="S665" s="98"/>
      <c r="T665" s="97"/>
      <c r="U665" s="98"/>
      <c r="V665" s="100"/>
      <c r="W665" s="98"/>
      <c r="X665" s="96"/>
      <c r="Y665" s="98"/>
      <c r="Z665" s="96"/>
      <c r="AA665" s="97"/>
      <c r="AB665" s="96"/>
      <c r="AC665" s="98"/>
      <c r="AD665" s="98"/>
      <c r="AE665" s="98"/>
    </row>
    <row r="666" spans="2:31" x14ac:dyDescent="0.3">
      <c r="B666" s="96"/>
      <c r="C666" s="96"/>
      <c r="D666" s="96"/>
      <c r="E666" s="97"/>
      <c r="F666" s="96"/>
      <c r="G666" s="98"/>
      <c r="H666" s="96"/>
      <c r="I666" s="98"/>
      <c r="J666" s="97"/>
      <c r="K666" s="98"/>
      <c r="L666" s="100"/>
      <c r="M666" s="98"/>
      <c r="N666" s="96"/>
      <c r="O666" s="97"/>
      <c r="P666" s="70"/>
      <c r="Q666" s="97"/>
      <c r="R666" s="97"/>
      <c r="S666" s="98"/>
      <c r="T666" s="97"/>
      <c r="U666" s="98"/>
      <c r="V666" s="100"/>
      <c r="W666" s="98"/>
      <c r="X666" s="96"/>
      <c r="Y666" s="98"/>
      <c r="Z666" s="96"/>
      <c r="AA666" s="97"/>
      <c r="AB666" s="96"/>
      <c r="AC666" s="98"/>
      <c r="AD666" s="98"/>
      <c r="AE666" s="98"/>
    </row>
    <row r="667" spans="2:31" x14ac:dyDescent="0.3">
      <c r="B667" s="96"/>
      <c r="C667" s="96"/>
      <c r="D667" s="96"/>
      <c r="E667" s="97"/>
      <c r="F667" s="96"/>
      <c r="G667" s="98"/>
      <c r="H667" s="96"/>
      <c r="I667" s="98"/>
      <c r="J667" s="97"/>
      <c r="K667" s="98"/>
      <c r="L667" s="100"/>
      <c r="M667" s="98"/>
      <c r="N667" s="96"/>
      <c r="O667" s="97"/>
      <c r="P667" s="70"/>
      <c r="Q667" s="97"/>
      <c r="R667" s="97"/>
      <c r="S667" s="98"/>
      <c r="T667" s="97"/>
      <c r="U667" s="98"/>
      <c r="V667" s="100"/>
      <c r="W667" s="98"/>
      <c r="X667" s="96"/>
      <c r="Y667" s="98"/>
      <c r="Z667" s="96"/>
      <c r="AA667" s="97"/>
      <c r="AB667" s="96"/>
      <c r="AC667" s="98"/>
      <c r="AD667" s="98"/>
      <c r="AE667" s="98"/>
    </row>
    <row r="668" spans="2:31" x14ac:dyDescent="0.3">
      <c r="B668" s="96"/>
      <c r="C668" s="96"/>
      <c r="D668" s="96"/>
      <c r="E668" s="97"/>
      <c r="F668" s="96"/>
      <c r="G668" s="98"/>
      <c r="H668" s="96"/>
      <c r="I668" s="98"/>
      <c r="J668" s="97"/>
      <c r="K668" s="98"/>
      <c r="L668" s="100"/>
      <c r="M668" s="98"/>
      <c r="N668" s="96"/>
      <c r="O668" s="97"/>
      <c r="P668" s="70"/>
      <c r="Q668" s="97"/>
      <c r="R668" s="97"/>
      <c r="S668" s="98"/>
      <c r="T668" s="97"/>
      <c r="U668" s="98"/>
      <c r="V668" s="100"/>
      <c r="W668" s="98"/>
      <c r="X668" s="96"/>
      <c r="Y668" s="98"/>
      <c r="Z668" s="96"/>
      <c r="AA668" s="97"/>
      <c r="AB668" s="96"/>
      <c r="AC668" s="98"/>
      <c r="AD668" s="98"/>
      <c r="AE668" s="98"/>
    </row>
    <row r="669" spans="2:31" x14ac:dyDescent="0.3">
      <c r="B669" s="96"/>
      <c r="C669" s="96"/>
      <c r="D669" s="96"/>
      <c r="E669" s="97"/>
      <c r="F669" s="96"/>
      <c r="G669" s="98"/>
      <c r="H669" s="96"/>
      <c r="I669" s="98"/>
      <c r="J669" s="97"/>
      <c r="K669" s="98"/>
      <c r="L669" s="100"/>
      <c r="M669" s="98"/>
      <c r="N669" s="96"/>
      <c r="O669" s="97"/>
      <c r="P669" s="70"/>
      <c r="Q669" s="97"/>
      <c r="R669" s="97"/>
      <c r="S669" s="98"/>
      <c r="T669" s="97"/>
      <c r="U669" s="98"/>
      <c r="V669" s="100"/>
      <c r="W669" s="98"/>
      <c r="X669" s="96"/>
      <c r="Y669" s="98"/>
      <c r="Z669" s="96"/>
      <c r="AA669" s="97"/>
      <c r="AB669" s="96"/>
      <c r="AC669" s="98"/>
      <c r="AD669" s="98"/>
      <c r="AE669" s="98"/>
    </row>
    <row r="670" spans="2:31" x14ac:dyDescent="0.3">
      <c r="B670" s="96"/>
      <c r="C670" s="96"/>
      <c r="D670" s="96"/>
      <c r="E670" s="97"/>
      <c r="F670" s="96"/>
      <c r="G670" s="98"/>
      <c r="H670" s="96"/>
      <c r="I670" s="98"/>
      <c r="J670" s="97"/>
      <c r="K670" s="98"/>
      <c r="L670" s="100"/>
      <c r="M670" s="98"/>
      <c r="N670" s="96"/>
      <c r="O670" s="97"/>
      <c r="P670" s="70"/>
      <c r="Q670" s="97"/>
      <c r="R670" s="97"/>
      <c r="S670" s="98"/>
      <c r="T670" s="97"/>
      <c r="U670" s="98"/>
      <c r="V670" s="100"/>
      <c r="W670" s="98"/>
      <c r="X670" s="96"/>
      <c r="Y670" s="98"/>
      <c r="Z670" s="96"/>
      <c r="AA670" s="97"/>
      <c r="AB670" s="96"/>
      <c r="AC670" s="98"/>
      <c r="AD670" s="98"/>
      <c r="AE670" s="98"/>
    </row>
    <row r="671" spans="2:31" x14ac:dyDescent="0.3">
      <c r="B671" s="96"/>
      <c r="C671" s="96"/>
      <c r="D671" s="96"/>
      <c r="E671" s="97"/>
      <c r="F671" s="96"/>
      <c r="G671" s="98"/>
      <c r="H671" s="96"/>
      <c r="I671" s="98"/>
      <c r="J671" s="97"/>
      <c r="K671" s="98"/>
      <c r="L671" s="100"/>
      <c r="M671" s="98"/>
      <c r="N671" s="96"/>
      <c r="O671" s="97"/>
      <c r="P671" s="70"/>
      <c r="Q671" s="97"/>
      <c r="R671" s="97"/>
      <c r="S671" s="98"/>
      <c r="T671" s="97"/>
      <c r="U671" s="98"/>
      <c r="V671" s="100"/>
      <c r="W671" s="98"/>
      <c r="X671" s="96"/>
      <c r="Y671" s="98"/>
      <c r="Z671" s="96"/>
      <c r="AA671" s="97"/>
      <c r="AB671" s="96"/>
      <c r="AC671" s="98"/>
      <c r="AD671" s="98"/>
      <c r="AE671" s="98"/>
    </row>
    <row r="672" spans="2:31" x14ac:dyDescent="0.3">
      <c r="B672" s="96"/>
      <c r="C672" s="96"/>
      <c r="D672" s="96"/>
      <c r="E672" s="97"/>
      <c r="F672" s="96"/>
      <c r="G672" s="98"/>
      <c r="H672" s="96"/>
      <c r="I672" s="98"/>
      <c r="J672" s="97"/>
      <c r="K672" s="98"/>
      <c r="L672" s="100"/>
      <c r="M672" s="98"/>
      <c r="N672" s="96"/>
      <c r="O672" s="97"/>
      <c r="P672" s="70"/>
      <c r="Q672" s="97"/>
      <c r="R672" s="97"/>
      <c r="S672" s="98"/>
      <c r="T672" s="97"/>
      <c r="U672" s="98"/>
      <c r="V672" s="100"/>
      <c r="W672" s="98"/>
      <c r="X672" s="96"/>
      <c r="Y672" s="98"/>
      <c r="Z672" s="96"/>
      <c r="AA672" s="97"/>
      <c r="AB672" s="96"/>
      <c r="AC672" s="98"/>
      <c r="AD672" s="98"/>
      <c r="AE672" s="98"/>
    </row>
    <row r="673" spans="2:31" x14ac:dyDescent="0.3">
      <c r="B673" s="96"/>
      <c r="C673" s="96"/>
      <c r="D673" s="96"/>
      <c r="E673" s="97"/>
      <c r="F673" s="96"/>
      <c r="G673" s="98"/>
      <c r="H673" s="96"/>
      <c r="I673" s="98"/>
      <c r="J673" s="97"/>
      <c r="K673" s="98"/>
      <c r="L673" s="100"/>
      <c r="M673" s="98"/>
      <c r="N673" s="96"/>
      <c r="O673" s="97"/>
      <c r="P673" s="70"/>
      <c r="Q673" s="97"/>
      <c r="R673" s="97"/>
      <c r="S673" s="98"/>
      <c r="T673" s="97"/>
      <c r="U673" s="98"/>
      <c r="V673" s="100"/>
      <c r="W673" s="98"/>
      <c r="X673" s="96"/>
      <c r="Y673" s="98"/>
      <c r="Z673" s="96"/>
      <c r="AA673" s="97"/>
      <c r="AB673" s="96"/>
      <c r="AC673" s="98"/>
      <c r="AD673" s="98"/>
      <c r="AE673" s="98"/>
    </row>
    <row r="674" spans="2:31" x14ac:dyDescent="0.3">
      <c r="B674" s="96"/>
      <c r="C674" s="96"/>
      <c r="D674" s="96"/>
      <c r="E674" s="97"/>
      <c r="F674" s="96"/>
      <c r="G674" s="98"/>
      <c r="H674" s="96"/>
      <c r="I674" s="98"/>
      <c r="J674" s="97"/>
      <c r="K674" s="98"/>
      <c r="L674" s="100"/>
      <c r="M674" s="98"/>
      <c r="N674" s="96"/>
      <c r="O674" s="97"/>
      <c r="P674" s="70"/>
      <c r="Q674" s="97"/>
      <c r="R674" s="97"/>
      <c r="S674" s="98"/>
      <c r="T674" s="97"/>
      <c r="U674" s="98"/>
      <c r="V674" s="100"/>
      <c r="W674" s="98"/>
      <c r="X674" s="96"/>
      <c r="Y674" s="98"/>
      <c r="Z674" s="96"/>
      <c r="AA674" s="97"/>
      <c r="AB674" s="96"/>
      <c r="AC674" s="98"/>
      <c r="AD674" s="98"/>
      <c r="AE674" s="98"/>
    </row>
    <row r="675" spans="2:31" x14ac:dyDescent="0.3">
      <c r="B675" s="96"/>
      <c r="C675" s="96"/>
      <c r="D675" s="96"/>
      <c r="E675" s="97"/>
      <c r="F675" s="96"/>
      <c r="G675" s="98"/>
      <c r="H675" s="96"/>
      <c r="I675" s="98"/>
      <c r="J675" s="97"/>
      <c r="K675" s="98"/>
      <c r="L675" s="100"/>
      <c r="M675" s="98"/>
      <c r="N675" s="96"/>
      <c r="O675" s="97"/>
      <c r="P675" s="70"/>
      <c r="Q675" s="97"/>
      <c r="R675" s="97"/>
      <c r="S675" s="98"/>
      <c r="T675" s="97"/>
      <c r="U675" s="98"/>
      <c r="V675" s="100"/>
      <c r="W675" s="98"/>
      <c r="X675" s="96"/>
      <c r="Y675" s="98"/>
      <c r="Z675" s="96"/>
      <c r="AA675" s="97"/>
      <c r="AB675" s="96"/>
      <c r="AC675" s="98"/>
      <c r="AD675" s="98"/>
      <c r="AE675" s="98"/>
    </row>
    <row r="676" spans="2:31" x14ac:dyDescent="0.3">
      <c r="B676" s="96"/>
      <c r="C676" s="96"/>
      <c r="D676" s="96"/>
      <c r="E676" s="97"/>
      <c r="F676" s="96"/>
      <c r="G676" s="98"/>
      <c r="H676" s="96"/>
      <c r="I676" s="98"/>
      <c r="J676" s="97"/>
      <c r="K676" s="98"/>
      <c r="L676" s="100"/>
      <c r="M676" s="98"/>
      <c r="N676" s="96"/>
      <c r="O676" s="97"/>
      <c r="P676" s="70"/>
      <c r="Q676" s="97"/>
      <c r="R676" s="97"/>
      <c r="S676" s="98"/>
      <c r="T676" s="97"/>
      <c r="U676" s="98"/>
      <c r="V676" s="100"/>
      <c r="W676" s="98"/>
      <c r="X676" s="96"/>
      <c r="Y676" s="98"/>
      <c r="Z676" s="96"/>
      <c r="AA676" s="97"/>
      <c r="AB676" s="96"/>
      <c r="AC676" s="98"/>
      <c r="AD676" s="98"/>
      <c r="AE676" s="98"/>
    </row>
    <row r="677" spans="2:31" x14ac:dyDescent="0.3">
      <c r="B677" s="96"/>
      <c r="C677" s="96"/>
      <c r="D677" s="96"/>
      <c r="E677" s="97"/>
      <c r="F677" s="96"/>
      <c r="G677" s="98"/>
      <c r="H677" s="96"/>
      <c r="I677" s="98"/>
      <c r="J677" s="97"/>
      <c r="K677" s="98"/>
      <c r="L677" s="100"/>
      <c r="M677" s="98"/>
      <c r="N677" s="96"/>
      <c r="O677" s="97"/>
      <c r="P677" s="70"/>
      <c r="Q677" s="97"/>
      <c r="R677" s="97"/>
      <c r="S677" s="98"/>
      <c r="T677" s="97"/>
      <c r="U677" s="98"/>
      <c r="V677" s="100"/>
      <c r="W677" s="98"/>
      <c r="X677" s="96"/>
      <c r="Y677" s="98"/>
      <c r="Z677" s="96"/>
      <c r="AA677" s="97"/>
      <c r="AB677" s="96"/>
      <c r="AC677" s="98"/>
      <c r="AD677" s="98"/>
      <c r="AE677" s="98"/>
    </row>
    <row r="678" spans="2:31" x14ac:dyDescent="0.3">
      <c r="B678" s="96"/>
      <c r="C678" s="96"/>
      <c r="D678" s="96"/>
      <c r="E678" s="97"/>
      <c r="F678" s="96"/>
      <c r="G678" s="98"/>
      <c r="H678" s="96"/>
      <c r="I678" s="98"/>
      <c r="J678" s="97"/>
      <c r="K678" s="98"/>
      <c r="L678" s="100"/>
      <c r="M678" s="98"/>
      <c r="N678" s="96"/>
      <c r="O678" s="97"/>
      <c r="P678" s="70"/>
      <c r="Q678" s="97"/>
      <c r="R678" s="97"/>
      <c r="S678" s="98"/>
      <c r="T678" s="97"/>
      <c r="U678" s="98"/>
      <c r="V678" s="100"/>
      <c r="W678" s="98"/>
      <c r="X678" s="96"/>
      <c r="Y678" s="98"/>
      <c r="Z678" s="96"/>
      <c r="AA678" s="97"/>
      <c r="AB678" s="96"/>
      <c r="AC678" s="98"/>
      <c r="AD678" s="98"/>
      <c r="AE678" s="98"/>
    </row>
    <row r="679" spans="2:31" x14ac:dyDescent="0.3">
      <c r="B679" s="96"/>
      <c r="C679" s="96"/>
      <c r="D679" s="96"/>
      <c r="E679" s="97"/>
      <c r="F679" s="96"/>
      <c r="G679" s="98"/>
      <c r="H679" s="96"/>
      <c r="I679" s="98"/>
      <c r="J679" s="97"/>
      <c r="K679" s="98"/>
      <c r="L679" s="100"/>
      <c r="M679" s="98"/>
      <c r="N679" s="96"/>
      <c r="O679" s="97"/>
      <c r="P679" s="70"/>
      <c r="Q679" s="97"/>
      <c r="R679" s="97"/>
      <c r="S679" s="98"/>
      <c r="T679" s="97"/>
      <c r="U679" s="98"/>
      <c r="V679" s="100"/>
      <c r="W679" s="98"/>
      <c r="X679" s="96"/>
      <c r="Y679" s="98"/>
      <c r="Z679" s="96"/>
      <c r="AA679" s="97"/>
      <c r="AB679" s="96"/>
      <c r="AC679" s="98"/>
      <c r="AD679" s="98"/>
      <c r="AE679" s="98"/>
    </row>
    <row r="680" spans="2:31" x14ac:dyDescent="0.3">
      <c r="B680" s="96"/>
      <c r="C680" s="96"/>
      <c r="D680" s="96"/>
      <c r="E680" s="97"/>
      <c r="F680" s="96"/>
      <c r="G680" s="98"/>
      <c r="H680" s="96"/>
      <c r="I680" s="98"/>
      <c r="J680" s="97"/>
      <c r="K680" s="98"/>
      <c r="L680" s="100"/>
      <c r="M680" s="98"/>
      <c r="N680" s="96"/>
      <c r="O680" s="97"/>
      <c r="P680" s="70"/>
      <c r="Q680" s="97"/>
      <c r="R680" s="97"/>
      <c r="S680" s="98"/>
      <c r="T680" s="97"/>
      <c r="U680" s="98"/>
      <c r="V680" s="100"/>
      <c r="W680" s="98"/>
      <c r="X680" s="96"/>
      <c r="Y680" s="98"/>
      <c r="Z680" s="96"/>
      <c r="AA680" s="97"/>
      <c r="AB680" s="96"/>
      <c r="AC680" s="98"/>
      <c r="AD680" s="98"/>
      <c r="AE680" s="98"/>
    </row>
    <row r="681" spans="2:31" x14ac:dyDescent="0.3">
      <c r="B681" s="96"/>
      <c r="C681" s="96"/>
      <c r="D681" s="96"/>
      <c r="E681" s="97"/>
      <c r="F681" s="96"/>
      <c r="G681" s="98"/>
      <c r="H681" s="96"/>
      <c r="I681" s="98"/>
      <c r="J681" s="97"/>
      <c r="K681" s="98"/>
      <c r="L681" s="100"/>
      <c r="M681" s="98"/>
      <c r="N681" s="96"/>
      <c r="O681" s="97"/>
      <c r="P681" s="70"/>
      <c r="Q681" s="97"/>
      <c r="R681" s="97"/>
      <c r="S681" s="98"/>
      <c r="T681" s="97"/>
      <c r="U681" s="98"/>
      <c r="V681" s="100"/>
      <c r="W681" s="98"/>
      <c r="X681" s="96"/>
      <c r="Y681" s="98"/>
      <c r="Z681" s="96"/>
      <c r="AA681" s="97"/>
      <c r="AB681" s="96"/>
      <c r="AC681" s="98"/>
      <c r="AD681" s="98"/>
      <c r="AE681" s="98"/>
    </row>
    <row r="682" spans="2:31" x14ac:dyDescent="0.3">
      <c r="B682" s="96"/>
      <c r="C682" s="96"/>
      <c r="D682" s="96"/>
      <c r="E682" s="97"/>
      <c r="F682" s="96"/>
      <c r="G682" s="98"/>
      <c r="H682" s="96"/>
      <c r="I682" s="98"/>
      <c r="J682" s="97"/>
      <c r="K682" s="98"/>
      <c r="L682" s="100"/>
      <c r="M682" s="98"/>
      <c r="N682" s="96"/>
      <c r="O682" s="97"/>
      <c r="P682" s="70"/>
      <c r="Q682" s="97"/>
      <c r="R682" s="97"/>
      <c r="S682" s="98"/>
      <c r="T682" s="97"/>
      <c r="U682" s="98"/>
      <c r="V682" s="100"/>
      <c r="W682" s="98"/>
      <c r="X682" s="96"/>
      <c r="Y682" s="98"/>
      <c r="Z682" s="96"/>
      <c r="AA682" s="97"/>
      <c r="AB682" s="96"/>
      <c r="AC682" s="98"/>
      <c r="AD682" s="98"/>
      <c r="AE682" s="98"/>
    </row>
    <row r="683" spans="2:31" x14ac:dyDescent="0.3">
      <c r="B683" s="96"/>
      <c r="C683" s="96"/>
      <c r="D683" s="96"/>
      <c r="E683" s="97"/>
      <c r="F683" s="96"/>
      <c r="G683" s="98"/>
      <c r="H683" s="96"/>
      <c r="I683" s="98"/>
      <c r="J683" s="97"/>
      <c r="K683" s="98"/>
      <c r="L683" s="100"/>
      <c r="M683" s="98"/>
      <c r="N683" s="96"/>
      <c r="O683" s="97"/>
      <c r="P683" s="70"/>
      <c r="Q683" s="97"/>
      <c r="R683" s="97"/>
      <c r="S683" s="98"/>
      <c r="T683" s="97"/>
      <c r="U683" s="98"/>
      <c r="V683" s="100"/>
      <c r="W683" s="98"/>
      <c r="X683" s="96"/>
      <c r="Y683" s="98"/>
      <c r="Z683" s="96"/>
      <c r="AA683" s="97"/>
      <c r="AB683" s="96"/>
      <c r="AC683" s="98"/>
      <c r="AD683" s="98"/>
      <c r="AE683" s="98"/>
    </row>
    <row r="684" spans="2:31" x14ac:dyDescent="0.3">
      <c r="B684" s="96"/>
      <c r="C684" s="96"/>
      <c r="D684" s="96"/>
      <c r="E684" s="97"/>
      <c r="F684" s="96"/>
      <c r="G684" s="98"/>
      <c r="H684" s="96"/>
      <c r="I684" s="98"/>
      <c r="J684" s="97"/>
      <c r="K684" s="98"/>
      <c r="L684" s="100"/>
      <c r="M684" s="98"/>
      <c r="N684" s="96"/>
      <c r="O684" s="97"/>
      <c r="P684" s="70"/>
      <c r="Q684" s="97"/>
      <c r="R684" s="97"/>
      <c r="S684" s="98"/>
      <c r="T684" s="97"/>
      <c r="U684" s="98"/>
      <c r="V684" s="100"/>
      <c r="W684" s="98"/>
      <c r="X684" s="96"/>
      <c r="Y684" s="98"/>
      <c r="Z684" s="96"/>
      <c r="AA684" s="97"/>
      <c r="AB684" s="96"/>
      <c r="AC684" s="98"/>
      <c r="AD684" s="98"/>
      <c r="AE684" s="98"/>
    </row>
    <row r="685" spans="2:31" x14ac:dyDescent="0.3">
      <c r="B685" s="96"/>
      <c r="C685" s="96"/>
      <c r="D685" s="96"/>
      <c r="E685" s="97"/>
      <c r="F685" s="96"/>
      <c r="G685" s="98"/>
      <c r="H685" s="96"/>
      <c r="I685" s="98"/>
      <c r="J685" s="97"/>
      <c r="K685" s="98"/>
      <c r="L685" s="100"/>
      <c r="M685" s="98"/>
      <c r="N685" s="96"/>
      <c r="O685" s="97"/>
      <c r="P685" s="70"/>
      <c r="Q685" s="97"/>
      <c r="R685" s="97"/>
      <c r="S685" s="98"/>
      <c r="T685" s="97"/>
      <c r="U685" s="98"/>
      <c r="V685" s="100"/>
      <c r="W685" s="98"/>
      <c r="X685" s="96"/>
      <c r="Y685" s="98"/>
      <c r="Z685" s="96"/>
      <c r="AA685" s="97"/>
      <c r="AB685" s="96"/>
      <c r="AC685" s="98"/>
      <c r="AD685" s="98"/>
      <c r="AE685" s="98"/>
    </row>
    <row r="686" spans="2:31" x14ac:dyDescent="0.3">
      <c r="B686" s="96"/>
      <c r="C686" s="96"/>
      <c r="D686" s="96"/>
      <c r="E686" s="97"/>
      <c r="F686" s="96"/>
      <c r="G686" s="98"/>
      <c r="H686" s="96"/>
      <c r="I686" s="98"/>
      <c r="J686" s="97"/>
      <c r="K686" s="98"/>
      <c r="L686" s="100"/>
      <c r="M686" s="98"/>
      <c r="N686" s="96"/>
      <c r="O686" s="97"/>
      <c r="P686" s="70"/>
      <c r="Q686" s="97"/>
      <c r="R686" s="97"/>
      <c r="S686" s="98"/>
      <c r="T686" s="97"/>
      <c r="U686" s="98"/>
      <c r="V686" s="100"/>
      <c r="W686" s="98"/>
      <c r="X686" s="96"/>
      <c r="Y686" s="98"/>
      <c r="Z686" s="96"/>
      <c r="AA686" s="97"/>
      <c r="AB686" s="96"/>
      <c r="AC686" s="98"/>
      <c r="AD686" s="98"/>
      <c r="AE686" s="98"/>
    </row>
    <row r="687" spans="2:31" x14ac:dyDescent="0.3">
      <c r="B687" s="96"/>
      <c r="C687" s="96"/>
      <c r="D687" s="96"/>
      <c r="E687" s="97"/>
      <c r="F687" s="96"/>
      <c r="G687" s="98"/>
      <c r="H687" s="96"/>
      <c r="I687" s="98"/>
      <c r="J687" s="97"/>
      <c r="K687" s="98"/>
      <c r="L687" s="100"/>
      <c r="M687" s="98"/>
      <c r="N687" s="96"/>
      <c r="O687" s="97"/>
      <c r="P687" s="70"/>
      <c r="Q687" s="97"/>
      <c r="R687" s="97"/>
      <c r="S687" s="98"/>
      <c r="T687" s="97"/>
      <c r="U687" s="98"/>
      <c r="V687" s="100"/>
      <c r="W687" s="98"/>
      <c r="X687" s="96"/>
      <c r="Y687" s="98"/>
      <c r="Z687" s="96"/>
      <c r="AA687" s="97"/>
      <c r="AB687" s="96"/>
      <c r="AC687" s="98"/>
      <c r="AD687" s="98"/>
      <c r="AE687" s="98"/>
    </row>
    <row r="688" spans="2:31" x14ac:dyDescent="0.3">
      <c r="B688" s="96"/>
      <c r="C688" s="96"/>
      <c r="D688" s="96"/>
      <c r="E688" s="97"/>
      <c r="F688" s="96"/>
      <c r="G688" s="98"/>
      <c r="H688" s="96"/>
      <c r="I688" s="98"/>
      <c r="J688" s="97"/>
      <c r="K688" s="98"/>
      <c r="L688" s="100"/>
      <c r="M688" s="98"/>
      <c r="N688" s="96"/>
      <c r="O688" s="97"/>
      <c r="P688" s="70"/>
      <c r="Q688" s="97"/>
      <c r="R688" s="97"/>
      <c r="S688" s="98"/>
      <c r="T688" s="97"/>
      <c r="U688" s="98"/>
      <c r="V688" s="100"/>
      <c r="W688" s="98"/>
      <c r="X688" s="96"/>
      <c r="Y688" s="98"/>
      <c r="Z688" s="96"/>
      <c r="AA688" s="97"/>
      <c r="AB688" s="96"/>
      <c r="AC688" s="98"/>
      <c r="AD688" s="98"/>
      <c r="AE688" s="98"/>
    </row>
    <row r="689" spans="2:31" x14ac:dyDescent="0.3">
      <c r="B689" s="96"/>
      <c r="C689" s="96"/>
      <c r="D689" s="96"/>
      <c r="E689" s="97"/>
      <c r="F689" s="96"/>
      <c r="G689" s="98"/>
      <c r="H689" s="96"/>
      <c r="I689" s="98"/>
      <c r="J689" s="97"/>
      <c r="K689" s="98"/>
      <c r="L689" s="100"/>
      <c r="M689" s="98"/>
      <c r="N689" s="96"/>
      <c r="O689" s="97"/>
      <c r="P689" s="70"/>
      <c r="Q689" s="97"/>
      <c r="R689" s="97"/>
      <c r="S689" s="98"/>
      <c r="T689" s="97"/>
      <c r="U689" s="98"/>
      <c r="V689" s="100"/>
      <c r="W689" s="98"/>
      <c r="X689" s="96"/>
      <c r="Y689" s="98"/>
      <c r="Z689" s="96"/>
      <c r="AA689" s="97"/>
      <c r="AB689" s="96"/>
      <c r="AC689" s="98"/>
      <c r="AD689" s="98"/>
      <c r="AE689" s="98"/>
    </row>
    <row r="690" spans="2:31" x14ac:dyDescent="0.3">
      <c r="B690" s="96"/>
      <c r="C690" s="96"/>
      <c r="D690" s="96"/>
      <c r="E690" s="97"/>
      <c r="F690" s="96"/>
      <c r="G690" s="98"/>
      <c r="H690" s="96"/>
      <c r="I690" s="98"/>
      <c r="J690" s="97"/>
      <c r="K690" s="98"/>
      <c r="L690" s="100"/>
      <c r="M690" s="98"/>
      <c r="N690" s="96"/>
      <c r="O690" s="97"/>
      <c r="P690" s="70"/>
      <c r="Q690" s="97"/>
      <c r="R690" s="97"/>
      <c r="S690" s="98"/>
      <c r="T690" s="97"/>
      <c r="U690" s="98"/>
      <c r="V690" s="100"/>
      <c r="W690" s="98"/>
      <c r="X690" s="96"/>
      <c r="Y690" s="98"/>
      <c r="Z690" s="96"/>
      <c r="AA690" s="97"/>
      <c r="AB690" s="96"/>
      <c r="AC690" s="98"/>
      <c r="AD690" s="98"/>
      <c r="AE690" s="98"/>
    </row>
    <row r="691" spans="2:31" x14ac:dyDescent="0.3">
      <c r="B691" s="96"/>
      <c r="C691" s="96"/>
      <c r="D691" s="96"/>
      <c r="E691" s="97"/>
      <c r="F691" s="96"/>
      <c r="G691" s="98"/>
      <c r="H691" s="96"/>
      <c r="I691" s="98"/>
      <c r="J691" s="97"/>
      <c r="K691" s="98"/>
      <c r="L691" s="100"/>
      <c r="M691" s="98"/>
      <c r="N691" s="96"/>
      <c r="O691" s="97"/>
      <c r="P691" s="70"/>
      <c r="Q691" s="97"/>
      <c r="R691" s="97"/>
      <c r="S691" s="98"/>
      <c r="T691" s="97"/>
      <c r="U691" s="98"/>
      <c r="V691" s="100"/>
      <c r="W691" s="98"/>
      <c r="X691" s="96"/>
      <c r="Y691" s="98"/>
      <c r="Z691" s="96"/>
      <c r="AA691" s="97"/>
      <c r="AB691" s="96"/>
      <c r="AC691" s="98"/>
      <c r="AD691" s="98"/>
      <c r="AE691" s="98"/>
    </row>
    <row r="692" spans="2:31" x14ac:dyDescent="0.3">
      <c r="B692" s="96"/>
      <c r="C692" s="96"/>
      <c r="D692" s="96"/>
      <c r="E692" s="97"/>
      <c r="F692" s="96"/>
      <c r="G692" s="98"/>
      <c r="H692" s="96"/>
      <c r="I692" s="98"/>
      <c r="J692" s="97"/>
      <c r="K692" s="98"/>
      <c r="L692" s="100"/>
      <c r="M692" s="98"/>
      <c r="N692" s="96"/>
      <c r="O692" s="97"/>
      <c r="P692" s="70"/>
      <c r="Q692" s="97"/>
      <c r="R692" s="97"/>
      <c r="S692" s="98"/>
      <c r="T692" s="97"/>
      <c r="U692" s="98"/>
      <c r="V692" s="100"/>
      <c r="W692" s="98"/>
      <c r="X692" s="96"/>
      <c r="Y692" s="98"/>
      <c r="Z692" s="96"/>
      <c r="AA692" s="97"/>
      <c r="AB692" s="96"/>
      <c r="AC692" s="98"/>
      <c r="AD692" s="98"/>
      <c r="AE692" s="98"/>
    </row>
    <row r="693" spans="2:31" x14ac:dyDescent="0.3">
      <c r="B693" s="96"/>
      <c r="C693" s="96"/>
      <c r="D693" s="96"/>
      <c r="E693" s="97"/>
      <c r="F693" s="96"/>
      <c r="G693" s="98"/>
      <c r="H693" s="96"/>
      <c r="I693" s="98"/>
      <c r="J693" s="97"/>
      <c r="K693" s="98"/>
      <c r="L693" s="100"/>
      <c r="M693" s="98"/>
      <c r="N693" s="96"/>
      <c r="O693" s="97"/>
      <c r="P693" s="70"/>
      <c r="Q693" s="97"/>
      <c r="R693" s="97"/>
      <c r="S693" s="98"/>
      <c r="T693" s="97"/>
      <c r="U693" s="98"/>
      <c r="V693" s="100"/>
      <c r="W693" s="98"/>
      <c r="X693" s="96"/>
      <c r="Y693" s="98"/>
      <c r="Z693" s="96"/>
      <c r="AA693" s="97"/>
      <c r="AB693" s="96"/>
      <c r="AC693" s="98"/>
      <c r="AD693" s="98"/>
      <c r="AE693" s="98"/>
    </row>
    <row r="694" spans="2:31" x14ac:dyDescent="0.3">
      <c r="B694" s="96"/>
      <c r="C694" s="96"/>
      <c r="D694" s="96"/>
      <c r="E694" s="97"/>
      <c r="F694" s="96"/>
      <c r="G694" s="98"/>
      <c r="H694" s="96"/>
      <c r="I694" s="98"/>
      <c r="J694" s="97"/>
      <c r="K694" s="98"/>
      <c r="L694" s="100"/>
      <c r="M694" s="98"/>
      <c r="N694" s="96"/>
      <c r="O694" s="97"/>
      <c r="P694" s="70"/>
      <c r="Q694" s="97"/>
      <c r="R694" s="97"/>
      <c r="S694" s="98"/>
      <c r="T694" s="97"/>
      <c r="U694" s="98"/>
      <c r="V694" s="100"/>
      <c r="W694" s="98"/>
      <c r="X694" s="96"/>
      <c r="Y694" s="98"/>
      <c r="Z694" s="96"/>
      <c r="AA694" s="97"/>
      <c r="AB694" s="96"/>
      <c r="AC694" s="98"/>
      <c r="AD694" s="98"/>
      <c r="AE694" s="98"/>
    </row>
    <row r="695" spans="2:31" x14ac:dyDescent="0.3">
      <c r="B695" s="96"/>
      <c r="C695" s="96"/>
      <c r="D695" s="96"/>
      <c r="E695" s="97"/>
      <c r="F695" s="96"/>
      <c r="G695" s="98"/>
      <c r="H695" s="96"/>
      <c r="I695" s="98"/>
      <c r="J695" s="97"/>
      <c r="K695" s="98"/>
      <c r="L695" s="100"/>
      <c r="M695" s="98"/>
      <c r="N695" s="96"/>
      <c r="O695" s="97"/>
      <c r="P695" s="70"/>
      <c r="Q695" s="97"/>
      <c r="R695" s="97"/>
      <c r="S695" s="98"/>
      <c r="T695" s="97"/>
      <c r="U695" s="98"/>
      <c r="V695" s="100"/>
      <c r="W695" s="98"/>
      <c r="X695" s="96"/>
      <c r="Y695" s="98"/>
      <c r="Z695" s="96"/>
      <c r="AA695" s="97"/>
      <c r="AB695" s="96"/>
      <c r="AC695" s="98"/>
      <c r="AD695" s="98"/>
      <c r="AE695" s="98"/>
    </row>
    <row r="696" spans="2:31" x14ac:dyDescent="0.3">
      <c r="B696" s="96"/>
      <c r="C696" s="96"/>
      <c r="D696" s="96"/>
      <c r="E696" s="97"/>
      <c r="F696" s="96"/>
      <c r="G696" s="98"/>
      <c r="H696" s="96"/>
      <c r="I696" s="98"/>
      <c r="J696" s="97"/>
      <c r="K696" s="98"/>
      <c r="L696" s="100"/>
      <c r="M696" s="98"/>
      <c r="N696" s="96"/>
      <c r="O696" s="97"/>
      <c r="P696" s="70"/>
      <c r="Q696" s="97"/>
      <c r="R696" s="97"/>
      <c r="S696" s="98"/>
      <c r="T696" s="97"/>
      <c r="U696" s="98"/>
      <c r="V696" s="100"/>
      <c r="W696" s="98"/>
      <c r="X696" s="96"/>
      <c r="Y696" s="98"/>
      <c r="Z696" s="96"/>
      <c r="AA696" s="97"/>
      <c r="AB696" s="96"/>
      <c r="AC696" s="98"/>
      <c r="AD696" s="98"/>
      <c r="AE696" s="98"/>
    </row>
    <row r="697" spans="2:31" x14ac:dyDescent="0.3">
      <c r="B697" s="96"/>
      <c r="C697" s="96"/>
      <c r="D697" s="96"/>
      <c r="E697" s="97"/>
      <c r="F697" s="96"/>
      <c r="G697" s="98"/>
      <c r="H697" s="96"/>
      <c r="I697" s="98"/>
      <c r="J697" s="97"/>
      <c r="K697" s="98"/>
      <c r="L697" s="100"/>
      <c r="M697" s="98"/>
      <c r="N697" s="96"/>
      <c r="O697" s="97"/>
      <c r="P697" s="70"/>
      <c r="Q697" s="97"/>
      <c r="R697" s="97"/>
      <c r="S697" s="98"/>
      <c r="T697" s="97"/>
      <c r="U697" s="98"/>
      <c r="V697" s="100"/>
      <c r="W697" s="98"/>
      <c r="X697" s="96"/>
      <c r="Y697" s="98"/>
      <c r="Z697" s="96"/>
      <c r="AA697" s="97"/>
      <c r="AB697" s="96"/>
      <c r="AC697" s="98"/>
      <c r="AD697" s="98"/>
      <c r="AE697" s="98"/>
    </row>
    <row r="698" spans="2:31" x14ac:dyDescent="0.3">
      <c r="B698" s="96"/>
      <c r="C698" s="96"/>
      <c r="D698" s="96"/>
      <c r="E698" s="97"/>
      <c r="F698" s="96"/>
      <c r="G698" s="98"/>
      <c r="H698" s="96"/>
      <c r="I698" s="98"/>
      <c r="J698" s="97"/>
      <c r="K698" s="98"/>
      <c r="L698" s="100"/>
      <c r="M698" s="98"/>
      <c r="N698" s="96"/>
      <c r="O698" s="97"/>
      <c r="P698" s="70"/>
      <c r="Q698" s="97"/>
      <c r="R698" s="97"/>
      <c r="S698" s="98"/>
      <c r="T698" s="97"/>
      <c r="U698" s="98"/>
      <c r="V698" s="100"/>
      <c r="W698" s="98"/>
      <c r="X698" s="96"/>
      <c r="Y698" s="98"/>
      <c r="Z698" s="96"/>
      <c r="AA698" s="97"/>
      <c r="AB698" s="96"/>
      <c r="AC698" s="98"/>
      <c r="AD698" s="98"/>
      <c r="AE698" s="98"/>
    </row>
    <row r="699" spans="2:31" x14ac:dyDescent="0.3">
      <c r="B699" s="96"/>
      <c r="C699" s="96"/>
      <c r="D699" s="96"/>
      <c r="E699" s="97"/>
      <c r="F699" s="96"/>
      <c r="G699" s="98"/>
      <c r="H699" s="96"/>
      <c r="I699" s="98"/>
      <c r="J699" s="97"/>
      <c r="K699" s="98"/>
      <c r="L699" s="100"/>
      <c r="M699" s="98"/>
      <c r="N699" s="96"/>
      <c r="O699" s="97"/>
      <c r="P699" s="70"/>
      <c r="Q699" s="97"/>
      <c r="R699" s="97"/>
      <c r="S699" s="98"/>
      <c r="T699" s="97"/>
      <c r="U699" s="98"/>
      <c r="V699" s="100"/>
      <c r="W699" s="98"/>
      <c r="X699" s="96"/>
      <c r="Y699" s="98"/>
      <c r="Z699" s="96"/>
      <c r="AA699" s="97"/>
      <c r="AB699" s="96"/>
      <c r="AC699" s="98"/>
      <c r="AD699" s="98"/>
      <c r="AE699" s="98"/>
    </row>
    <row r="700" spans="2:31" x14ac:dyDescent="0.3">
      <c r="B700" s="96"/>
      <c r="C700" s="96"/>
      <c r="D700" s="96"/>
      <c r="E700" s="97"/>
      <c r="F700" s="96"/>
      <c r="G700" s="98"/>
      <c r="H700" s="96"/>
      <c r="I700" s="98"/>
      <c r="J700" s="97"/>
      <c r="K700" s="98"/>
      <c r="L700" s="100"/>
      <c r="M700" s="98"/>
      <c r="N700" s="96"/>
      <c r="O700" s="97"/>
      <c r="P700" s="70"/>
      <c r="Q700" s="97"/>
      <c r="R700" s="97"/>
      <c r="S700" s="98"/>
      <c r="T700" s="97"/>
      <c r="U700" s="98"/>
      <c r="V700" s="100"/>
      <c r="W700" s="98"/>
      <c r="X700" s="96"/>
      <c r="Y700" s="98"/>
      <c r="Z700" s="96"/>
      <c r="AA700" s="97"/>
      <c r="AB700" s="96"/>
      <c r="AC700" s="98"/>
      <c r="AD700" s="98"/>
      <c r="AE700" s="98"/>
    </row>
    <row r="701" spans="2:31" x14ac:dyDescent="0.3">
      <c r="B701" s="96"/>
      <c r="C701" s="96"/>
      <c r="D701" s="96"/>
      <c r="E701" s="97"/>
      <c r="F701" s="96"/>
      <c r="G701" s="98"/>
      <c r="H701" s="96"/>
      <c r="I701" s="98"/>
      <c r="J701" s="97"/>
      <c r="K701" s="98"/>
      <c r="L701" s="100"/>
      <c r="M701" s="98"/>
      <c r="N701" s="96"/>
      <c r="O701" s="97"/>
      <c r="P701" s="70"/>
      <c r="Q701" s="97"/>
      <c r="R701" s="97"/>
      <c r="S701" s="98"/>
      <c r="T701" s="97"/>
      <c r="U701" s="98"/>
      <c r="V701" s="100"/>
      <c r="W701" s="98"/>
      <c r="X701" s="96"/>
      <c r="Y701" s="98"/>
      <c r="Z701" s="96"/>
      <c r="AA701" s="97"/>
      <c r="AB701" s="96"/>
      <c r="AC701" s="98"/>
      <c r="AD701" s="98"/>
      <c r="AE701" s="98"/>
    </row>
    <row r="702" spans="2:31" x14ac:dyDescent="0.3">
      <c r="B702" s="96"/>
      <c r="C702" s="96"/>
      <c r="D702" s="96"/>
      <c r="E702" s="97"/>
      <c r="F702" s="96"/>
      <c r="G702" s="98"/>
      <c r="H702" s="96"/>
      <c r="I702" s="98"/>
      <c r="J702" s="97"/>
      <c r="K702" s="98"/>
      <c r="L702" s="100"/>
      <c r="M702" s="98"/>
      <c r="N702" s="96"/>
      <c r="O702" s="97"/>
      <c r="P702" s="70"/>
      <c r="Q702" s="97"/>
      <c r="R702" s="97"/>
      <c r="S702" s="98"/>
      <c r="T702" s="97"/>
      <c r="U702" s="98"/>
      <c r="V702" s="100"/>
      <c r="W702" s="98"/>
      <c r="X702" s="96"/>
      <c r="Y702" s="98"/>
      <c r="Z702" s="96"/>
      <c r="AA702" s="97"/>
      <c r="AB702" s="96"/>
      <c r="AC702" s="98"/>
      <c r="AD702" s="98"/>
      <c r="AE702" s="98"/>
    </row>
    <row r="703" spans="2:31" x14ac:dyDescent="0.3">
      <c r="B703" s="96"/>
      <c r="C703" s="96"/>
      <c r="D703" s="96"/>
      <c r="E703" s="97"/>
      <c r="F703" s="96"/>
      <c r="G703" s="98"/>
      <c r="H703" s="96"/>
      <c r="I703" s="98"/>
      <c r="J703" s="97"/>
      <c r="K703" s="98"/>
      <c r="L703" s="100"/>
      <c r="M703" s="98"/>
      <c r="N703" s="96"/>
      <c r="O703" s="97"/>
      <c r="P703" s="70"/>
      <c r="Q703" s="97"/>
      <c r="R703" s="97"/>
      <c r="S703" s="98"/>
      <c r="T703" s="97"/>
      <c r="U703" s="98"/>
      <c r="V703" s="100"/>
      <c r="W703" s="98"/>
      <c r="X703" s="96"/>
      <c r="Y703" s="98"/>
      <c r="Z703" s="96"/>
      <c r="AA703" s="97"/>
      <c r="AB703" s="96"/>
      <c r="AC703" s="98"/>
      <c r="AD703" s="98"/>
      <c r="AE703" s="98"/>
    </row>
    <row r="704" spans="2:31" x14ac:dyDescent="0.3">
      <c r="B704" s="96"/>
      <c r="C704" s="96"/>
      <c r="D704" s="96"/>
      <c r="E704" s="97"/>
      <c r="F704" s="96"/>
      <c r="G704" s="98"/>
      <c r="H704" s="96"/>
      <c r="I704" s="98"/>
      <c r="J704" s="97"/>
      <c r="K704" s="98"/>
      <c r="L704" s="100"/>
      <c r="M704" s="98"/>
      <c r="N704" s="96"/>
      <c r="O704" s="97"/>
      <c r="P704" s="70"/>
      <c r="Q704" s="97"/>
      <c r="R704" s="97"/>
      <c r="S704" s="98"/>
      <c r="T704" s="97"/>
      <c r="U704" s="98"/>
      <c r="V704" s="100"/>
      <c r="W704" s="98"/>
      <c r="X704" s="96"/>
      <c r="Y704" s="98"/>
      <c r="Z704" s="96"/>
      <c r="AA704" s="97"/>
      <c r="AB704" s="96"/>
      <c r="AC704" s="98"/>
      <c r="AD704" s="98"/>
      <c r="AE704" s="98"/>
    </row>
    <row r="705" spans="2:31" x14ac:dyDescent="0.3">
      <c r="B705" s="96"/>
      <c r="C705" s="96"/>
      <c r="D705" s="96"/>
      <c r="E705" s="97"/>
      <c r="F705" s="96"/>
      <c r="G705" s="98"/>
      <c r="H705" s="96"/>
      <c r="I705" s="98"/>
      <c r="J705" s="97"/>
      <c r="K705" s="98"/>
      <c r="L705" s="100"/>
      <c r="M705" s="98"/>
      <c r="N705" s="96"/>
      <c r="O705" s="97"/>
      <c r="P705" s="70"/>
      <c r="Q705" s="97"/>
      <c r="R705" s="97"/>
      <c r="S705" s="98"/>
      <c r="T705" s="97"/>
      <c r="U705" s="98"/>
      <c r="V705" s="100"/>
      <c r="W705" s="98"/>
      <c r="X705" s="96"/>
      <c r="Y705" s="98"/>
      <c r="Z705" s="96"/>
      <c r="AA705" s="97"/>
      <c r="AB705" s="96"/>
      <c r="AC705" s="98"/>
      <c r="AD705" s="98"/>
      <c r="AE705" s="98"/>
    </row>
    <row r="706" spans="2:31" x14ac:dyDescent="0.3">
      <c r="B706" s="96"/>
      <c r="C706" s="96"/>
      <c r="D706" s="96"/>
      <c r="E706" s="97"/>
      <c r="F706" s="96"/>
      <c r="G706" s="98"/>
      <c r="H706" s="96"/>
      <c r="I706" s="98"/>
      <c r="J706" s="97"/>
      <c r="K706" s="98"/>
      <c r="L706" s="100"/>
      <c r="M706" s="98"/>
      <c r="N706" s="96"/>
      <c r="O706" s="97"/>
      <c r="P706" s="70"/>
      <c r="Q706" s="97"/>
      <c r="R706" s="97"/>
      <c r="S706" s="98"/>
      <c r="T706" s="97"/>
      <c r="U706" s="98"/>
      <c r="V706" s="100"/>
      <c r="W706" s="98"/>
      <c r="X706" s="96"/>
      <c r="Y706" s="98"/>
      <c r="Z706" s="96"/>
      <c r="AA706" s="97"/>
      <c r="AB706" s="96"/>
      <c r="AC706" s="98"/>
      <c r="AD706" s="98"/>
      <c r="AE706" s="98"/>
    </row>
    <row r="707" spans="2:31" x14ac:dyDescent="0.3">
      <c r="B707" s="96"/>
      <c r="C707" s="96"/>
      <c r="D707" s="96"/>
      <c r="E707" s="97"/>
      <c r="F707" s="96"/>
      <c r="G707" s="98"/>
      <c r="H707" s="96"/>
      <c r="I707" s="98"/>
      <c r="J707" s="97"/>
      <c r="K707" s="98"/>
      <c r="L707" s="100"/>
      <c r="M707" s="98"/>
      <c r="N707" s="96"/>
      <c r="O707" s="97"/>
      <c r="P707" s="70"/>
      <c r="Q707" s="97"/>
      <c r="R707" s="97"/>
      <c r="S707" s="98"/>
      <c r="T707" s="97"/>
      <c r="U707" s="98"/>
      <c r="V707" s="100"/>
      <c r="W707" s="98"/>
      <c r="X707" s="96"/>
      <c r="Y707" s="98"/>
      <c r="Z707" s="96"/>
      <c r="AA707" s="97"/>
      <c r="AB707" s="96"/>
      <c r="AC707" s="98"/>
      <c r="AD707" s="98"/>
      <c r="AE707" s="98"/>
    </row>
    <row r="708" spans="2:31" x14ac:dyDescent="0.3">
      <c r="B708" s="96"/>
      <c r="C708" s="96"/>
      <c r="D708" s="96"/>
      <c r="E708" s="97"/>
      <c r="F708" s="96"/>
      <c r="G708" s="98"/>
      <c r="H708" s="96"/>
      <c r="I708" s="98"/>
      <c r="J708" s="97"/>
      <c r="K708" s="98"/>
      <c r="L708" s="100"/>
      <c r="M708" s="98"/>
      <c r="N708" s="96"/>
      <c r="O708" s="97"/>
      <c r="P708" s="70"/>
      <c r="Q708" s="97"/>
      <c r="R708" s="97"/>
      <c r="S708" s="98"/>
      <c r="T708" s="97"/>
      <c r="U708" s="98"/>
      <c r="V708" s="100"/>
      <c r="W708" s="98"/>
      <c r="X708" s="96"/>
      <c r="Y708" s="98"/>
      <c r="Z708" s="96"/>
      <c r="AA708" s="97"/>
      <c r="AB708" s="96"/>
      <c r="AC708" s="98"/>
      <c r="AD708" s="98"/>
      <c r="AE708" s="98"/>
    </row>
    <row r="709" spans="2:31" x14ac:dyDescent="0.3">
      <c r="B709" s="96"/>
      <c r="C709" s="96"/>
      <c r="D709" s="96"/>
      <c r="E709" s="97"/>
      <c r="F709" s="96"/>
      <c r="G709" s="98"/>
      <c r="H709" s="96"/>
      <c r="I709" s="98"/>
      <c r="J709" s="97"/>
      <c r="K709" s="98"/>
      <c r="L709" s="100"/>
      <c r="M709" s="98"/>
      <c r="N709" s="96"/>
      <c r="O709" s="97"/>
      <c r="P709" s="70"/>
      <c r="Q709" s="97"/>
      <c r="R709" s="97"/>
      <c r="S709" s="98"/>
      <c r="T709" s="97"/>
      <c r="U709" s="98"/>
      <c r="V709" s="100"/>
      <c r="W709" s="98"/>
      <c r="X709" s="96"/>
      <c r="Y709" s="98"/>
      <c r="Z709" s="96"/>
      <c r="AA709" s="97"/>
      <c r="AB709" s="96"/>
      <c r="AC709" s="98"/>
      <c r="AD709" s="98"/>
      <c r="AE709" s="98"/>
    </row>
    <row r="710" spans="2:31" x14ac:dyDescent="0.3">
      <c r="B710" s="96"/>
      <c r="C710" s="96"/>
      <c r="D710" s="96"/>
      <c r="E710" s="97"/>
      <c r="F710" s="96"/>
      <c r="G710" s="98"/>
      <c r="H710" s="96"/>
      <c r="I710" s="98"/>
      <c r="J710" s="97"/>
      <c r="K710" s="98"/>
      <c r="L710" s="100"/>
      <c r="M710" s="98"/>
      <c r="N710" s="96"/>
      <c r="O710" s="97"/>
      <c r="P710" s="70"/>
      <c r="Q710" s="97"/>
      <c r="R710" s="97"/>
      <c r="S710" s="98"/>
      <c r="T710" s="97"/>
      <c r="U710" s="98"/>
      <c r="V710" s="100"/>
      <c r="W710" s="98"/>
      <c r="X710" s="96"/>
      <c r="Y710" s="98"/>
      <c r="Z710" s="96"/>
      <c r="AA710" s="97"/>
      <c r="AB710" s="96"/>
      <c r="AC710" s="98"/>
      <c r="AD710" s="98"/>
      <c r="AE710" s="98"/>
    </row>
    <row r="711" spans="2:31" x14ac:dyDescent="0.3">
      <c r="B711" s="96"/>
      <c r="C711" s="96"/>
      <c r="D711" s="96"/>
      <c r="E711" s="97"/>
      <c r="F711" s="96"/>
      <c r="G711" s="98"/>
      <c r="H711" s="96"/>
      <c r="I711" s="98"/>
      <c r="J711" s="97"/>
      <c r="K711" s="98"/>
      <c r="L711" s="100"/>
      <c r="M711" s="98"/>
      <c r="N711" s="96"/>
      <c r="O711" s="97"/>
      <c r="P711" s="70"/>
      <c r="Q711" s="97"/>
      <c r="R711" s="97"/>
      <c r="S711" s="98"/>
      <c r="T711" s="97"/>
      <c r="U711" s="98"/>
      <c r="V711" s="100"/>
      <c r="W711" s="98"/>
      <c r="X711" s="96"/>
      <c r="Y711" s="98"/>
      <c r="Z711" s="96"/>
      <c r="AA711" s="97"/>
      <c r="AB711" s="96"/>
      <c r="AC711" s="98"/>
      <c r="AD711" s="98"/>
      <c r="AE711" s="98"/>
    </row>
    <row r="712" spans="2:31" x14ac:dyDescent="0.3">
      <c r="B712" s="96"/>
      <c r="C712" s="96"/>
      <c r="D712" s="96"/>
      <c r="E712" s="97"/>
      <c r="F712" s="96"/>
      <c r="G712" s="98"/>
      <c r="H712" s="96"/>
      <c r="I712" s="98"/>
      <c r="J712" s="97"/>
      <c r="K712" s="98"/>
      <c r="L712" s="100"/>
      <c r="M712" s="98"/>
      <c r="N712" s="96"/>
      <c r="O712" s="97"/>
      <c r="P712" s="70"/>
      <c r="Q712" s="97"/>
      <c r="R712" s="97"/>
      <c r="S712" s="98"/>
      <c r="T712" s="97"/>
      <c r="U712" s="98"/>
      <c r="V712" s="100"/>
      <c r="W712" s="98"/>
      <c r="X712" s="96"/>
      <c r="Y712" s="98"/>
      <c r="Z712" s="96"/>
      <c r="AA712" s="97"/>
      <c r="AB712" s="96"/>
      <c r="AC712" s="98"/>
      <c r="AD712" s="98"/>
      <c r="AE712" s="98"/>
    </row>
    <row r="713" spans="2:31" x14ac:dyDescent="0.3">
      <c r="B713" s="96"/>
      <c r="C713" s="96"/>
      <c r="D713" s="96"/>
      <c r="E713" s="97"/>
      <c r="F713" s="96"/>
      <c r="G713" s="98"/>
      <c r="H713" s="96"/>
      <c r="I713" s="98"/>
      <c r="J713" s="97"/>
      <c r="K713" s="98"/>
      <c r="L713" s="100"/>
      <c r="M713" s="98"/>
      <c r="N713" s="96"/>
      <c r="O713" s="97"/>
      <c r="P713" s="70"/>
      <c r="Q713" s="97"/>
      <c r="R713" s="97"/>
      <c r="S713" s="98"/>
      <c r="T713" s="97"/>
      <c r="U713" s="98"/>
      <c r="V713" s="100"/>
      <c r="W713" s="98"/>
      <c r="X713" s="96"/>
      <c r="Y713" s="98"/>
      <c r="Z713" s="96"/>
      <c r="AA713" s="97"/>
      <c r="AB713" s="96"/>
      <c r="AC713" s="98"/>
      <c r="AD713" s="98"/>
      <c r="AE713" s="98"/>
    </row>
    <row r="714" spans="2:31" x14ac:dyDescent="0.3">
      <c r="B714" s="96"/>
      <c r="C714" s="96"/>
      <c r="D714" s="96"/>
      <c r="E714" s="97"/>
      <c r="F714" s="96"/>
      <c r="G714" s="98"/>
      <c r="H714" s="96"/>
      <c r="I714" s="98"/>
      <c r="J714" s="97"/>
      <c r="K714" s="98"/>
      <c r="L714" s="100"/>
      <c r="M714" s="98"/>
      <c r="N714" s="96"/>
      <c r="O714" s="97"/>
      <c r="P714" s="70"/>
      <c r="Q714" s="97"/>
      <c r="R714" s="97"/>
      <c r="S714" s="98"/>
      <c r="T714" s="97"/>
      <c r="U714" s="98"/>
      <c r="V714" s="100"/>
      <c r="W714" s="98"/>
      <c r="X714" s="96"/>
      <c r="Y714" s="98"/>
      <c r="Z714" s="96"/>
      <c r="AA714" s="97"/>
      <c r="AB714" s="96"/>
      <c r="AC714" s="98"/>
      <c r="AD714" s="98"/>
      <c r="AE714" s="98"/>
    </row>
    <row r="715" spans="2:31" x14ac:dyDescent="0.3">
      <c r="B715" s="96"/>
      <c r="C715" s="96"/>
      <c r="D715" s="96"/>
      <c r="E715" s="97"/>
      <c r="F715" s="96"/>
      <c r="G715" s="98"/>
      <c r="H715" s="96"/>
      <c r="I715" s="98"/>
      <c r="J715" s="97"/>
      <c r="K715" s="98"/>
      <c r="L715" s="100"/>
      <c r="M715" s="98"/>
      <c r="N715" s="96"/>
      <c r="O715" s="97"/>
      <c r="P715" s="70"/>
      <c r="Q715" s="97"/>
      <c r="R715" s="97"/>
      <c r="S715" s="98"/>
      <c r="T715" s="97"/>
      <c r="U715" s="98"/>
      <c r="V715" s="100"/>
      <c r="W715" s="98"/>
      <c r="X715" s="96"/>
      <c r="Y715" s="98"/>
      <c r="Z715" s="96"/>
      <c r="AA715" s="97"/>
      <c r="AB715" s="96"/>
      <c r="AC715" s="98"/>
      <c r="AD715" s="98"/>
      <c r="AE715" s="98"/>
    </row>
    <row r="716" spans="2:31" x14ac:dyDescent="0.3">
      <c r="B716" s="96"/>
      <c r="C716" s="96"/>
      <c r="D716" s="96"/>
      <c r="E716" s="97"/>
      <c r="F716" s="96"/>
      <c r="G716" s="98"/>
      <c r="H716" s="96"/>
      <c r="I716" s="98"/>
      <c r="J716" s="97"/>
      <c r="K716" s="98"/>
      <c r="L716" s="100"/>
      <c r="M716" s="98"/>
      <c r="N716" s="96"/>
      <c r="O716" s="97"/>
      <c r="P716" s="70"/>
      <c r="Q716" s="97"/>
      <c r="R716" s="97"/>
      <c r="S716" s="98"/>
      <c r="T716" s="97"/>
      <c r="U716" s="98"/>
      <c r="V716" s="100"/>
      <c r="W716" s="98"/>
      <c r="X716" s="96"/>
      <c r="Y716" s="98"/>
      <c r="Z716" s="96"/>
      <c r="AA716" s="97"/>
      <c r="AB716" s="96"/>
      <c r="AC716" s="98"/>
      <c r="AD716" s="98"/>
      <c r="AE716" s="98"/>
    </row>
    <row r="717" spans="2:31" x14ac:dyDescent="0.3">
      <c r="B717" s="96"/>
      <c r="C717" s="96"/>
      <c r="D717" s="96"/>
      <c r="E717" s="97"/>
      <c r="F717" s="96"/>
      <c r="G717" s="98"/>
      <c r="H717" s="96"/>
      <c r="I717" s="98"/>
      <c r="J717" s="97"/>
      <c r="K717" s="98"/>
      <c r="L717" s="100"/>
      <c r="M717" s="98"/>
      <c r="N717" s="96"/>
      <c r="O717" s="97"/>
      <c r="P717" s="70"/>
      <c r="Q717" s="97"/>
      <c r="R717" s="97"/>
      <c r="S717" s="98"/>
      <c r="T717" s="97"/>
      <c r="U717" s="98"/>
      <c r="V717" s="100"/>
      <c r="W717" s="98"/>
      <c r="X717" s="96"/>
      <c r="Y717" s="98"/>
      <c r="Z717" s="96"/>
      <c r="AA717" s="97"/>
      <c r="AB717" s="96"/>
      <c r="AC717" s="98"/>
      <c r="AD717" s="98"/>
      <c r="AE717" s="98"/>
    </row>
    <row r="718" spans="2:31" x14ac:dyDescent="0.3">
      <c r="B718" s="96"/>
      <c r="C718" s="96"/>
      <c r="D718" s="96"/>
      <c r="E718" s="97"/>
      <c r="F718" s="96"/>
      <c r="G718" s="98"/>
      <c r="H718" s="96"/>
      <c r="I718" s="98"/>
      <c r="J718" s="97"/>
      <c r="K718" s="98"/>
      <c r="L718" s="100"/>
      <c r="M718" s="98"/>
      <c r="N718" s="96"/>
      <c r="O718" s="97"/>
      <c r="P718" s="70"/>
      <c r="Q718" s="97"/>
      <c r="R718" s="97"/>
      <c r="S718" s="98"/>
      <c r="T718" s="97"/>
      <c r="U718" s="98"/>
      <c r="V718" s="100"/>
      <c r="W718" s="98"/>
      <c r="X718" s="96"/>
      <c r="Y718" s="98"/>
      <c r="Z718" s="96"/>
      <c r="AA718" s="97"/>
      <c r="AB718" s="96"/>
      <c r="AC718" s="98"/>
      <c r="AD718" s="98"/>
      <c r="AE718" s="98"/>
    </row>
    <row r="719" spans="2:31" x14ac:dyDescent="0.3">
      <c r="B719" s="96"/>
      <c r="C719" s="96"/>
      <c r="D719" s="96"/>
      <c r="E719" s="97"/>
      <c r="F719" s="96"/>
      <c r="G719" s="98"/>
      <c r="H719" s="96"/>
      <c r="I719" s="98"/>
      <c r="J719" s="97"/>
      <c r="K719" s="98"/>
      <c r="L719" s="100"/>
      <c r="M719" s="98"/>
      <c r="N719" s="96"/>
      <c r="O719" s="97"/>
      <c r="P719" s="70"/>
      <c r="Q719" s="97"/>
      <c r="R719" s="97"/>
      <c r="S719" s="98"/>
      <c r="T719" s="97"/>
      <c r="U719" s="98"/>
      <c r="V719" s="100"/>
      <c r="W719" s="98"/>
      <c r="X719" s="96"/>
      <c r="Y719" s="98"/>
      <c r="Z719" s="96"/>
      <c r="AA719" s="97"/>
      <c r="AB719" s="96"/>
      <c r="AC719" s="98"/>
      <c r="AD719" s="98"/>
      <c r="AE719" s="98"/>
    </row>
    <row r="720" spans="2:31" x14ac:dyDescent="0.3">
      <c r="B720" s="96"/>
      <c r="C720" s="96"/>
      <c r="D720" s="96"/>
      <c r="E720" s="97"/>
      <c r="F720" s="96"/>
      <c r="G720" s="98"/>
      <c r="H720" s="96"/>
      <c r="I720" s="98"/>
      <c r="J720" s="97"/>
      <c r="K720" s="98"/>
      <c r="L720" s="100"/>
      <c r="M720" s="98"/>
      <c r="N720" s="96"/>
      <c r="O720" s="97"/>
      <c r="P720" s="70"/>
      <c r="Q720" s="97"/>
      <c r="R720" s="97"/>
      <c r="S720" s="98"/>
      <c r="T720" s="97"/>
      <c r="U720" s="98"/>
      <c r="V720" s="100"/>
      <c r="W720" s="98"/>
      <c r="X720" s="96"/>
      <c r="Y720" s="98"/>
      <c r="Z720" s="96"/>
      <c r="AA720" s="97"/>
      <c r="AB720" s="96"/>
      <c r="AC720" s="98"/>
      <c r="AD720" s="98"/>
      <c r="AE720" s="98"/>
    </row>
    <row r="721" spans="2:31" x14ac:dyDescent="0.3">
      <c r="B721" s="96"/>
      <c r="C721" s="96"/>
      <c r="D721" s="96"/>
      <c r="E721" s="97"/>
      <c r="F721" s="96"/>
      <c r="G721" s="98"/>
      <c r="H721" s="96"/>
      <c r="I721" s="98"/>
      <c r="J721" s="97"/>
      <c r="K721" s="98"/>
      <c r="L721" s="100"/>
      <c r="M721" s="98"/>
      <c r="N721" s="96"/>
      <c r="O721" s="97"/>
      <c r="P721" s="70"/>
      <c r="Q721" s="97"/>
      <c r="R721" s="97"/>
      <c r="S721" s="98"/>
      <c r="T721" s="97"/>
      <c r="U721" s="98"/>
      <c r="V721" s="100"/>
      <c r="W721" s="98"/>
      <c r="X721" s="96"/>
      <c r="Y721" s="98"/>
      <c r="Z721" s="96"/>
      <c r="AA721" s="97"/>
      <c r="AB721" s="96"/>
      <c r="AC721" s="98"/>
      <c r="AD721" s="98"/>
      <c r="AE721" s="98"/>
    </row>
    <row r="722" spans="2:31" x14ac:dyDescent="0.3">
      <c r="B722" s="96"/>
      <c r="C722" s="96"/>
      <c r="D722" s="96"/>
      <c r="E722" s="97"/>
      <c r="F722" s="96"/>
      <c r="G722" s="98"/>
      <c r="H722" s="96"/>
      <c r="I722" s="98"/>
      <c r="J722" s="97"/>
      <c r="K722" s="98"/>
      <c r="L722" s="100"/>
      <c r="M722" s="98"/>
      <c r="N722" s="96"/>
      <c r="O722" s="97"/>
      <c r="P722" s="70"/>
      <c r="Q722" s="97"/>
      <c r="R722" s="97"/>
      <c r="S722" s="98"/>
      <c r="T722" s="97"/>
      <c r="U722" s="98"/>
      <c r="V722" s="100"/>
      <c r="W722" s="98"/>
      <c r="X722" s="96"/>
      <c r="Y722" s="98"/>
      <c r="Z722" s="96"/>
      <c r="AA722" s="97"/>
      <c r="AB722" s="96"/>
      <c r="AC722" s="98"/>
      <c r="AD722" s="98"/>
      <c r="AE722" s="98"/>
    </row>
    <row r="723" spans="2:31" x14ac:dyDescent="0.3">
      <c r="B723" s="96"/>
      <c r="C723" s="96"/>
      <c r="D723" s="96"/>
      <c r="E723" s="97"/>
      <c r="F723" s="96"/>
      <c r="G723" s="98"/>
      <c r="H723" s="96"/>
      <c r="I723" s="98"/>
      <c r="J723" s="97"/>
      <c r="K723" s="98"/>
      <c r="L723" s="100"/>
      <c r="M723" s="98"/>
      <c r="N723" s="96"/>
      <c r="O723" s="97"/>
      <c r="P723" s="70"/>
      <c r="Q723" s="97"/>
      <c r="R723" s="97"/>
      <c r="S723" s="98"/>
      <c r="T723" s="97"/>
      <c r="U723" s="98"/>
      <c r="V723" s="100"/>
      <c r="W723" s="98"/>
      <c r="X723" s="96"/>
      <c r="Y723" s="98"/>
      <c r="Z723" s="96"/>
      <c r="AA723" s="97"/>
      <c r="AB723" s="96"/>
      <c r="AC723" s="98"/>
      <c r="AD723" s="98"/>
      <c r="AE723" s="98"/>
    </row>
    <row r="724" spans="2:31" x14ac:dyDescent="0.3">
      <c r="B724" s="96"/>
      <c r="C724" s="96"/>
      <c r="D724" s="96"/>
      <c r="E724" s="97"/>
      <c r="F724" s="96"/>
      <c r="G724" s="98"/>
      <c r="H724" s="96"/>
      <c r="I724" s="98"/>
      <c r="J724" s="97"/>
      <c r="K724" s="98"/>
      <c r="L724" s="100"/>
      <c r="M724" s="98"/>
      <c r="N724" s="96"/>
      <c r="O724" s="97"/>
      <c r="P724" s="70"/>
      <c r="Q724" s="97"/>
      <c r="R724" s="97"/>
      <c r="S724" s="98"/>
      <c r="T724" s="97"/>
      <c r="U724" s="98"/>
      <c r="V724" s="100"/>
      <c r="W724" s="98"/>
      <c r="X724" s="96"/>
      <c r="Y724" s="98"/>
      <c r="Z724" s="96"/>
      <c r="AA724" s="97"/>
      <c r="AB724" s="96"/>
      <c r="AC724" s="98"/>
      <c r="AD724" s="98"/>
      <c r="AE724" s="98"/>
    </row>
    <row r="725" spans="2:31" x14ac:dyDescent="0.3">
      <c r="B725" s="96"/>
      <c r="C725" s="96"/>
      <c r="D725" s="96"/>
      <c r="E725" s="97"/>
      <c r="F725" s="96"/>
      <c r="G725" s="98"/>
      <c r="H725" s="96"/>
      <c r="I725" s="98"/>
      <c r="J725" s="97"/>
      <c r="K725" s="98"/>
      <c r="L725" s="100"/>
      <c r="M725" s="98"/>
      <c r="N725" s="96"/>
      <c r="O725" s="97"/>
      <c r="P725" s="70"/>
      <c r="Q725" s="97"/>
      <c r="R725" s="97"/>
      <c r="S725" s="98"/>
      <c r="T725" s="97"/>
      <c r="U725" s="98"/>
      <c r="V725" s="100"/>
      <c r="W725" s="98"/>
      <c r="X725" s="96"/>
      <c r="Y725" s="98"/>
      <c r="Z725" s="96"/>
      <c r="AA725" s="97"/>
      <c r="AB725" s="96"/>
      <c r="AC725" s="98"/>
      <c r="AD725" s="98"/>
      <c r="AE725" s="98"/>
    </row>
    <row r="726" spans="2:31" x14ac:dyDescent="0.3">
      <c r="B726" s="96"/>
      <c r="C726" s="96"/>
      <c r="D726" s="96"/>
      <c r="E726" s="97"/>
      <c r="F726" s="96"/>
      <c r="G726" s="98"/>
      <c r="H726" s="96"/>
      <c r="I726" s="98"/>
      <c r="J726" s="97"/>
      <c r="K726" s="98"/>
      <c r="L726" s="100"/>
      <c r="M726" s="98"/>
      <c r="N726" s="96"/>
      <c r="O726" s="97"/>
      <c r="P726" s="70"/>
      <c r="Q726" s="97"/>
      <c r="R726" s="97"/>
      <c r="S726" s="98"/>
      <c r="T726" s="97"/>
      <c r="U726" s="98"/>
      <c r="V726" s="100"/>
      <c r="W726" s="98"/>
      <c r="X726" s="96"/>
      <c r="Y726" s="98"/>
      <c r="Z726" s="96"/>
      <c r="AA726" s="97"/>
      <c r="AB726" s="96"/>
      <c r="AC726" s="98"/>
      <c r="AD726" s="98"/>
      <c r="AE726" s="98"/>
    </row>
    <row r="727" spans="2:31" x14ac:dyDescent="0.3">
      <c r="B727" s="96"/>
      <c r="C727" s="96"/>
      <c r="D727" s="96"/>
      <c r="E727" s="97"/>
      <c r="F727" s="96"/>
      <c r="G727" s="98"/>
      <c r="H727" s="96"/>
      <c r="I727" s="98"/>
      <c r="J727" s="97"/>
      <c r="K727" s="98"/>
      <c r="L727" s="100"/>
      <c r="M727" s="98"/>
      <c r="N727" s="96"/>
      <c r="O727" s="97"/>
      <c r="P727" s="70"/>
      <c r="Q727" s="97"/>
      <c r="R727" s="97"/>
      <c r="S727" s="98"/>
      <c r="T727" s="97"/>
      <c r="U727" s="98"/>
      <c r="V727" s="100"/>
      <c r="W727" s="98"/>
      <c r="X727" s="96"/>
      <c r="Y727" s="98"/>
      <c r="Z727" s="96"/>
      <c r="AA727" s="97"/>
      <c r="AB727" s="96"/>
      <c r="AC727" s="98"/>
      <c r="AD727" s="98"/>
      <c r="AE727" s="98"/>
    </row>
    <row r="728" spans="2:31" x14ac:dyDescent="0.3">
      <c r="B728" s="96"/>
      <c r="C728" s="96"/>
      <c r="D728" s="96"/>
      <c r="E728" s="97"/>
      <c r="F728" s="96"/>
      <c r="G728" s="98"/>
      <c r="H728" s="96"/>
      <c r="I728" s="98"/>
      <c r="J728" s="97"/>
      <c r="K728" s="98"/>
      <c r="L728" s="100"/>
      <c r="M728" s="98"/>
      <c r="N728" s="96"/>
      <c r="O728" s="97"/>
      <c r="P728" s="70"/>
      <c r="Q728" s="97"/>
      <c r="R728" s="97"/>
      <c r="S728" s="98"/>
      <c r="T728" s="97"/>
      <c r="U728" s="98"/>
      <c r="V728" s="100"/>
      <c r="W728" s="98"/>
      <c r="X728" s="96"/>
      <c r="Y728" s="98"/>
      <c r="Z728" s="96"/>
      <c r="AA728" s="97"/>
      <c r="AB728" s="96"/>
      <c r="AC728" s="98"/>
      <c r="AD728" s="98"/>
      <c r="AE728" s="98"/>
    </row>
    <row r="729" spans="2:31" x14ac:dyDescent="0.3">
      <c r="B729" s="96"/>
      <c r="C729" s="96"/>
      <c r="D729" s="96"/>
      <c r="E729" s="97"/>
      <c r="F729" s="96"/>
      <c r="G729" s="98"/>
      <c r="H729" s="96"/>
      <c r="I729" s="98"/>
      <c r="J729" s="97"/>
      <c r="K729" s="98"/>
      <c r="L729" s="100"/>
      <c r="M729" s="98"/>
      <c r="N729" s="96"/>
      <c r="O729" s="97"/>
      <c r="P729" s="70"/>
      <c r="Q729" s="97"/>
      <c r="R729" s="97"/>
      <c r="S729" s="98"/>
      <c r="T729" s="97"/>
      <c r="U729" s="98"/>
      <c r="V729" s="100"/>
      <c r="W729" s="98"/>
      <c r="X729" s="96"/>
      <c r="Y729" s="98"/>
      <c r="Z729" s="96"/>
      <c r="AA729" s="97"/>
      <c r="AB729" s="96"/>
      <c r="AC729" s="98"/>
      <c r="AD729" s="98"/>
      <c r="AE729" s="98"/>
    </row>
    <row r="730" spans="2:31" x14ac:dyDescent="0.3">
      <c r="B730" s="96"/>
      <c r="C730" s="96"/>
      <c r="D730" s="96"/>
      <c r="E730" s="97"/>
      <c r="F730" s="96"/>
      <c r="G730" s="98"/>
      <c r="H730" s="96"/>
      <c r="I730" s="98"/>
      <c r="J730" s="97"/>
      <c r="K730" s="98"/>
      <c r="L730" s="100"/>
      <c r="M730" s="98"/>
      <c r="N730" s="96"/>
      <c r="O730" s="97"/>
      <c r="P730" s="70"/>
      <c r="Q730" s="97"/>
      <c r="R730" s="97"/>
      <c r="S730" s="98"/>
      <c r="T730" s="97"/>
      <c r="U730" s="98"/>
      <c r="V730" s="100"/>
      <c r="W730" s="98"/>
      <c r="X730" s="96"/>
      <c r="Y730" s="98"/>
      <c r="Z730" s="96"/>
      <c r="AA730" s="97"/>
      <c r="AB730" s="96"/>
      <c r="AC730" s="98"/>
      <c r="AD730" s="98"/>
      <c r="AE730" s="98"/>
    </row>
    <row r="731" spans="2:31" x14ac:dyDescent="0.3">
      <c r="B731" s="96"/>
      <c r="C731" s="96"/>
      <c r="D731" s="96"/>
      <c r="E731" s="97"/>
      <c r="F731" s="96"/>
      <c r="G731" s="98"/>
      <c r="H731" s="96"/>
      <c r="I731" s="98"/>
      <c r="J731" s="97"/>
      <c r="K731" s="98"/>
      <c r="L731" s="100"/>
      <c r="M731" s="98"/>
      <c r="N731" s="96"/>
      <c r="O731" s="97"/>
      <c r="P731" s="70"/>
      <c r="Q731" s="97"/>
      <c r="R731" s="97"/>
      <c r="S731" s="98"/>
      <c r="T731" s="97"/>
      <c r="U731" s="98"/>
      <c r="V731" s="100"/>
      <c r="W731" s="98"/>
      <c r="X731" s="96"/>
      <c r="Y731" s="98"/>
      <c r="Z731" s="96"/>
      <c r="AA731" s="97"/>
      <c r="AB731" s="96"/>
      <c r="AC731" s="98"/>
      <c r="AD731" s="98"/>
      <c r="AE731" s="98"/>
    </row>
    <row r="732" spans="2:31" x14ac:dyDescent="0.3">
      <c r="B732" s="96"/>
      <c r="C732" s="96"/>
      <c r="D732" s="96"/>
      <c r="E732" s="97"/>
      <c r="F732" s="96"/>
      <c r="G732" s="98"/>
      <c r="H732" s="96"/>
      <c r="I732" s="98"/>
      <c r="J732" s="97"/>
      <c r="K732" s="98"/>
      <c r="L732" s="100"/>
      <c r="M732" s="98"/>
      <c r="N732" s="96"/>
      <c r="O732" s="97"/>
      <c r="P732" s="70"/>
      <c r="Q732" s="97"/>
      <c r="R732" s="97"/>
      <c r="S732" s="98"/>
      <c r="T732" s="97"/>
      <c r="U732" s="98"/>
      <c r="V732" s="100"/>
      <c r="W732" s="98"/>
      <c r="X732" s="96"/>
      <c r="Y732" s="98"/>
      <c r="Z732" s="96"/>
      <c r="AA732" s="97"/>
      <c r="AB732" s="96"/>
      <c r="AC732" s="98"/>
      <c r="AD732" s="98"/>
      <c r="AE732" s="98"/>
    </row>
    <row r="733" spans="2:31" x14ac:dyDescent="0.3">
      <c r="B733" s="96"/>
      <c r="C733" s="96"/>
      <c r="D733" s="96"/>
      <c r="E733" s="97"/>
      <c r="F733" s="96"/>
      <c r="G733" s="98"/>
      <c r="H733" s="96"/>
      <c r="I733" s="98"/>
      <c r="J733" s="97"/>
      <c r="K733" s="98"/>
      <c r="L733" s="100"/>
      <c r="M733" s="98"/>
      <c r="N733" s="96"/>
      <c r="O733" s="97"/>
      <c r="P733" s="70"/>
      <c r="Q733" s="97"/>
      <c r="R733" s="97"/>
      <c r="S733" s="98"/>
      <c r="T733" s="97"/>
      <c r="U733" s="98"/>
      <c r="V733" s="100"/>
      <c r="W733" s="98"/>
      <c r="X733" s="96"/>
      <c r="Y733" s="98"/>
      <c r="Z733" s="96"/>
      <c r="AA733" s="97"/>
      <c r="AB733" s="96"/>
      <c r="AC733" s="98"/>
      <c r="AD733" s="98"/>
      <c r="AE733" s="98"/>
    </row>
    <row r="734" spans="2:31" x14ac:dyDescent="0.3">
      <c r="B734" s="96"/>
      <c r="C734" s="96"/>
      <c r="D734" s="96"/>
      <c r="E734" s="97"/>
      <c r="F734" s="96"/>
      <c r="G734" s="98"/>
      <c r="H734" s="96"/>
      <c r="I734" s="98"/>
      <c r="J734" s="97"/>
      <c r="K734" s="98"/>
      <c r="L734" s="100"/>
      <c r="M734" s="98"/>
      <c r="N734" s="96"/>
      <c r="O734" s="97"/>
      <c r="P734" s="70"/>
      <c r="Q734" s="97"/>
      <c r="R734" s="97"/>
      <c r="S734" s="98"/>
      <c r="T734" s="97"/>
      <c r="U734" s="98"/>
      <c r="V734" s="100"/>
      <c r="W734" s="98"/>
      <c r="X734" s="96"/>
      <c r="Y734" s="98"/>
      <c r="Z734" s="96"/>
      <c r="AA734" s="97"/>
      <c r="AB734" s="96"/>
      <c r="AC734" s="98"/>
      <c r="AD734" s="98"/>
      <c r="AE734" s="98"/>
    </row>
    <row r="735" spans="2:31" x14ac:dyDescent="0.3">
      <c r="B735" s="96"/>
      <c r="C735" s="96"/>
      <c r="D735" s="96"/>
      <c r="E735" s="97"/>
      <c r="F735" s="96"/>
      <c r="G735" s="98"/>
      <c r="H735" s="96"/>
      <c r="I735" s="98"/>
      <c r="J735" s="97"/>
      <c r="K735" s="98"/>
      <c r="L735" s="100"/>
      <c r="M735" s="98"/>
      <c r="N735" s="96"/>
      <c r="O735" s="97"/>
      <c r="P735" s="70"/>
      <c r="Q735" s="97"/>
      <c r="R735" s="97"/>
      <c r="S735" s="98"/>
      <c r="T735" s="97"/>
      <c r="U735" s="98"/>
      <c r="V735" s="100"/>
      <c r="W735" s="98"/>
      <c r="X735" s="96"/>
      <c r="Y735" s="98"/>
      <c r="Z735" s="96"/>
      <c r="AA735" s="97"/>
      <c r="AB735" s="96"/>
      <c r="AC735" s="98"/>
      <c r="AD735" s="98"/>
      <c r="AE735" s="98"/>
    </row>
    <row r="736" spans="2:31" x14ac:dyDescent="0.3">
      <c r="B736" s="96"/>
      <c r="C736" s="96"/>
      <c r="D736" s="96"/>
      <c r="E736" s="97"/>
      <c r="F736" s="96"/>
      <c r="G736" s="98"/>
      <c r="H736" s="96"/>
      <c r="I736" s="98"/>
      <c r="J736" s="97"/>
      <c r="K736" s="98"/>
      <c r="L736" s="100"/>
      <c r="M736" s="98"/>
      <c r="N736" s="96"/>
      <c r="O736" s="97"/>
      <c r="P736" s="70"/>
      <c r="Q736" s="97"/>
      <c r="R736" s="97"/>
      <c r="S736" s="98"/>
      <c r="T736" s="97"/>
      <c r="U736" s="98"/>
      <c r="V736" s="100"/>
      <c r="W736" s="98"/>
      <c r="X736" s="96"/>
      <c r="Y736" s="98"/>
      <c r="Z736" s="96"/>
      <c r="AA736" s="97"/>
      <c r="AB736" s="96"/>
      <c r="AC736" s="98"/>
      <c r="AD736" s="98"/>
      <c r="AE736" s="98"/>
    </row>
    <row r="737" spans="2:31" x14ac:dyDescent="0.3">
      <c r="B737" s="96"/>
      <c r="C737" s="96"/>
      <c r="D737" s="96"/>
      <c r="E737" s="97"/>
      <c r="F737" s="96"/>
      <c r="G737" s="98"/>
      <c r="H737" s="96"/>
      <c r="I737" s="98"/>
      <c r="J737" s="97"/>
      <c r="K737" s="98"/>
      <c r="L737" s="100"/>
      <c r="M737" s="98"/>
      <c r="N737" s="96"/>
      <c r="O737" s="97"/>
      <c r="P737" s="70"/>
      <c r="Q737" s="97"/>
      <c r="R737" s="97"/>
      <c r="S737" s="98"/>
      <c r="T737" s="97"/>
      <c r="U737" s="98"/>
      <c r="V737" s="100"/>
      <c r="W737" s="98"/>
      <c r="X737" s="96"/>
      <c r="Y737" s="98"/>
      <c r="Z737" s="96"/>
      <c r="AA737" s="97"/>
      <c r="AB737" s="96"/>
      <c r="AC737" s="98"/>
      <c r="AD737" s="98"/>
      <c r="AE737" s="98"/>
    </row>
    <row r="738" spans="2:31" x14ac:dyDescent="0.3">
      <c r="B738" s="96"/>
      <c r="C738" s="96"/>
      <c r="D738" s="96"/>
      <c r="E738" s="97"/>
      <c r="F738" s="96"/>
      <c r="G738" s="98"/>
      <c r="H738" s="96"/>
      <c r="I738" s="98"/>
      <c r="J738" s="97"/>
      <c r="K738" s="98"/>
      <c r="L738" s="100"/>
      <c r="M738" s="98"/>
      <c r="N738" s="96"/>
      <c r="O738" s="97"/>
      <c r="P738" s="70"/>
      <c r="Q738" s="97"/>
      <c r="R738" s="97"/>
      <c r="S738" s="98"/>
      <c r="T738" s="97"/>
      <c r="U738" s="98"/>
      <c r="V738" s="100"/>
      <c r="W738" s="98"/>
      <c r="X738" s="96"/>
      <c r="Y738" s="98"/>
      <c r="Z738" s="96"/>
      <c r="AA738" s="97"/>
      <c r="AB738" s="96"/>
      <c r="AC738" s="98"/>
      <c r="AD738" s="98"/>
      <c r="AE738" s="98"/>
    </row>
    <row r="739" spans="2:31" x14ac:dyDescent="0.3">
      <c r="B739" s="96"/>
      <c r="C739" s="96"/>
      <c r="D739" s="96"/>
      <c r="E739" s="97"/>
      <c r="F739" s="96"/>
      <c r="G739" s="98"/>
      <c r="H739" s="96"/>
      <c r="I739" s="98"/>
      <c r="J739" s="97"/>
      <c r="K739" s="98"/>
      <c r="L739" s="100"/>
      <c r="M739" s="98"/>
      <c r="N739" s="96"/>
      <c r="O739" s="97"/>
      <c r="P739" s="70"/>
      <c r="Q739" s="97"/>
      <c r="R739" s="97"/>
      <c r="S739" s="98"/>
      <c r="T739" s="97"/>
      <c r="U739" s="98"/>
      <c r="V739" s="100"/>
      <c r="W739" s="98"/>
      <c r="X739" s="96"/>
      <c r="Y739" s="98"/>
      <c r="Z739" s="96"/>
      <c r="AA739" s="97"/>
      <c r="AB739" s="96"/>
      <c r="AC739" s="98"/>
      <c r="AD739" s="98"/>
      <c r="AE739" s="98"/>
    </row>
    <row r="740" spans="2:31" x14ac:dyDescent="0.3">
      <c r="B740" s="96"/>
      <c r="C740" s="96"/>
      <c r="D740" s="96"/>
      <c r="E740" s="97"/>
      <c r="F740" s="96"/>
      <c r="G740" s="98"/>
      <c r="H740" s="96"/>
      <c r="I740" s="98"/>
      <c r="J740" s="97"/>
      <c r="K740" s="98"/>
      <c r="L740" s="100"/>
      <c r="M740" s="98"/>
      <c r="N740" s="96"/>
      <c r="O740" s="97"/>
      <c r="P740" s="70"/>
      <c r="Q740" s="97"/>
      <c r="R740" s="97"/>
      <c r="S740" s="98"/>
      <c r="T740" s="97"/>
      <c r="U740" s="98"/>
      <c r="V740" s="100"/>
      <c r="W740" s="98"/>
      <c r="X740" s="96"/>
      <c r="Y740" s="98"/>
      <c r="Z740" s="96"/>
      <c r="AA740" s="97"/>
      <c r="AB740" s="96"/>
      <c r="AC740" s="98"/>
      <c r="AD740" s="98"/>
      <c r="AE740" s="98"/>
    </row>
    <row r="741" spans="2:31" x14ac:dyDescent="0.3">
      <c r="B741" s="96"/>
      <c r="C741" s="96"/>
      <c r="D741" s="96"/>
      <c r="E741" s="97"/>
      <c r="F741" s="96"/>
      <c r="G741" s="98"/>
      <c r="H741" s="96"/>
      <c r="I741" s="98"/>
      <c r="J741" s="97"/>
      <c r="K741" s="98"/>
      <c r="L741" s="100"/>
      <c r="M741" s="98"/>
      <c r="N741" s="96"/>
      <c r="O741" s="97"/>
      <c r="P741" s="70"/>
      <c r="Q741" s="97"/>
      <c r="R741" s="97"/>
      <c r="S741" s="98"/>
      <c r="T741" s="97"/>
      <c r="U741" s="98"/>
      <c r="V741" s="100"/>
      <c r="W741" s="98"/>
      <c r="X741" s="96"/>
      <c r="Y741" s="98"/>
      <c r="Z741" s="96"/>
      <c r="AA741" s="97"/>
      <c r="AB741" s="96"/>
      <c r="AC741" s="98"/>
      <c r="AD741" s="98"/>
      <c r="AE741" s="98"/>
    </row>
    <row r="742" spans="2:31" x14ac:dyDescent="0.3">
      <c r="B742" s="96"/>
      <c r="C742" s="96"/>
      <c r="D742" s="96"/>
      <c r="E742" s="97"/>
      <c r="F742" s="96"/>
      <c r="G742" s="98"/>
      <c r="H742" s="96"/>
      <c r="I742" s="98"/>
      <c r="J742" s="97"/>
      <c r="K742" s="98"/>
      <c r="L742" s="100"/>
      <c r="M742" s="98"/>
      <c r="N742" s="96"/>
      <c r="O742" s="97"/>
      <c r="P742" s="70"/>
      <c r="Q742" s="97"/>
      <c r="R742" s="97"/>
      <c r="S742" s="98"/>
      <c r="T742" s="97"/>
      <c r="U742" s="98"/>
      <c r="V742" s="100"/>
      <c r="W742" s="98"/>
      <c r="X742" s="96"/>
      <c r="Y742" s="98"/>
      <c r="Z742" s="96"/>
      <c r="AA742" s="97"/>
      <c r="AB742" s="96"/>
      <c r="AC742" s="98"/>
      <c r="AD742" s="98"/>
      <c r="AE742" s="98"/>
    </row>
    <row r="743" spans="2:31" x14ac:dyDescent="0.3">
      <c r="B743" s="96"/>
      <c r="C743" s="96"/>
      <c r="D743" s="96"/>
      <c r="E743" s="97"/>
      <c r="F743" s="96"/>
      <c r="G743" s="98"/>
      <c r="H743" s="96"/>
      <c r="I743" s="98"/>
      <c r="J743" s="97"/>
      <c r="K743" s="98"/>
      <c r="L743" s="100"/>
      <c r="M743" s="98"/>
      <c r="N743" s="96"/>
      <c r="O743" s="97"/>
      <c r="P743" s="70"/>
      <c r="Q743" s="97"/>
      <c r="R743" s="97"/>
      <c r="S743" s="98"/>
      <c r="T743" s="97"/>
      <c r="U743" s="98"/>
      <c r="V743" s="100"/>
      <c r="W743" s="98"/>
      <c r="X743" s="96"/>
      <c r="Y743" s="98"/>
      <c r="Z743" s="96"/>
      <c r="AA743" s="97"/>
      <c r="AB743" s="96"/>
      <c r="AC743" s="98"/>
      <c r="AD743" s="98"/>
      <c r="AE743" s="98"/>
    </row>
    <row r="744" spans="2:31" x14ac:dyDescent="0.3">
      <c r="B744" s="96"/>
      <c r="C744" s="96"/>
      <c r="D744" s="96"/>
      <c r="E744" s="97"/>
      <c r="F744" s="96"/>
      <c r="G744" s="98"/>
      <c r="H744" s="96"/>
      <c r="I744" s="98"/>
      <c r="J744" s="97"/>
      <c r="K744" s="98"/>
      <c r="L744" s="100"/>
      <c r="M744" s="98"/>
      <c r="N744" s="96"/>
      <c r="O744" s="97"/>
      <c r="P744" s="70"/>
      <c r="Q744" s="97"/>
      <c r="R744" s="97"/>
      <c r="S744" s="98"/>
      <c r="T744" s="97"/>
      <c r="U744" s="98"/>
      <c r="V744" s="100"/>
      <c r="W744" s="98"/>
      <c r="X744" s="96"/>
      <c r="Y744" s="98"/>
      <c r="Z744" s="96"/>
      <c r="AA744" s="97"/>
      <c r="AB744" s="96"/>
      <c r="AC744" s="98"/>
      <c r="AD744" s="98"/>
      <c r="AE744" s="98"/>
    </row>
    <row r="745" spans="2:31" x14ac:dyDescent="0.3">
      <c r="B745" s="96"/>
      <c r="C745" s="96"/>
      <c r="D745" s="96"/>
      <c r="E745" s="97"/>
      <c r="F745" s="96"/>
      <c r="G745" s="98"/>
      <c r="H745" s="96"/>
      <c r="I745" s="98"/>
      <c r="J745" s="97"/>
      <c r="K745" s="98"/>
      <c r="L745" s="100"/>
      <c r="M745" s="98"/>
      <c r="N745" s="96"/>
      <c r="O745" s="97"/>
      <c r="P745" s="70"/>
      <c r="Q745" s="97"/>
      <c r="R745" s="97"/>
      <c r="S745" s="98"/>
      <c r="T745" s="97"/>
      <c r="U745" s="98"/>
      <c r="V745" s="100"/>
      <c r="W745" s="98"/>
      <c r="X745" s="96"/>
      <c r="Y745" s="98"/>
      <c r="Z745" s="96"/>
      <c r="AA745" s="97"/>
      <c r="AB745" s="96"/>
      <c r="AC745" s="98"/>
      <c r="AD745" s="98"/>
      <c r="AE745" s="98"/>
    </row>
    <row r="746" spans="2:31" x14ac:dyDescent="0.3">
      <c r="B746" s="96"/>
      <c r="C746" s="96"/>
      <c r="D746" s="96"/>
      <c r="E746" s="97"/>
      <c r="F746" s="96"/>
      <c r="G746" s="98"/>
      <c r="H746" s="96"/>
      <c r="I746" s="98"/>
      <c r="J746" s="97"/>
      <c r="K746" s="98"/>
      <c r="L746" s="100"/>
      <c r="M746" s="98"/>
      <c r="N746" s="96"/>
      <c r="O746" s="97"/>
      <c r="P746" s="70"/>
      <c r="Q746" s="97"/>
      <c r="R746" s="97"/>
      <c r="S746" s="98"/>
      <c r="T746" s="97"/>
      <c r="U746" s="98"/>
      <c r="V746" s="100"/>
      <c r="W746" s="98"/>
      <c r="X746" s="96"/>
      <c r="Y746" s="98"/>
      <c r="Z746" s="96"/>
      <c r="AA746" s="97"/>
      <c r="AB746" s="96"/>
      <c r="AC746" s="98"/>
      <c r="AD746" s="98"/>
      <c r="AE746" s="98"/>
    </row>
    <row r="747" spans="2:31" x14ac:dyDescent="0.3">
      <c r="B747" s="96"/>
      <c r="C747" s="96"/>
      <c r="D747" s="96"/>
      <c r="E747" s="97"/>
      <c r="F747" s="96"/>
      <c r="G747" s="98"/>
      <c r="H747" s="96"/>
      <c r="I747" s="98"/>
      <c r="J747" s="97"/>
      <c r="K747" s="98"/>
      <c r="L747" s="100"/>
      <c r="M747" s="98"/>
      <c r="N747" s="96"/>
      <c r="O747" s="97"/>
      <c r="P747" s="70"/>
      <c r="Q747" s="97"/>
      <c r="R747" s="97"/>
      <c r="S747" s="98"/>
      <c r="T747" s="97"/>
      <c r="U747" s="98"/>
      <c r="V747" s="100"/>
      <c r="W747" s="98"/>
      <c r="X747" s="96"/>
      <c r="Y747" s="98"/>
      <c r="Z747" s="96"/>
      <c r="AA747" s="97"/>
      <c r="AB747" s="96"/>
      <c r="AC747" s="98"/>
      <c r="AD747" s="98"/>
      <c r="AE747" s="98"/>
    </row>
    <row r="748" spans="2:31" x14ac:dyDescent="0.3">
      <c r="B748" s="96"/>
      <c r="C748" s="96"/>
      <c r="D748" s="96"/>
      <c r="E748" s="97"/>
      <c r="F748" s="96"/>
      <c r="G748" s="98"/>
      <c r="H748" s="96"/>
      <c r="I748" s="98"/>
      <c r="J748" s="97"/>
      <c r="K748" s="98"/>
      <c r="L748" s="100"/>
      <c r="M748" s="98"/>
      <c r="N748" s="96"/>
      <c r="O748" s="97"/>
      <c r="P748" s="70"/>
      <c r="Q748" s="97"/>
      <c r="R748" s="97"/>
      <c r="S748" s="98"/>
      <c r="T748" s="97"/>
      <c r="U748" s="98"/>
      <c r="V748" s="100"/>
      <c r="W748" s="98"/>
      <c r="X748" s="96"/>
      <c r="Y748" s="98"/>
      <c r="Z748" s="96"/>
      <c r="AA748" s="97"/>
      <c r="AB748" s="96"/>
      <c r="AC748" s="98"/>
      <c r="AD748" s="98"/>
      <c r="AE748" s="98"/>
    </row>
    <row r="749" spans="2:31" x14ac:dyDescent="0.3">
      <c r="B749" s="96"/>
      <c r="C749" s="96"/>
      <c r="D749" s="96"/>
      <c r="E749" s="97"/>
      <c r="F749" s="96"/>
      <c r="G749" s="98"/>
      <c r="H749" s="96"/>
      <c r="I749" s="98"/>
      <c r="J749" s="97"/>
      <c r="K749" s="98"/>
      <c r="L749" s="100"/>
      <c r="M749" s="98"/>
      <c r="N749" s="96"/>
      <c r="O749" s="97"/>
      <c r="P749" s="70"/>
      <c r="Q749" s="97"/>
      <c r="R749" s="97"/>
      <c r="S749" s="98"/>
      <c r="T749" s="97"/>
      <c r="U749" s="98"/>
      <c r="V749" s="100"/>
      <c r="W749" s="98"/>
      <c r="X749" s="96"/>
      <c r="Y749" s="98"/>
      <c r="Z749" s="96"/>
      <c r="AA749" s="97"/>
      <c r="AB749" s="96"/>
      <c r="AC749" s="98"/>
      <c r="AD749" s="98"/>
      <c r="AE749" s="98"/>
    </row>
    <row r="750" spans="2:31" x14ac:dyDescent="0.3">
      <c r="B750" s="96"/>
      <c r="C750" s="96"/>
      <c r="D750" s="96"/>
      <c r="E750" s="97"/>
      <c r="F750" s="96"/>
      <c r="G750" s="98"/>
      <c r="H750" s="96"/>
      <c r="I750" s="98"/>
      <c r="J750" s="97"/>
      <c r="K750" s="98"/>
      <c r="L750" s="100"/>
      <c r="M750" s="98"/>
      <c r="N750" s="96"/>
      <c r="O750" s="97"/>
      <c r="P750" s="70"/>
      <c r="Q750" s="97"/>
      <c r="R750" s="97"/>
      <c r="S750" s="98"/>
      <c r="T750" s="97"/>
      <c r="U750" s="98"/>
      <c r="V750" s="100"/>
      <c r="W750" s="98"/>
      <c r="X750" s="96"/>
      <c r="Y750" s="98"/>
      <c r="Z750" s="96"/>
      <c r="AA750" s="97"/>
      <c r="AB750" s="96"/>
      <c r="AC750" s="98"/>
      <c r="AD750" s="98"/>
      <c r="AE750" s="98"/>
    </row>
    <row r="751" spans="2:31" x14ac:dyDescent="0.3">
      <c r="B751" s="96"/>
      <c r="C751" s="96"/>
      <c r="D751" s="96"/>
      <c r="E751" s="97"/>
      <c r="F751" s="96"/>
      <c r="G751" s="98"/>
      <c r="H751" s="96"/>
      <c r="I751" s="98"/>
      <c r="J751" s="97"/>
      <c r="K751" s="98"/>
      <c r="L751" s="100"/>
      <c r="M751" s="98"/>
      <c r="N751" s="96"/>
      <c r="O751" s="97"/>
      <c r="P751" s="70"/>
      <c r="Q751" s="97"/>
      <c r="R751" s="97"/>
      <c r="S751" s="98"/>
      <c r="T751" s="97"/>
      <c r="U751" s="98"/>
      <c r="V751" s="100"/>
      <c r="W751" s="98"/>
      <c r="X751" s="96"/>
      <c r="Y751" s="98"/>
      <c r="Z751" s="96"/>
      <c r="AA751" s="97"/>
      <c r="AB751" s="96"/>
      <c r="AC751" s="98"/>
      <c r="AD751" s="98"/>
      <c r="AE751" s="98"/>
    </row>
    <row r="752" spans="2:31" x14ac:dyDescent="0.3">
      <c r="B752" s="96"/>
      <c r="C752" s="96"/>
      <c r="D752" s="96"/>
      <c r="E752" s="97"/>
      <c r="F752" s="96"/>
      <c r="G752" s="98"/>
      <c r="H752" s="96"/>
      <c r="I752" s="98"/>
      <c r="J752" s="97"/>
      <c r="K752" s="98"/>
      <c r="L752" s="100"/>
      <c r="M752" s="98"/>
      <c r="N752" s="96"/>
      <c r="O752" s="97"/>
      <c r="P752" s="70"/>
      <c r="Q752" s="97"/>
      <c r="R752" s="97"/>
      <c r="S752" s="98"/>
      <c r="T752" s="97"/>
      <c r="U752" s="98"/>
      <c r="V752" s="100"/>
      <c r="W752" s="98"/>
      <c r="X752" s="96"/>
      <c r="Y752" s="98"/>
      <c r="Z752" s="96"/>
      <c r="AA752" s="97"/>
      <c r="AB752" s="96"/>
      <c r="AC752" s="98"/>
      <c r="AD752" s="98"/>
      <c r="AE752" s="98"/>
    </row>
    <row r="753" spans="2:31" x14ac:dyDescent="0.3">
      <c r="B753" s="96"/>
      <c r="C753" s="96"/>
      <c r="D753" s="96"/>
      <c r="E753" s="97"/>
      <c r="F753" s="96"/>
      <c r="G753" s="98"/>
      <c r="H753" s="96"/>
      <c r="I753" s="98"/>
      <c r="J753" s="97"/>
      <c r="K753" s="98"/>
      <c r="L753" s="100"/>
      <c r="M753" s="98"/>
      <c r="N753" s="96"/>
      <c r="O753" s="97"/>
      <c r="P753" s="70"/>
      <c r="Q753" s="97"/>
      <c r="R753" s="97"/>
      <c r="S753" s="98"/>
      <c r="T753" s="97"/>
      <c r="U753" s="98"/>
      <c r="V753" s="100"/>
      <c r="W753" s="98"/>
      <c r="X753" s="96"/>
      <c r="Y753" s="98"/>
      <c r="Z753" s="96"/>
      <c r="AA753" s="97"/>
      <c r="AB753" s="96"/>
      <c r="AC753" s="98"/>
      <c r="AD753" s="98"/>
      <c r="AE753" s="98"/>
    </row>
    <row r="754" spans="2:31" x14ac:dyDescent="0.3">
      <c r="B754" s="96"/>
      <c r="C754" s="96"/>
      <c r="D754" s="96"/>
      <c r="E754" s="97"/>
      <c r="F754" s="96"/>
      <c r="G754" s="98"/>
      <c r="H754" s="96"/>
      <c r="I754" s="98"/>
      <c r="J754" s="97"/>
      <c r="K754" s="98"/>
      <c r="L754" s="100"/>
      <c r="M754" s="98"/>
      <c r="N754" s="96"/>
      <c r="O754" s="97"/>
      <c r="P754" s="70"/>
      <c r="Q754" s="97"/>
      <c r="R754" s="97"/>
      <c r="S754" s="98"/>
      <c r="T754" s="97"/>
      <c r="U754" s="98"/>
      <c r="V754" s="100"/>
      <c r="W754" s="98"/>
      <c r="X754" s="96"/>
      <c r="Y754" s="98"/>
      <c r="Z754" s="96"/>
      <c r="AA754" s="97"/>
      <c r="AB754" s="96"/>
      <c r="AC754" s="98"/>
      <c r="AD754" s="98"/>
      <c r="AE754" s="98"/>
    </row>
    <row r="755" spans="2:31" x14ac:dyDescent="0.3">
      <c r="B755" s="96"/>
      <c r="C755" s="96"/>
      <c r="D755" s="96"/>
      <c r="E755" s="97"/>
      <c r="F755" s="96"/>
      <c r="G755" s="98"/>
      <c r="H755" s="96"/>
      <c r="I755" s="98"/>
      <c r="J755" s="97"/>
      <c r="K755" s="98"/>
      <c r="L755" s="100"/>
      <c r="M755" s="98"/>
      <c r="N755" s="96"/>
      <c r="O755" s="97"/>
      <c r="P755" s="70"/>
      <c r="Q755" s="97"/>
      <c r="R755" s="97"/>
      <c r="S755" s="98"/>
      <c r="T755" s="97"/>
      <c r="U755" s="98"/>
      <c r="V755" s="100"/>
      <c r="W755" s="98"/>
      <c r="X755" s="96"/>
      <c r="Y755" s="98"/>
      <c r="Z755" s="96"/>
      <c r="AA755" s="97"/>
      <c r="AB755" s="96"/>
      <c r="AC755" s="98"/>
      <c r="AD755" s="98"/>
      <c r="AE755" s="98"/>
    </row>
    <row r="756" spans="2:31" x14ac:dyDescent="0.3">
      <c r="B756" s="96"/>
      <c r="C756" s="96"/>
      <c r="D756" s="96"/>
      <c r="E756" s="97"/>
      <c r="F756" s="96"/>
      <c r="G756" s="98"/>
      <c r="H756" s="96"/>
      <c r="I756" s="98"/>
      <c r="J756" s="97"/>
      <c r="K756" s="98"/>
      <c r="L756" s="100"/>
      <c r="M756" s="98"/>
      <c r="N756" s="96"/>
      <c r="O756" s="97"/>
      <c r="P756" s="70"/>
      <c r="Q756" s="97"/>
      <c r="R756" s="97"/>
      <c r="S756" s="98"/>
      <c r="T756" s="97"/>
      <c r="U756" s="98"/>
      <c r="V756" s="100"/>
      <c r="W756" s="98"/>
      <c r="X756" s="96"/>
      <c r="Y756" s="98"/>
      <c r="Z756" s="96"/>
      <c r="AA756" s="97"/>
      <c r="AB756" s="96"/>
      <c r="AC756" s="98"/>
      <c r="AD756" s="98"/>
      <c r="AE756" s="98"/>
    </row>
    <row r="757" spans="2:31" x14ac:dyDescent="0.3">
      <c r="B757" s="96"/>
      <c r="C757" s="96"/>
      <c r="D757" s="96"/>
      <c r="E757" s="97"/>
      <c r="F757" s="96"/>
      <c r="G757" s="98"/>
      <c r="H757" s="96"/>
      <c r="I757" s="98"/>
      <c r="J757" s="97"/>
      <c r="K757" s="98"/>
      <c r="L757" s="100"/>
      <c r="M757" s="98"/>
      <c r="N757" s="96"/>
      <c r="O757" s="97"/>
      <c r="P757" s="70"/>
      <c r="Q757" s="97"/>
      <c r="R757" s="97"/>
      <c r="S757" s="98"/>
      <c r="T757" s="97"/>
      <c r="U757" s="98"/>
      <c r="V757" s="100"/>
      <c r="W757" s="98"/>
      <c r="X757" s="96"/>
      <c r="Y757" s="98"/>
      <c r="Z757" s="96"/>
      <c r="AA757" s="97"/>
      <c r="AB757" s="96"/>
      <c r="AC757" s="98"/>
      <c r="AD757" s="98"/>
      <c r="AE757" s="98"/>
    </row>
    <row r="758" spans="2:31" x14ac:dyDescent="0.3">
      <c r="B758" s="96"/>
      <c r="C758" s="96"/>
      <c r="D758" s="96"/>
      <c r="E758" s="97"/>
      <c r="F758" s="96"/>
      <c r="G758" s="98"/>
      <c r="H758" s="96"/>
      <c r="I758" s="98"/>
      <c r="J758" s="97"/>
      <c r="K758" s="98"/>
      <c r="L758" s="100"/>
      <c r="M758" s="98"/>
      <c r="N758" s="96"/>
      <c r="O758" s="97"/>
      <c r="P758" s="70"/>
      <c r="Q758" s="97"/>
      <c r="R758" s="97"/>
      <c r="S758" s="98"/>
      <c r="T758" s="97"/>
      <c r="U758" s="98"/>
      <c r="V758" s="100"/>
      <c r="W758" s="98"/>
      <c r="X758" s="96"/>
      <c r="Y758" s="98"/>
      <c r="Z758" s="96"/>
      <c r="AA758" s="97"/>
      <c r="AB758" s="96"/>
      <c r="AC758" s="98"/>
      <c r="AD758" s="98"/>
      <c r="AE758" s="98"/>
    </row>
    <row r="759" spans="2:31" x14ac:dyDescent="0.3">
      <c r="B759" s="96"/>
      <c r="C759" s="96"/>
      <c r="D759" s="96"/>
      <c r="E759" s="97"/>
      <c r="F759" s="96"/>
      <c r="G759" s="98"/>
      <c r="H759" s="96"/>
      <c r="I759" s="98"/>
      <c r="J759" s="97"/>
      <c r="K759" s="98"/>
      <c r="L759" s="100"/>
      <c r="M759" s="98"/>
      <c r="N759" s="96"/>
      <c r="O759" s="97"/>
      <c r="P759" s="70"/>
      <c r="Q759" s="97"/>
      <c r="R759" s="97"/>
      <c r="S759" s="98"/>
      <c r="T759" s="97"/>
      <c r="U759" s="98"/>
      <c r="V759" s="100"/>
      <c r="W759" s="98"/>
      <c r="X759" s="96"/>
      <c r="Y759" s="98"/>
      <c r="Z759" s="96"/>
      <c r="AA759" s="97"/>
      <c r="AB759" s="96"/>
      <c r="AC759" s="98"/>
      <c r="AD759" s="98"/>
      <c r="AE759" s="98"/>
    </row>
    <row r="760" spans="2:31" x14ac:dyDescent="0.3">
      <c r="B760" s="96"/>
      <c r="C760" s="96"/>
      <c r="D760" s="96"/>
      <c r="E760" s="97"/>
      <c r="F760" s="96"/>
      <c r="G760" s="98"/>
      <c r="H760" s="96"/>
      <c r="I760" s="98"/>
      <c r="J760" s="97"/>
      <c r="K760" s="98"/>
      <c r="L760" s="100"/>
      <c r="M760" s="98"/>
      <c r="N760" s="96"/>
      <c r="O760" s="97"/>
      <c r="P760" s="70"/>
      <c r="Q760" s="97"/>
      <c r="R760" s="97"/>
      <c r="S760" s="98"/>
      <c r="T760" s="97"/>
      <c r="U760" s="98"/>
      <c r="V760" s="100"/>
      <c r="W760" s="98"/>
      <c r="X760" s="96"/>
      <c r="Y760" s="98"/>
      <c r="Z760" s="96"/>
      <c r="AA760" s="97"/>
      <c r="AB760" s="96"/>
      <c r="AC760" s="98"/>
      <c r="AD760" s="98"/>
      <c r="AE760" s="98"/>
    </row>
    <row r="761" spans="2:31" x14ac:dyDescent="0.3">
      <c r="B761" s="96"/>
      <c r="C761" s="96"/>
      <c r="D761" s="96"/>
      <c r="E761" s="97"/>
      <c r="F761" s="96"/>
      <c r="G761" s="98"/>
      <c r="H761" s="96"/>
      <c r="I761" s="98"/>
      <c r="J761" s="97"/>
      <c r="K761" s="98"/>
      <c r="L761" s="100"/>
      <c r="M761" s="98"/>
      <c r="N761" s="96"/>
      <c r="O761" s="97"/>
      <c r="P761" s="70"/>
      <c r="Q761" s="97"/>
      <c r="R761" s="97"/>
      <c r="S761" s="98"/>
      <c r="T761" s="97"/>
      <c r="U761" s="98"/>
      <c r="V761" s="100"/>
      <c r="W761" s="98"/>
      <c r="X761" s="96"/>
      <c r="Y761" s="98"/>
      <c r="Z761" s="96"/>
      <c r="AA761" s="97"/>
      <c r="AB761" s="96"/>
      <c r="AC761" s="98"/>
      <c r="AD761" s="98"/>
      <c r="AE761" s="98"/>
    </row>
    <row r="762" spans="2:31" x14ac:dyDescent="0.3">
      <c r="B762" s="96"/>
      <c r="C762" s="96"/>
      <c r="D762" s="96"/>
      <c r="E762" s="97"/>
      <c r="F762" s="96"/>
      <c r="G762" s="98"/>
      <c r="H762" s="96"/>
      <c r="I762" s="98"/>
      <c r="J762" s="97"/>
      <c r="K762" s="98"/>
      <c r="L762" s="100"/>
      <c r="M762" s="98"/>
      <c r="N762" s="96"/>
      <c r="O762" s="97"/>
      <c r="P762" s="70"/>
      <c r="Q762" s="97"/>
      <c r="R762" s="97"/>
      <c r="S762" s="98"/>
      <c r="T762" s="97"/>
      <c r="U762" s="98"/>
      <c r="V762" s="100"/>
      <c r="W762" s="98"/>
      <c r="X762" s="96"/>
      <c r="Y762" s="98"/>
      <c r="Z762" s="96"/>
      <c r="AA762" s="97"/>
      <c r="AB762" s="96"/>
      <c r="AC762" s="98"/>
      <c r="AD762" s="98"/>
      <c r="AE762" s="98"/>
    </row>
    <row r="763" spans="2:31" x14ac:dyDescent="0.3">
      <c r="B763" s="96"/>
      <c r="C763" s="96"/>
      <c r="D763" s="96"/>
      <c r="E763" s="97"/>
      <c r="F763" s="96"/>
      <c r="G763" s="98"/>
      <c r="H763" s="96"/>
      <c r="I763" s="98"/>
      <c r="J763" s="97"/>
      <c r="K763" s="98"/>
      <c r="L763" s="100"/>
      <c r="M763" s="98"/>
      <c r="N763" s="96"/>
      <c r="O763" s="97"/>
      <c r="P763" s="70"/>
      <c r="Q763" s="97"/>
      <c r="R763" s="97"/>
      <c r="S763" s="98"/>
      <c r="T763" s="97"/>
      <c r="U763" s="98"/>
      <c r="V763" s="100"/>
      <c r="W763" s="98"/>
      <c r="X763" s="96"/>
      <c r="Y763" s="98"/>
      <c r="Z763" s="96"/>
      <c r="AA763" s="97"/>
      <c r="AB763" s="96"/>
      <c r="AC763" s="98"/>
      <c r="AD763" s="98"/>
      <c r="AE763" s="98"/>
    </row>
    <row r="764" spans="2:31" x14ac:dyDescent="0.3">
      <c r="B764" s="96"/>
      <c r="C764" s="96"/>
      <c r="D764" s="96"/>
      <c r="E764" s="97"/>
      <c r="F764" s="96"/>
      <c r="G764" s="98"/>
      <c r="H764" s="96"/>
      <c r="I764" s="98"/>
      <c r="J764" s="97"/>
      <c r="K764" s="98"/>
      <c r="L764" s="100"/>
      <c r="M764" s="98"/>
      <c r="N764" s="96"/>
      <c r="O764" s="97"/>
      <c r="P764" s="70"/>
      <c r="Q764" s="97"/>
      <c r="R764" s="97"/>
      <c r="S764" s="98"/>
      <c r="T764" s="97"/>
      <c r="U764" s="98"/>
      <c r="V764" s="100"/>
      <c r="W764" s="98"/>
      <c r="X764" s="96"/>
      <c r="Y764" s="98"/>
      <c r="Z764" s="96"/>
      <c r="AA764" s="97"/>
      <c r="AB764" s="96"/>
      <c r="AC764" s="98"/>
      <c r="AD764" s="98"/>
      <c r="AE764" s="98"/>
    </row>
    <row r="765" spans="2:31" x14ac:dyDescent="0.3">
      <c r="B765" s="96"/>
      <c r="C765" s="96"/>
      <c r="D765" s="96"/>
      <c r="E765" s="97"/>
      <c r="F765" s="96"/>
      <c r="G765" s="98"/>
      <c r="H765" s="96"/>
      <c r="I765" s="98"/>
      <c r="J765" s="97"/>
      <c r="K765" s="98"/>
      <c r="L765" s="100"/>
      <c r="M765" s="98"/>
      <c r="N765" s="96"/>
      <c r="O765" s="97"/>
      <c r="P765" s="70"/>
      <c r="Q765" s="97"/>
      <c r="R765" s="97"/>
      <c r="S765" s="98"/>
      <c r="T765" s="97"/>
      <c r="U765" s="98"/>
      <c r="V765" s="100"/>
      <c r="W765" s="98"/>
      <c r="X765" s="96"/>
      <c r="Y765" s="98"/>
      <c r="Z765" s="96"/>
      <c r="AA765" s="97"/>
      <c r="AB765" s="96"/>
      <c r="AC765" s="98"/>
      <c r="AD765" s="98"/>
      <c r="AE765" s="98"/>
    </row>
    <row r="766" spans="2:31" x14ac:dyDescent="0.3">
      <c r="B766" s="96"/>
      <c r="C766" s="96"/>
      <c r="D766" s="96"/>
      <c r="E766" s="97"/>
      <c r="F766" s="96"/>
      <c r="G766" s="98"/>
      <c r="H766" s="96"/>
      <c r="I766" s="98"/>
      <c r="J766" s="97"/>
      <c r="K766" s="98"/>
      <c r="L766" s="100"/>
      <c r="M766" s="98"/>
      <c r="N766" s="96"/>
      <c r="O766" s="97"/>
      <c r="P766" s="70"/>
      <c r="Q766" s="97"/>
      <c r="R766" s="97"/>
      <c r="S766" s="98"/>
      <c r="T766" s="97"/>
      <c r="U766" s="98"/>
      <c r="V766" s="100"/>
      <c r="W766" s="98"/>
      <c r="X766" s="96"/>
      <c r="Y766" s="98"/>
      <c r="Z766" s="96"/>
      <c r="AA766" s="97"/>
      <c r="AB766" s="96"/>
      <c r="AC766" s="98"/>
      <c r="AD766" s="98"/>
      <c r="AE766" s="98"/>
    </row>
    <row r="767" spans="2:31" x14ac:dyDescent="0.3">
      <c r="B767" s="96"/>
      <c r="C767" s="96"/>
      <c r="D767" s="96"/>
      <c r="E767" s="97"/>
      <c r="F767" s="96"/>
      <c r="G767" s="98"/>
      <c r="H767" s="96"/>
      <c r="I767" s="98"/>
      <c r="J767" s="97"/>
      <c r="K767" s="98"/>
      <c r="L767" s="100"/>
      <c r="M767" s="98"/>
      <c r="N767" s="96"/>
      <c r="O767" s="97"/>
      <c r="P767" s="70"/>
      <c r="Q767" s="97"/>
      <c r="R767" s="97"/>
      <c r="S767" s="98"/>
      <c r="T767" s="97"/>
      <c r="U767" s="98"/>
      <c r="V767" s="100"/>
      <c r="W767" s="98"/>
      <c r="X767" s="96"/>
      <c r="Y767" s="98"/>
      <c r="Z767" s="96"/>
      <c r="AA767" s="97"/>
      <c r="AB767" s="96"/>
      <c r="AC767" s="98"/>
      <c r="AD767" s="98"/>
      <c r="AE767" s="98"/>
    </row>
    <row r="768" spans="2:31" x14ac:dyDescent="0.3">
      <c r="B768" s="96"/>
      <c r="C768" s="96"/>
      <c r="D768" s="96"/>
      <c r="E768" s="97"/>
      <c r="F768" s="96"/>
      <c r="G768" s="98"/>
      <c r="H768" s="96"/>
      <c r="I768" s="98"/>
      <c r="J768" s="97"/>
      <c r="K768" s="98"/>
      <c r="L768" s="100"/>
      <c r="M768" s="98"/>
      <c r="N768" s="96"/>
      <c r="O768" s="97"/>
      <c r="P768" s="70"/>
      <c r="Q768" s="97"/>
      <c r="R768" s="97"/>
      <c r="S768" s="98"/>
      <c r="T768" s="97"/>
      <c r="U768" s="98"/>
      <c r="V768" s="100"/>
      <c r="W768" s="98"/>
      <c r="X768" s="96"/>
      <c r="Y768" s="98"/>
      <c r="Z768" s="96"/>
      <c r="AA768" s="97"/>
      <c r="AB768" s="96"/>
      <c r="AC768" s="98"/>
      <c r="AD768" s="98"/>
      <c r="AE768" s="98"/>
    </row>
    <row r="769" spans="2:31" x14ac:dyDescent="0.3">
      <c r="B769" s="96"/>
      <c r="C769" s="96"/>
      <c r="D769" s="96"/>
      <c r="E769" s="97"/>
      <c r="F769" s="96"/>
      <c r="G769" s="98"/>
      <c r="H769" s="96"/>
      <c r="I769" s="98"/>
      <c r="J769" s="97"/>
      <c r="K769" s="98"/>
      <c r="L769" s="100"/>
      <c r="M769" s="98"/>
      <c r="N769" s="96"/>
      <c r="O769" s="97"/>
      <c r="P769" s="70"/>
      <c r="Q769" s="97"/>
      <c r="R769" s="97"/>
      <c r="S769" s="98"/>
      <c r="T769" s="97"/>
      <c r="U769" s="98"/>
      <c r="V769" s="100"/>
      <c r="W769" s="98"/>
      <c r="X769" s="96"/>
      <c r="Y769" s="98"/>
      <c r="Z769" s="96"/>
      <c r="AA769" s="97"/>
      <c r="AB769" s="96"/>
      <c r="AC769" s="98"/>
      <c r="AD769" s="98"/>
      <c r="AE769" s="98"/>
    </row>
    <row r="770" spans="2:31" x14ac:dyDescent="0.3">
      <c r="B770" s="96"/>
      <c r="C770" s="96"/>
      <c r="D770" s="96"/>
      <c r="E770" s="97"/>
      <c r="F770" s="96"/>
      <c r="G770" s="98"/>
      <c r="H770" s="96"/>
      <c r="I770" s="98"/>
      <c r="J770" s="97"/>
      <c r="K770" s="98"/>
      <c r="L770" s="100"/>
      <c r="M770" s="98"/>
      <c r="N770" s="96"/>
      <c r="O770" s="97"/>
      <c r="P770" s="70"/>
      <c r="Q770" s="97"/>
      <c r="R770" s="97"/>
      <c r="S770" s="98"/>
      <c r="T770" s="97"/>
      <c r="U770" s="98"/>
      <c r="V770" s="100"/>
      <c r="W770" s="98"/>
      <c r="X770" s="96"/>
      <c r="Y770" s="98"/>
      <c r="Z770" s="96"/>
      <c r="AA770" s="97"/>
      <c r="AB770" s="96"/>
      <c r="AC770" s="98"/>
      <c r="AD770" s="98"/>
      <c r="AE770" s="98"/>
    </row>
    <row r="771" spans="2:31" x14ac:dyDescent="0.3">
      <c r="B771" s="96"/>
      <c r="C771" s="96"/>
      <c r="D771" s="96"/>
      <c r="E771" s="97"/>
      <c r="F771" s="96"/>
      <c r="G771" s="98"/>
      <c r="H771" s="96"/>
      <c r="I771" s="98"/>
      <c r="J771" s="97"/>
      <c r="K771" s="98"/>
      <c r="L771" s="100"/>
      <c r="M771" s="98"/>
      <c r="N771" s="96"/>
      <c r="O771" s="97"/>
      <c r="P771" s="70"/>
      <c r="Q771" s="97"/>
      <c r="R771" s="97"/>
      <c r="S771" s="98"/>
      <c r="T771" s="97"/>
      <c r="U771" s="98"/>
      <c r="V771" s="100"/>
      <c r="W771" s="98"/>
      <c r="X771" s="96"/>
      <c r="Y771" s="98"/>
      <c r="Z771" s="96"/>
      <c r="AA771" s="97"/>
      <c r="AB771" s="96"/>
      <c r="AC771" s="98"/>
      <c r="AD771" s="98"/>
      <c r="AE771" s="98"/>
    </row>
    <row r="772" spans="2:31" x14ac:dyDescent="0.3">
      <c r="B772" s="96"/>
      <c r="C772" s="96"/>
      <c r="D772" s="96"/>
      <c r="E772" s="97"/>
      <c r="F772" s="96"/>
      <c r="G772" s="98"/>
      <c r="H772" s="96"/>
      <c r="I772" s="98"/>
      <c r="J772" s="97"/>
      <c r="K772" s="98"/>
      <c r="L772" s="100"/>
      <c r="M772" s="98"/>
      <c r="N772" s="96"/>
      <c r="O772" s="97"/>
      <c r="P772" s="70"/>
      <c r="Q772" s="97"/>
      <c r="R772" s="97"/>
      <c r="S772" s="98"/>
      <c r="T772" s="97"/>
      <c r="U772" s="98"/>
      <c r="V772" s="100"/>
      <c r="W772" s="98"/>
      <c r="X772" s="96"/>
      <c r="Y772" s="98"/>
      <c r="Z772" s="96"/>
      <c r="AA772" s="97"/>
      <c r="AB772" s="96"/>
      <c r="AC772" s="98"/>
      <c r="AD772" s="98"/>
      <c r="AE772" s="98"/>
    </row>
    <row r="773" spans="2:31" x14ac:dyDescent="0.3">
      <c r="B773" s="96"/>
      <c r="C773" s="96"/>
      <c r="D773" s="96"/>
      <c r="E773" s="97"/>
      <c r="F773" s="96"/>
      <c r="G773" s="98"/>
      <c r="H773" s="96"/>
      <c r="I773" s="98"/>
      <c r="J773" s="97"/>
      <c r="K773" s="98"/>
      <c r="L773" s="100"/>
      <c r="M773" s="98"/>
      <c r="N773" s="96"/>
      <c r="O773" s="97"/>
      <c r="P773" s="70"/>
      <c r="Q773" s="97"/>
      <c r="R773" s="97"/>
      <c r="S773" s="98"/>
      <c r="T773" s="97"/>
      <c r="U773" s="98"/>
      <c r="V773" s="100"/>
      <c r="W773" s="98"/>
      <c r="X773" s="96"/>
      <c r="Y773" s="98"/>
      <c r="Z773" s="96"/>
      <c r="AA773" s="97"/>
      <c r="AB773" s="96"/>
      <c r="AC773" s="98"/>
      <c r="AD773" s="98"/>
      <c r="AE773" s="98"/>
    </row>
    <row r="774" spans="2:31" x14ac:dyDescent="0.3">
      <c r="B774" s="96"/>
      <c r="C774" s="96"/>
      <c r="D774" s="96"/>
      <c r="E774" s="97"/>
      <c r="F774" s="96"/>
      <c r="G774" s="98"/>
      <c r="H774" s="96"/>
      <c r="I774" s="98"/>
      <c r="J774" s="97"/>
      <c r="K774" s="98"/>
      <c r="L774" s="100"/>
      <c r="M774" s="98"/>
      <c r="N774" s="96"/>
      <c r="O774" s="97"/>
      <c r="P774" s="70"/>
      <c r="Q774" s="97"/>
      <c r="R774" s="97"/>
      <c r="S774" s="98"/>
      <c r="T774" s="97"/>
      <c r="U774" s="98"/>
      <c r="V774" s="100"/>
      <c r="W774" s="98"/>
      <c r="X774" s="96"/>
      <c r="Y774" s="98"/>
      <c r="Z774" s="96"/>
      <c r="AA774" s="97"/>
      <c r="AB774" s="96"/>
      <c r="AC774" s="98"/>
      <c r="AD774" s="98"/>
      <c r="AE774" s="98"/>
    </row>
    <row r="775" spans="2:31" x14ac:dyDescent="0.3">
      <c r="B775" s="96"/>
      <c r="C775" s="96"/>
      <c r="D775" s="96"/>
      <c r="E775" s="97"/>
      <c r="F775" s="96"/>
      <c r="G775" s="98"/>
      <c r="H775" s="96"/>
      <c r="I775" s="98"/>
      <c r="J775" s="97"/>
      <c r="K775" s="98"/>
      <c r="L775" s="100"/>
      <c r="M775" s="98"/>
      <c r="N775" s="96"/>
      <c r="O775" s="97"/>
      <c r="P775" s="70"/>
      <c r="Q775" s="97"/>
      <c r="R775" s="97"/>
      <c r="S775" s="98"/>
      <c r="T775" s="97"/>
      <c r="U775" s="98"/>
      <c r="V775" s="100"/>
      <c r="W775" s="98"/>
      <c r="X775" s="96"/>
      <c r="Y775" s="98"/>
      <c r="Z775" s="96"/>
      <c r="AA775" s="97"/>
      <c r="AB775" s="96"/>
      <c r="AC775" s="98"/>
      <c r="AD775" s="98"/>
      <c r="AE775" s="98"/>
    </row>
    <row r="776" spans="2:31" x14ac:dyDescent="0.3">
      <c r="B776" s="96"/>
      <c r="C776" s="96"/>
      <c r="D776" s="96"/>
      <c r="E776" s="97"/>
      <c r="F776" s="96"/>
      <c r="G776" s="98"/>
      <c r="H776" s="96"/>
      <c r="I776" s="98"/>
      <c r="J776" s="97"/>
      <c r="K776" s="98"/>
      <c r="L776" s="100"/>
      <c r="M776" s="98"/>
      <c r="N776" s="96"/>
      <c r="O776" s="97"/>
      <c r="P776" s="70"/>
      <c r="Q776" s="97"/>
      <c r="R776" s="97"/>
      <c r="S776" s="98"/>
      <c r="T776" s="97"/>
      <c r="U776" s="98"/>
      <c r="V776" s="100"/>
      <c r="W776" s="98"/>
      <c r="X776" s="96"/>
      <c r="Y776" s="98"/>
      <c r="Z776" s="96"/>
      <c r="AA776" s="97"/>
      <c r="AB776" s="96"/>
      <c r="AC776" s="98"/>
      <c r="AD776" s="98"/>
      <c r="AE776" s="98"/>
    </row>
    <row r="777" spans="2:31" x14ac:dyDescent="0.3">
      <c r="B777" s="96"/>
      <c r="C777" s="96"/>
      <c r="D777" s="96"/>
      <c r="E777" s="97"/>
      <c r="F777" s="96"/>
      <c r="G777" s="98"/>
      <c r="H777" s="96"/>
      <c r="I777" s="98"/>
      <c r="J777" s="97"/>
      <c r="K777" s="98"/>
      <c r="L777" s="100"/>
      <c r="M777" s="98"/>
      <c r="N777" s="96"/>
      <c r="O777" s="97"/>
      <c r="P777" s="70"/>
      <c r="Q777" s="97"/>
      <c r="R777" s="97"/>
      <c r="S777" s="98"/>
      <c r="T777" s="97"/>
      <c r="U777" s="98"/>
      <c r="V777" s="100"/>
      <c r="W777" s="98"/>
      <c r="X777" s="96"/>
      <c r="Y777" s="98"/>
      <c r="Z777" s="96"/>
      <c r="AA777" s="97"/>
      <c r="AB777" s="96"/>
      <c r="AC777" s="98"/>
      <c r="AD777" s="98"/>
      <c r="AE777" s="98"/>
    </row>
    <row r="778" spans="2:31" x14ac:dyDescent="0.3">
      <c r="B778" s="96"/>
      <c r="C778" s="96"/>
      <c r="D778" s="96"/>
      <c r="E778" s="97"/>
      <c r="F778" s="96"/>
      <c r="G778" s="98"/>
      <c r="H778" s="96"/>
      <c r="I778" s="98"/>
      <c r="J778" s="97"/>
      <c r="K778" s="98"/>
      <c r="L778" s="100"/>
      <c r="M778" s="98"/>
      <c r="N778" s="96"/>
      <c r="O778" s="97"/>
      <c r="P778" s="70"/>
      <c r="Q778" s="97"/>
      <c r="R778" s="97"/>
      <c r="S778" s="98"/>
      <c r="T778" s="97"/>
      <c r="U778" s="98"/>
      <c r="V778" s="100"/>
      <c r="W778" s="98"/>
      <c r="X778" s="96"/>
      <c r="Y778" s="98"/>
      <c r="Z778" s="96"/>
      <c r="AA778" s="97"/>
      <c r="AB778" s="96"/>
      <c r="AC778" s="98"/>
      <c r="AD778" s="98"/>
      <c r="AE778" s="98"/>
    </row>
    <row r="779" spans="2:31" x14ac:dyDescent="0.3">
      <c r="B779" s="96"/>
      <c r="C779" s="96"/>
      <c r="D779" s="96"/>
      <c r="E779" s="97"/>
      <c r="F779" s="96"/>
      <c r="G779" s="98"/>
      <c r="H779" s="96"/>
      <c r="I779" s="98"/>
      <c r="J779" s="97"/>
      <c r="K779" s="98"/>
      <c r="L779" s="100"/>
      <c r="M779" s="98"/>
      <c r="N779" s="96"/>
      <c r="O779" s="97"/>
      <c r="P779" s="70"/>
      <c r="Q779" s="97"/>
      <c r="R779" s="97"/>
      <c r="S779" s="98"/>
      <c r="T779" s="97"/>
      <c r="U779" s="98"/>
      <c r="V779" s="100"/>
      <c r="W779" s="98"/>
      <c r="X779" s="96"/>
      <c r="Y779" s="98"/>
      <c r="Z779" s="96"/>
      <c r="AA779" s="97"/>
      <c r="AB779" s="96"/>
      <c r="AC779" s="98"/>
      <c r="AD779" s="98"/>
      <c r="AE779" s="98"/>
    </row>
    <row r="780" spans="2:31" x14ac:dyDescent="0.3">
      <c r="B780" s="96"/>
      <c r="C780" s="96"/>
      <c r="D780" s="96"/>
      <c r="E780" s="97"/>
      <c r="F780" s="96"/>
      <c r="G780" s="98"/>
      <c r="H780" s="96"/>
      <c r="I780" s="98"/>
      <c r="J780" s="97"/>
      <c r="K780" s="98"/>
      <c r="L780" s="100"/>
      <c r="M780" s="98"/>
      <c r="N780" s="96"/>
      <c r="O780" s="97"/>
      <c r="P780" s="70"/>
      <c r="Q780" s="97"/>
      <c r="R780" s="97"/>
      <c r="S780" s="98"/>
      <c r="T780" s="97"/>
      <c r="U780" s="98"/>
      <c r="V780" s="100"/>
      <c r="W780" s="98"/>
      <c r="X780" s="96"/>
      <c r="Y780" s="98"/>
      <c r="Z780" s="96"/>
      <c r="AA780" s="97"/>
      <c r="AB780" s="96"/>
      <c r="AC780" s="98"/>
      <c r="AD780" s="98"/>
      <c r="AE780" s="98"/>
    </row>
    <row r="781" spans="2:31" x14ac:dyDescent="0.3">
      <c r="B781" s="96"/>
      <c r="C781" s="96"/>
      <c r="D781" s="96"/>
      <c r="E781" s="97"/>
      <c r="F781" s="96"/>
      <c r="G781" s="98"/>
      <c r="H781" s="96"/>
      <c r="I781" s="98"/>
      <c r="J781" s="97"/>
      <c r="K781" s="98"/>
      <c r="L781" s="100"/>
      <c r="M781" s="98"/>
      <c r="N781" s="96"/>
      <c r="O781" s="97"/>
      <c r="P781" s="70"/>
      <c r="Q781" s="97"/>
      <c r="R781" s="97"/>
      <c r="S781" s="98"/>
      <c r="T781" s="97"/>
      <c r="U781" s="98"/>
      <c r="V781" s="100"/>
      <c r="W781" s="98"/>
      <c r="X781" s="96"/>
      <c r="Y781" s="98"/>
      <c r="Z781" s="96"/>
      <c r="AA781" s="97"/>
      <c r="AB781" s="96"/>
      <c r="AC781" s="98"/>
      <c r="AD781" s="98"/>
      <c r="AE781" s="98"/>
    </row>
    <row r="782" spans="2:31" x14ac:dyDescent="0.3">
      <c r="B782" s="96"/>
      <c r="C782" s="96"/>
      <c r="D782" s="96"/>
      <c r="E782" s="97"/>
      <c r="F782" s="96"/>
      <c r="G782" s="98"/>
      <c r="H782" s="96"/>
      <c r="I782" s="98"/>
      <c r="J782" s="97"/>
      <c r="K782" s="98"/>
      <c r="L782" s="100"/>
      <c r="M782" s="98"/>
      <c r="N782" s="96"/>
      <c r="O782" s="97"/>
      <c r="P782" s="70"/>
      <c r="Q782" s="97"/>
      <c r="R782" s="97"/>
      <c r="S782" s="98"/>
      <c r="T782" s="97"/>
      <c r="U782" s="98"/>
      <c r="V782" s="100"/>
      <c r="W782" s="98"/>
      <c r="X782" s="96"/>
      <c r="Y782" s="98"/>
      <c r="Z782" s="96"/>
      <c r="AA782" s="97"/>
      <c r="AB782" s="96"/>
      <c r="AC782" s="98"/>
      <c r="AD782" s="98"/>
      <c r="AE782" s="98"/>
    </row>
    <row r="783" spans="2:31" x14ac:dyDescent="0.3">
      <c r="B783" s="96"/>
      <c r="C783" s="96"/>
      <c r="D783" s="96"/>
      <c r="E783" s="97"/>
      <c r="F783" s="96"/>
      <c r="G783" s="98"/>
      <c r="H783" s="96"/>
      <c r="I783" s="98"/>
      <c r="J783" s="97"/>
      <c r="K783" s="98"/>
      <c r="L783" s="100"/>
      <c r="M783" s="98"/>
      <c r="N783" s="96"/>
      <c r="O783" s="97"/>
      <c r="P783" s="70"/>
      <c r="Q783" s="97"/>
      <c r="R783" s="97"/>
      <c r="S783" s="98"/>
      <c r="T783" s="97"/>
      <c r="U783" s="98"/>
      <c r="V783" s="100"/>
      <c r="W783" s="98"/>
      <c r="X783" s="96"/>
      <c r="Y783" s="98"/>
      <c r="Z783" s="96"/>
      <c r="AA783" s="97"/>
      <c r="AB783" s="96"/>
      <c r="AC783" s="98"/>
      <c r="AD783" s="98"/>
      <c r="AE783" s="98"/>
    </row>
    <row r="784" spans="2:31" x14ac:dyDescent="0.3">
      <c r="B784" s="96"/>
      <c r="C784" s="96"/>
      <c r="D784" s="96"/>
      <c r="E784" s="97"/>
      <c r="F784" s="96"/>
      <c r="G784" s="98"/>
      <c r="H784" s="96"/>
      <c r="I784" s="98"/>
      <c r="J784" s="97"/>
      <c r="K784" s="98"/>
      <c r="L784" s="100"/>
      <c r="M784" s="98"/>
      <c r="N784" s="96"/>
      <c r="O784" s="97"/>
      <c r="P784" s="70"/>
      <c r="Q784" s="97"/>
      <c r="R784" s="97"/>
      <c r="S784" s="98"/>
      <c r="T784" s="97"/>
      <c r="U784" s="98"/>
      <c r="V784" s="100"/>
      <c r="W784" s="98"/>
      <c r="X784" s="96"/>
      <c r="Y784" s="98"/>
      <c r="Z784" s="96"/>
      <c r="AA784" s="97"/>
      <c r="AB784" s="96"/>
      <c r="AC784" s="98"/>
      <c r="AD784" s="98"/>
      <c r="AE784" s="98"/>
    </row>
    <row r="785" spans="2:31" x14ac:dyDescent="0.3">
      <c r="B785" s="96"/>
      <c r="C785" s="96"/>
      <c r="D785" s="96"/>
      <c r="E785" s="97"/>
      <c r="F785" s="96"/>
      <c r="G785" s="98"/>
      <c r="H785" s="96"/>
      <c r="I785" s="98"/>
      <c r="J785" s="97"/>
      <c r="K785" s="98"/>
      <c r="L785" s="100"/>
      <c r="M785" s="98"/>
      <c r="N785" s="96"/>
      <c r="O785" s="97"/>
      <c r="P785" s="70"/>
      <c r="Q785" s="97"/>
      <c r="R785" s="97"/>
      <c r="S785" s="98"/>
      <c r="T785" s="97"/>
      <c r="U785" s="98"/>
      <c r="V785" s="100"/>
      <c r="W785" s="98"/>
      <c r="X785" s="96"/>
      <c r="Y785" s="98"/>
      <c r="Z785" s="96"/>
      <c r="AA785" s="97"/>
      <c r="AB785" s="96"/>
      <c r="AC785" s="98"/>
      <c r="AD785" s="98"/>
      <c r="AE785" s="98"/>
    </row>
    <row r="786" spans="2:31" x14ac:dyDescent="0.3">
      <c r="B786" s="96"/>
      <c r="C786" s="96"/>
      <c r="D786" s="96"/>
      <c r="E786" s="97"/>
      <c r="F786" s="96"/>
      <c r="G786" s="98"/>
      <c r="H786" s="96"/>
      <c r="I786" s="98"/>
      <c r="J786" s="97"/>
      <c r="K786" s="98"/>
      <c r="L786" s="100"/>
      <c r="M786" s="98"/>
      <c r="N786" s="96"/>
      <c r="O786" s="97"/>
      <c r="P786" s="70"/>
      <c r="Q786" s="97"/>
      <c r="R786" s="97"/>
      <c r="S786" s="98"/>
      <c r="T786" s="97"/>
      <c r="U786" s="98"/>
      <c r="V786" s="100"/>
      <c r="W786" s="98"/>
      <c r="X786" s="96"/>
      <c r="Y786" s="98"/>
      <c r="Z786" s="96"/>
      <c r="AA786" s="97"/>
      <c r="AB786" s="96"/>
      <c r="AC786" s="98"/>
      <c r="AD786" s="98"/>
      <c r="AE786" s="98"/>
    </row>
    <row r="787" spans="2:31" x14ac:dyDescent="0.3">
      <c r="B787" s="96"/>
      <c r="C787" s="96"/>
      <c r="D787" s="96"/>
      <c r="E787" s="97"/>
      <c r="F787" s="96"/>
      <c r="G787" s="98"/>
      <c r="H787" s="96"/>
      <c r="I787" s="98"/>
      <c r="J787" s="97"/>
      <c r="K787" s="98"/>
      <c r="L787" s="100"/>
      <c r="M787" s="98"/>
      <c r="N787" s="96"/>
      <c r="O787" s="97"/>
      <c r="P787" s="70"/>
      <c r="Q787" s="97"/>
      <c r="R787" s="97"/>
      <c r="S787" s="98"/>
      <c r="T787" s="97"/>
      <c r="U787" s="98"/>
      <c r="V787" s="100"/>
      <c r="W787" s="98"/>
      <c r="X787" s="96"/>
      <c r="Y787" s="98"/>
      <c r="Z787" s="96"/>
      <c r="AA787" s="97"/>
      <c r="AB787" s="96"/>
      <c r="AC787" s="98"/>
      <c r="AD787" s="98"/>
      <c r="AE787" s="98"/>
    </row>
    <row r="788" spans="2:31" x14ac:dyDescent="0.3">
      <c r="B788" s="96"/>
      <c r="C788" s="96"/>
      <c r="D788" s="96"/>
      <c r="E788" s="97"/>
      <c r="F788" s="96"/>
      <c r="G788" s="98"/>
      <c r="H788" s="96"/>
      <c r="I788" s="98"/>
      <c r="J788" s="97"/>
      <c r="K788" s="98"/>
      <c r="L788" s="100"/>
      <c r="M788" s="98"/>
      <c r="N788" s="96"/>
      <c r="O788" s="97"/>
      <c r="P788" s="70"/>
      <c r="Q788" s="97"/>
      <c r="R788" s="97"/>
      <c r="S788" s="98"/>
      <c r="T788" s="97"/>
      <c r="U788" s="98"/>
      <c r="V788" s="100"/>
      <c r="W788" s="98"/>
      <c r="X788" s="96"/>
      <c r="Y788" s="98"/>
      <c r="Z788" s="96"/>
      <c r="AA788" s="97"/>
      <c r="AB788" s="96"/>
      <c r="AC788" s="98"/>
      <c r="AD788" s="98"/>
      <c r="AE788" s="98"/>
    </row>
    <row r="789" spans="2:31" x14ac:dyDescent="0.3">
      <c r="B789" s="96"/>
      <c r="C789" s="96"/>
      <c r="D789" s="96"/>
      <c r="E789" s="97"/>
      <c r="F789" s="96"/>
      <c r="G789" s="98"/>
      <c r="H789" s="96"/>
      <c r="I789" s="98"/>
      <c r="J789" s="97"/>
      <c r="K789" s="98"/>
      <c r="L789" s="100"/>
      <c r="M789" s="98"/>
      <c r="N789" s="96"/>
      <c r="O789" s="97"/>
      <c r="P789" s="70"/>
      <c r="Q789" s="97"/>
      <c r="R789" s="97"/>
      <c r="S789" s="98"/>
      <c r="T789" s="97"/>
      <c r="U789" s="98"/>
      <c r="V789" s="100"/>
      <c r="W789" s="98"/>
      <c r="X789" s="96"/>
      <c r="Y789" s="98"/>
      <c r="Z789" s="96"/>
      <c r="AA789" s="97"/>
      <c r="AB789" s="96"/>
      <c r="AC789" s="98"/>
      <c r="AD789" s="98"/>
      <c r="AE789" s="98"/>
    </row>
    <row r="790" spans="2:31" x14ac:dyDescent="0.3">
      <c r="B790" s="96"/>
      <c r="C790" s="96"/>
      <c r="D790" s="96"/>
      <c r="E790" s="97"/>
      <c r="F790" s="96"/>
      <c r="G790" s="98"/>
      <c r="H790" s="96"/>
      <c r="I790" s="98"/>
      <c r="J790" s="97"/>
      <c r="K790" s="98"/>
      <c r="L790" s="100"/>
      <c r="M790" s="98"/>
      <c r="N790" s="96"/>
      <c r="O790" s="97"/>
      <c r="P790" s="70"/>
      <c r="Q790" s="97"/>
      <c r="R790" s="97"/>
      <c r="S790" s="98"/>
      <c r="T790" s="97"/>
      <c r="U790" s="98"/>
      <c r="V790" s="100"/>
      <c r="W790" s="98"/>
      <c r="X790" s="96"/>
      <c r="Y790" s="98"/>
      <c r="Z790" s="96"/>
      <c r="AA790" s="97"/>
      <c r="AB790" s="96"/>
      <c r="AC790" s="98"/>
      <c r="AD790" s="98"/>
      <c r="AE790" s="98"/>
    </row>
    <row r="791" spans="2:31" x14ac:dyDescent="0.3">
      <c r="B791" s="96"/>
      <c r="C791" s="96"/>
      <c r="D791" s="96"/>
      <c r="E791" s="97"/>
      <c r="F791" s="96"/>
      <c r="G791" s="98"/>
      <c r="H791" s="96"/>
      <c r="I791" s="98"/>
      <c r="J791" s="97"/>
      <c r="K791" s="98"/>
      <c r="L791" s="100"/>
      <c r="M791" s="98"/>
      <c r="N791" s="96"/>
      <c r="O791" s="97"/>
      <c r="P791" s="70"/>
      <c r="Q791" s="97"/>
      <c r="R791" s="97"/>
      <c r="S791" s="98"/>
      <c r="T791" s="97"/>
      <c r="U791" s="98"/>
      <c r="V791" s="100"/>
      <c r="W791" s="98"/>
      <c r="X791" s="96"/>
      <c r="Y791" s="98"/>
      <c r="Z791" s="96"/>
      <c r="AA791" s="97"/>
      <c r="AB791" s="96"/>
      <c r="AC791" s="98"/>
      <c r="AD791" s="98"/>
      <c r="AE791" s="98"/>
    </row>
    <row r="792" spans="2:31" x14ac:dyDescent="0.3">
      <c r="B792" s="96"/>
      <c r="C792" s="96"/>
      <c r="D792" s="96"/>
      <c r="E792" s="97"/>
      <c r="F792" s="96"/>
      <c r="G792" s="98"/>
      <c r="H792" s="96"/>
      <c r="I792" s="98"/>
      <c r="J792" s="97"/>
      <c r="K792" s="98"/>
      <c r="L792" s="100"/>
      <c r="M792" s="98"/>
      <c r="N792" s="96"/>
      <c r="O792" s="97"/>
      <c r="P792" s="70"/>
      <c r="Q792" s="97"/>
      <c r="R792" s="97"/>
      <c r="S792" s="98"/>
      <c r="T792" s="97"/>
      <c r="U792" s="98"/>
      <c r="V792" s="100"/>
      <c r="W792" s="98"/>
      <c r="X792" s="96"/>
      <c r="Y792" s="98"/>
      <c r="Z792" s="96"/>
      <c r="AA792" s="97"/>
      <c r="AB792" s="96"/>
      <c r="AC792" s="98"/>
      <c r="AD792" s="98"/>
      <c r="AE792" s="98"/>
    </row>
    <row r="793" spans="2:31" x14ac:dyDescent="0.3">
      <c r="B793" s="96"/>
      <c r="C793" s="96"/>
      <c r="D793" s="96"/>
      <c r="E793" s="97"/>
      <c r="F793" s="96"/>
      <c r="G793" s="98"/>
      <c r="H793" s="96"/>
      <c r="I793" s="98"/>
      <c r="J793" s="97"/>
      <c r="K793" s="98"/>
      <c r="L793" s="100"/>
      <c r="M793" s="98"/>
      <c r="N793" s="96"/>
      <c r="O793" s="97"/>
      <c r="P793" s="70"/>
      <c r="Q793" s="97"/>
      <c r="R793" s="97"/>
      <c r="S793" s="98"/>
      <c r="T793" s="97"/>
      <c r="U793" s="98"/>
      <c r="V793" s="100"/>
      <c r="W793" s="98"/>
      <c r="X793" s="96"/>
      <c r="Y793" s="98"/>
      <c r="Z793" s="96"/>
      <c r="AA793" s="97"/>
      <c r="AB793" s="96"/>
      <c r="AC793" s="98"/>
      <c r="AD793" s="98"/>
      <c r="AE793" s="98"/>
    </row>
    <row r="794" spans="2:31" x14ac:dyDescent="0.3">
      <c r="B794" s="96"/>
      <c r="C794" s="96"/>
      <c r="D794" s="96"/>
      <c r="E794" s="97"/>
      <c r="F794" s="96"/>
      <c r="G794" s="98"/>
      <c r="H794" s="96"/>
      <c r="I794" s="98"/>
      <c r="J794" s="97"/>
      <c r="K794" s="98"/>
      <c r="L794" s="100"/>
      <c r="M794" s="98"/>
      <c r="N794" s="96"/>
      <c r="O794" s="97"/>
      <c r="P794" s="70"/>
      <c r="Q794" s="97"/>
      <c r="R794" s="97"/>
      <c r="S794" s="98"/>
      <c r="T794" s="97"/>
      <c r="U794" s="98"/>
      <c r="V794" s="100"/>
      <c r="W794" s="98"/>
      <c r="X794" s="96"/>
      <c r="Y794" s="98"/>
      <c r="Z794" s="96"/>
      <c r="AA794" s="97"/>
      <c r="AB794" s="96"/>
      <c r="AC794" s="98"/>
      <c r="AD794" s="98"/>
      <c r="AE794" s="98"/>
    </row>
    <row r="795" spans="2:31" x14ac:dyDescent="0.3">
      <c r="B795" s="96"/>
      <c r="C795" s="96"/>
      <c r="D795" s="96"/>
      <c r="E795" s="97"/>
      <c r="F795" s="96"/>
      <c r="G795" s="98"/>
      <c r="H795" s="96"/>
      <c r="I795" s="98"/>
      <c r="J795" s="97"/>
      <c r="K795" s="98"/>
      <c r="L795" s="100"/>
      <c r="M795" s="98"/>
      <c r="N795" s="96"/>
      <c r="O795" s="97"/>
      <c r="P795" s="70"/>
      <c r="Q795" s="97"/>
      <c r="R795" s="97"/>
      <c r="S795" s="98"/>
      <c r="T795" s="97"/>
      <c r="U795" s="98"/>
      <c r="V795" s="100"/>
      <c r="W795" s="98"/>
      <c r="X795" s="96"/>
      <c r="Y795" s="98"/>
      <c r="Z795" s="96"/>
      <c r="AA795" s="97"/>
      <c r="AB795" s="96"/>
      <c r="AC795" s="98"/>
      <c r="AD795" s="98"/>
      <c r="AE795" s="98"/>
    </row>
    <row r="796" spans="2:31" x14ac:dyDescent="0.3">
      <c r="B796" s="96"/>
      <c r="C796" s="96"/>
      <c r="D796" s="96"/>
      <c r="E796" s="97"/>
      <c r="F796" s="96"/>
      <c r="G796" s="98"/>
      <c r="H796" s="96"/>
      <c r="I796" s="98"/>
      <c r="J796" s="97"/>
      <c r="K796" s="98"/>
      <c r="L796" s="100"/>
      <c r="M796" s="98"/>
      <c r="N796" s="96"/>
      <c r="O796" s="97"/>
      <c r="P796" s="70"/>
      <c r="Q796" s="97"/>
      <c r="R796" s="97"/>
      <c r="S796" s="98"/>
      <c r="T796" s="97"/>
      <c r="U796" s="98"/>
      <c r="V796" s="100"/>
      <c r="W796" s="98"/>
      <c r="X796" s="96"/>
      <c r="Y796" s="98"/>
      <c r="Z796" s="96"/>
      <c r="AA796" s="97"/>
      <c r="AB796" s="96"/>
      <c r="AC796" s="98"/>
      <c r="AD796" s="98"/>
      <c r="AE796" s="98"/>
    </row>
    <row r="797" spans="2:31" x14ac:dyDescent="0.3">
      <c r="B797" s="96"/>
      <c r="C797" s="96"/>
      <c r="D797" s="96"/>
      <c r="E797" s="97"/>
      <c r="F797" s="96"/>
      <c r="G797" s="98"/>
      <c r="H797" s="96"/>
      <c r="I797" s="98"/>
      <c r="J797" s="97"/>
      <c r="K797" s="98"/>
      <c r="L797" s="100"/>
      <c r="M797" s="98"/>
      <c r="N797" s="96"/>
      <c r="O797" s="97"/>
      <c r="P797" s="70"/>
      <c r="Q797" s="97"/>
      <c r="R797" s="97"/>
      <c r="S797" s="98"/>
      <c r="T797" s="97"/>
      <c r="U797" s="98"/>
      <c r="V797" s="100"/>
      <c r="W797" s="98"/>
      <c r="X797" s="96"/>
      <c r="Y797" s="98"/>
      <c r="Z797" s="96"/>
      <c r="AA797" s="97"/>
      <c r="AB797" s="96"/>
      <c r="AC797" s="98"/>
      <c r="AD797" s="98"/>
      <c r="AE797" s="98"/>
    </row>
    <row r="798" spans="2:31" x14ac:dyDescent="0.3">
      <c r="B798" s="96"/>
      <c r="C798" s="96"/>
      <c r="D798" s="96"/>
      <c r="E798" s="97"/>
      <c r="F798" s="96"/>
      <c r="G798" s="98"/>
      <c r="H798" s="96"/>
      <c r="I798" s="98"/>
      <c r="J798" s="97"/>
      <c r="K798" s="98"/>
      <c r="L798" s="100"/>
      <c r="M798" s="98"/>
      <c r="N798" s="96"/>
      <c r="O798" s="97"/>
      <c r="P798" s="70"/>
      <c r="Q798" s="97"/>
      <c r="R798" s="97"/>
      <c r="S798" s="98"/>
      <c r="T798" s="97"/>
      <c r="U798" s="98"/>
      <c r="V798" s="100"/>
      <c r="W798" s="98"/>
      <c r="X798" s="96"/>
      <c r="Y798" s="98"/>
      <c r="Z798" s="96"/>
      <c r="AA798" s="97"/>
      <c r="AB798" s="96"/>
      <c r="AC798" s="98"/>
      <c r="AD798" s="98"/>
      <c r="AE798" s="98"/>
    </row>
    <row r="799" spans="2:31" x14ac:dyDescent="0.3">
      <c r="B799" s="96"/>
      <c r="C799" s="96"/>
      <c r="D799" s="96"/>
      <c r="E799" s="97"/>
      <c r="F799" s="96"/>
      <c r="G799" s="98"/>
      <c r="H799" s="96"/>
      <c r="I799" s="98"/>
      <c r="J799" s="97"/>
      <c r="K799" s="98"/>
      <c r="L799" s="100"/>
      <c r="M799" s="98"/>
      <c r="N799" s="96"/>
      <c r="O799" s="97"/>
      <c r="P799" s="70"/>
      <c r="Q799" s="97"/>
      <c r="R799" s="97"/>
      <c r="S799" s="98"/>
      <c r="T799" s="97"/>
      <c r="U799" s="98"/>
      <c r="V799" s="100"/>
      <c r="W799" s="98"/>
      <c r="X799" s="96"/>
      <c r="Y799" s="98"/>
      <c r="Z799" s="96"/>
      <c r="AA799" s="97"/>
      <c r="AB799" s="96"/>
      <c r="AC799" s="98"/>
      <c r="AD799" s="98"/>
      <c r="AE799" s="98"/>
    </row>
    <row r="800" spans="2:31" x14ac:dyDescent="0.3">
      <c r="B800" s="96"/>
      <c r="C800" s="96"/>
      <c r="D800" s="96"/>
      <c r="E800" s="97"/>
      <c r="F800" s="96"/>
      <c r="G800" s="98"/>
      <c r="H800" s="96"/>
      <c r="I800" s="98"/>
      <c r="J800" s="97"/>
      <c r="K800" s="98"/>
      <c r="L800" s="100"/>
      <c r="M800" s="98"/>
      <c r="N800" s="96"/>
      <c r="O800" s="97"/>
      <c r="P800" s="70"/>
      <c r="Q800" s="97"/>
      <c r="R800" s="97"/>
      <c r="S800" s="98"/>
      <c r="T800" s="97"/>
      <c r="U800" s="98"/>
      <c r="V800" s="100"/>
      <c r="W800" s="98"/>
      <c r="X800" s="96"/>
      <c r="Y800" s="98"/>
      <c r="Z800" s="96"/>
      <c r="AA800" s="97"/>
      <c r="AB800" s="96"/>
      <c r="AC800" s="98"/>
      <c r="AD800" s="98"/>
      <c r="AE800" s="98"/>
    </row>
    <row r="801" spans="2:31" x14ac:dyDescent="0.3">
      <c r="B801" s="96"/>
      <c r="C801" s="96"/>
      <c r="D801" s="96"/>
      <c r="E801" s="97"/>
      <c r="F801" s="96"/>
      <c r="G801" s="98"/>
      <c r="H801" s="96"/>
      <c r="I801" s="98"/>
      <c r="J801" s="97"/>
      <c r="K801" s="98"/>
      <c r="L801" s="100"/>
      <c r="M801" s="98"/>
      <c r="N801" s="96"/>
      <c r="O801" s="97"/>
      <c r="P801" s="70"/>
      <c r="Q801" s="97"/>
      <c r="R801" s="97"/>
      <c r="S801" s="98"/>
      <c r="T801" s="97"/>
      <c r="U801" s="98"/>
      <c r="V801" s="100"/>
      <c r="W801" s="98"/>
      <c r="X801" s="96"/>
      <c r="Y801" s="98"/>
      <c r="Z801" s="96"/>
      <c r="AA801" s="97"/>
      <c r="AB801" s="96"/>
      <c r="AC801" s="98"/>
      <c r="AD801" s="98"/>
      <c r="AE801" s="98"/>
    </row>
    <row r="802" spans="2:31" x14ac:dyDescent="0.3">
      <c r="B802" s="96"/>
      <c r="C802" s="96"/>
      <c r="D802" s="96"/>
      <c r="E802" s="97"/>
      <c r="F802" s="96"/>
      <c r="G802" s="98"/>
      <c r="H802" s="96"/>
      <c r="I802" s="98"/>
      <c r="J802" s="97"/>
      <c r="K802" s="98"/>
      <c r="L802" s="100"/>
      <c r="M802" s="98"/>
      <c r="N802" s="96"/>
      <c r="O802" s="97"/>
      <c r="P802" s="70"/>
      <c r="Q802" s="97"/>
      <c r="R802" s="97"/>
      <c r="S802" s="98"/>
      <c r="T802" s="97"/>
      <c r="U802" s="98"/>
      <c r="V802" s="100"/>
      <c r="W802" s="98"/>
      <c r="X802" s="96"/>
      <c r="Y802" s="98"/>
      <c r="Z802" s="96"/>
      <c r="AA802" s="97"/>
      <c r="AB802" s="96"/>
      <c r="AC802" s="98"/>
      <c r="AD802" s="98"/>
      <c r="AE802" s="98"/>
    </row>
    <row r="803" spans="2:31" x14ac:dyDescent="0.3">
      <c r="B803" s="96"/>
      <c r="C803" s="96"/>
      <c r="D803" s="96"/>
      <c r="E803" s="97"/>
      <c r="F803" s="96"/>
      <c r="G803" s="98"/>
      <c r="H803" s="96"/>
      <c r="I803" s="98"/>
      <c r="J803" s="97"/>
      <c r="K803" s="98"/>
      <c r="L803" s="100"/>
      <c r="M803" s="98"/>
      <c r="N803" s="96"/>
      <c r="O803" s="97"/>
      <c r="P803" s="70"/>
      <c r="Q803" s="97"/>
      <c r="R803" s="97"/>
      <c r="S803" s="98"/>
      <c r="T803" s="97"/>
      <c r="U803" s="98"/>
      <c r="V803" s="100"/>
      <c r="W803" s="98"/>
      <c r="X803" s="96"/>
      <c r="Y803" s="98"/>
      <c r="Z803" s="96"/>
      <c r="AA803" s="97"/>
      <c r="AB803" s="96"/>
      <c r="AC803" s="98"/>
      <c r="AD803" s="98"/>
      <c r="AE803" s="98"/>
    </row>
    <row r="804" spans="2:31" x14ac:dyDescent="0.3">
      <c r="B804" s="96"/>
      <c r="C804" s="96"/>
      <c r="D804" s="96"/>
      <c r="E804" s="97"/>
      <c r="F804" s="96"/>
      <c r="G804" s="98"/>
      <c r="H804" s="96"/>
      <c r="I804" s="98"/>
      <c r="J804" s="97"/>
      <c r="K804" s="98"/>
      <c r="L804" s="100"/>
      <c r="M804" s="98"/>
      <c r="N804" s="96"/>
      <c r="O804" s="97"/>
      <c r="P804" s="70"/>
      <c r="Q804" s="97"/>
      <c r="R804" s="97"/>
      <c r="S804" s="98"/>
      <c r="T804" s="97"/>
      <c r="U804" s="98"/>
      <c r="V804" s="100"/>
      <c r="W804" s="98"/>
      <c r="X804" s="96"/>
      <c r="Y804" s="98"/>
      <c r="Z804" s="96"/>
      <c r="AA804" s="97"/>
      <c r="AB804" s="96"/>
      <c r="AC804" s="98"/>
      <c r="AD804" s="98"/>
      <c r="AE804" s="98"/>
    </row>
    <row r="805" spans="2:31" x14ac:dyDescent="0.3">
      <c r="B805" s="96"/>
      <c r="C805" s="96"/>
      <c r="D805" s="96"/>
      <c r="E805" s="97"/>
      <c r="F805" s="96"/>
      <c r="G805" s="98"/>
      <c r="H805" s="96"/>
      <c r="I805" s="98"/>
      <c r="J805" s="97"/>
      <c r="K805" s="98"/>
      <c r="L805" s="100"/>
      <c r="M805" s="98"/>
      <c r="N805" s="96"/>
      <c r="O805" s="97"/>
      <c r="P805" s="70"/>
      <c r="Q805" s="97"/>
      <c r="R805" s="97"/>
      <c r="S805" s="98"/>
      <c r="T805" s="97"/>
      <c r="U805" s="98"/>
      <c r="V805" s="100"/>
      <c r="W805" s="98"/>
      <c r="X805" s="96"/>
      <c r="Y805" s="98"/>
      <c r="Z805" s="96"/>
      <c r="AA805" s="97"/>
      <c r="AB805" s="96"/>
      <c r="AC805" s="98"/>
      <c r="AD805" s="98"/>
      <c r="AE805" s="98"/>
    </row>
    <row r="806" spans="2:31" x14ac:dyDescent="0.3">
      <c r="B806" s="96"/>
      <c r="C806" s="96"/>
      <c r="D806" s="96"/>
      <c r="E806" s="97"/>
      <c r="F806" s="96"/>
      <c r="G806" s="98"/>
      <c r="H806" s="96"/>
      <c r="I806" s="98"/>
      <c r="J806" s="97"/>
      <c r="K806" s="98"/>
      <c r="L806" s="100"/>
      <c r="M806" s="98"/>
      <c r="N806" s="96"/>
      <c r="O806" s="97"/>
      <c r="P806" s="70"/>
      <c r="Q806" s="97"/>
      <c r="R806" s="97"/>
      <c r="S806" s="98"/>
      <c r="T806" s="97"/>
      <c r="U806" s="98"/>
      <c r="V806" s="100"/>
      <c r="W806" s="98"/>
      <c r="X806" s="96"/>
      <c r="Y806" s="98"/>
      <c r="Z806" s="96"/>
      <c r="AA806" s="97"/>
      <c r="AB806" s="96"/>
      <c r="AC806" s="98"/>
      <c r="AD806" s="98"/>
      <c r="AE806" s="98"/>
    </row>
    <row r="807" spans="2:31" x14ac:dyDescent="0.3">
      <c r="B807" s="96"/>
      <c r="C807" s="96"/>
      <c r="D807" s="96"/>
      <c r="E807" s="97"/>
      <c r="F807" s="96"/>
      <c r="G807" s="98"/>
      <c r="H807" s="96"/>
      <c r="I807" s="98"/>
      <c r="J807" s="97"/>
      <c r="K807" s="98"/>
      <c r="L807" s="100"/>
      <c r="M807" s="98"/>
      <c r="N807" s="96"/>
      <c r="O807" s="97"/>
      <c r="P807" s="70"/>
      <c r="Q807" s="97"/>
      <c r="R807" s="97"/>
      <c r="S807" s="98"/>
      <c r="T807" s="97"/>
      <c r="U807" s="98"/>
      <c r="V807" s="100"/>
      <c r="W807" s="98"/>
      <c r="X807" s="96"/>
      <c r="Y807" s="98"/>
      <c r="Z807" s="96"/>
      <c r="AA807" s="97"/>
      <c r="AB807" s="96"/>
      <c r="AC807" s="98"/>
      <c r="AD807" s="98"/>
      <c r="AE807" s="98"/>
    </row>
    <row r="808" spans="2:31" x14ac:dyDescent="0.3">
      <c r="B808" s="96"/>
      <c r="C808" s="96"/>
      <c r="D808" s="96"/>
      <c r="E808" s="97"/>
      <c r="F808" s="96"/>
      <c r="G808" s="98"/>
      <c r="H808" s="96"/>
      <c r="I808" s="98"/>
      <c r="J808" s="97"/>
      <c r="K808" s="98"/>
      <c r="L808" s="100"/>
      <c r="M808" s="98"/>
      <c r="N808" s="96"/>
      <c r="O808" s="97"/>
      <c r="P808" s="70"/>
      <c r="Q808" s="97"/>
      <c r="R808" s="97"/>
      <c r="S808" s="98"/>
      <c r="T808" s="97"/>
      <c r="U808" s="98"/>
      <c r="V808" s="100"/>
      <c r="W808" s="98"/>
      <c r="X808" s="96"/>
      <c r="Y808" s="98"/>
      <c r="Z808" s="96"/>
      <c r="AA808" s="97"/>
      <c r="AB808" s="96"/>
      <c r="AC808" s="98"/>
      <c r="AD808" s="98"/>
      <c r="AE808" s="98"/>
    </row>
    <row r="809" spans="2:31" x14ac:dyDescent="0.3">
      <c r="B809" s="96"/>
      <c r="C809" s="96"/>
      <c r="D809" s="96"/>
      <c r="E809" s="97"/>
      <c r="F809" s="96"/>
      <c r="G809" s="98"/>
      <c r="H809" s="96"/>
      <c r="I809" s="98"/>
      <c r="J809" s="97"/>
      <c r="K809" s="98"/>
      <c r="L809" s="100"/>
      <c r="M809" s="98"/>
      <c r="N809" s="96"/>
      <c r="O809" s="97"/>
      <c r="P809" s="70"/>
      <c r="Q809" s="97"/>
      <c r="R809" s="97"/>
      <c r="S809" s="98"/>
      <c r="T809" s="97"/>
      <c r="U809" s="98"/>
      <c r="V809" s="100"/>
      <c r="W809" s="98"/>
      <c r="X809" s="96"/>
      <c r="Y809" s="98"/>
      <c r="Z809" s="96"/>
      <c r="AA809" s="97"/>
      <c r="AB809" s="96"/>
      <c r="AC809" s="98"/>
      <c r="AD809" s="98"/>
      <c r="AE809" s="98"/>
    </row>
    <row r="810" spans="2:31" x14ac:dyDescent="0.3">
      <c r="B810" s="96"/>
      <c r="C810" s="96"/>
      <c r="D810" s="96"/>
      <c r="E810" s="97"/>
      <c r="F810" s="96"/>
      <c r="G810" s="98"/>
      <c r="H810" s="96"/>
      <c r="I810" s="98"/>
      <c r="J810" s="97"/>
      <c r="K810" s="98"/>
      <c r="L810" s="100"/>
      <c r="M810" s="98"/>
      <c r="N810" s="96"/>
      <c r="O810" s="97"/>
      <c r="P810" s="70"/>
      <c r="Q810" s="97"/>
      <c r="R810" s="97"/>
      <c r="S810" s="98"/>
      <c r="T810" s="97"/>
      <c r="U810" s="98"/>
      <c r="V810" s="100"/>
      <c r="W810" s="98"/>
      <c r="X810" s="96"/>
      <c r="Y810" s="98"/>
      <c r="Z810" s="96"/>
      <c r="AA810" s="97"/>
      <c r="AB810" s="96"/>
      <c r="AC810" s="98"/>
      <c r="AD810" s="98"/>
      <c r="AE810" s="98"/>
    </row>
    <row r="811" spans="2:31" x14ac:dyDescent="0.3">
      <c r="B811" s="96"/>
      <c r="C811" s="96"/>
      <c r="D811" s="96"/>
      <c r="E811" s="97"/>
      <c r="F811" s="96"/>
      <c r="G811" s="98"/>
      <c r="H811" s="96"/>
      <c r="I811" s="98"/>
      <c r="J811" s="97"/>
      <c r="K811" s="98"/>
      <c r="L811" s="100"/>
      <c r="M811" s="98"/>
      <c r="N811" s="96"/>
      <c r="O811" s="97"/>
      <c r="P811" s="70"/>
      <c r="Q811" s="97"/>
      <c r="R811" s="97"/>
      <c r="S811" s="98"/>
      <c r="T811" s="97"/>
      <c r="U811" s="98"/>
      <c r="V811" s="100"/>
      <c r="W811" s="98"/>
      <c r="X811" s="96"/>
      <c r="Y811" s="98"/>
      <c r="Z811" s="96"/>
      <c r="AA811" s="97"/>
      <c r="AB811" s="96"/>
      <c r="AC811" s="98"/>
      <c r="AD811" s="98"/>
      <c r="AE811" s="98"/>
    </row>
    <row r="812" spans="2:31" x14ac:dyDescent="0.3">
      <c r="B812" s="96"/>
      <c r="C812" s="96"/>
      <c r="D812" s="96"/>
      <c r="E812" s="97"/>
      <c r="F812" s="96"/>
      <c r="G812" s="98"/>
      <c r="H812" s="96"/>
      <c r="I812" s="98"/>
      <c r="J812" s="97"/>
      <c r="K812" s="98"/>
      <c r="L812" s="100"/>
      <c r="M812" s="98"/>
      <c r="N812" s="96"/>
      <c r="O812" s="97"/>
      <c r="P812" s="70"/>
      <c r="Q812" s="97"/>
      <c r="R812" s="97"/>
      <c r="S812" s="98"/>
      <c r="T812" s="97"/>
      <c r="U812" s="98"/>
      <c r="V812" s="100"/>
      <c r="W812" s="98"/>
      <c r="X812" s="96"/>
      <c r="Y812" s="98"/>
      <c r="Z812" s="96"/>
      <c r="AA812" s="97"/>
      <c r="AB812" s="96"/>
      <c r="AC812" s="98"/>
      <c r="AD812" s="98"/>
      <c r="AE812" s="98"/>
    </row>
    <row r="813" spans="2:31" x14ac:dyDescent="0.3">
      <c r="B813" s="96"/>
      <c r="C813" s="96"/>
      <c r="D813" s="96"/>
      <c r="E813" s="97"/>
      <c r="F813" s="96"/>
      <c r="G813" s="98"/>
      <c r="H813" s="96"/>
      <c r="I813" s="98"/>
      <c r="J813" s="97"/>
      <c r="K813" s="98"/>
      <c r="L813" s="100"/>
      <c r="M813" s="98"/>
      <c r="N813" s="96"/>
      <c r="O813" s="97"/>
      <c r="P813" s="70"/>
      <c r="Q813" s="97"/>
      <c r="R813" s="97"/>
      <c r="S813" s="98"/>
      <c r="T813" s="97"/>
      <c r="U813" s="98"/>
      <c r="V813" s="100"/>
      <c r="W813" s="98"/>
      <c r="X813" s="96"/>
      <c r="Y813" s="98"/>
      <c r="Z813" s="96"/>
      <c r="AA813" s="97"/>
      <c r="AB813" s="96"/>
      <c r="AC813" s="98"/>
      <c r="AD813" s="98"/>
      <c r="AE813" s="98"/>
    </row>
    <row r="814" spans="2:31" x14ac:dyDescent="0.3">
      <c r="B814" s="96"/>
      <c r="C814" s="96"/>
      <c r="D814" s="96"/>
      <c r="E814" s="97"/>
      <c r="F814" s="96"/>
      <c r="G814" s="98"/>
      <c r="H814" s="96"/>
      <c r="I814" s="98"/>
      <c r="J814" s="97"/>
      <c r="K814" s="98"/>
      <c r="L814" s="100"/>
      <c r="M814" s="98"/>
      <c r="N814" s="96"/>
      <c r="O814" s="97"/>
      <c r="P814" s="70"/>
      <c r="Q814" s="97"/>
      <c r="R814" s="97"/>
      <c r="S814" s="98"/>
      <c r="T814" s="97"/>
      <c r="U814" s="98"/>
      <c r="V814" s="100"/>
      <c r="W814" s="98"/>
      <c r="X814" s="96"/>
      <c r="Y814" s="98"/>
      <c r="Z814" s="96"/>
      <c r="AA814" s="97"/>
      <c r="AB814" s="96"/>
      <c r="AC814" s="98"/>
      <c r="AD814" s="98"/>
      <c r="AE814" s="98"/>
    </row>
    <row r="815" spans="2:31" x14ac:dyDescent="0.3">
      <c r="B815" s="96"/>
      <c r="C815" s="96"/>
      <c r="D815" s="96"/>
      <c r="E815" s="97"/>
      <c r="F815" s="96"/>
      <c r="G815" s="98"/>
      <c r="H815" s="96"/>
      <c r="I815" s="98"/>
      <c r="J815" s="97"/>
      <c r="K815" s="98"/>
      <c r="L815" s="100"/>
      <c r="M815" s="98"/>
      <c r="N815" s="96"/>
      <c r="O815" s="97"/>
      <c r="P815" s="70"/>
      <c r="Q815" s="97"/>
      <c r="R815" s="97"/>
      <c r="S815" s="98"/>
      <c r="T815" s="97"/>
      <c r="U815" s="98"/>
      <c r="V815" s="100"/>
      <c r="W815" s="98"/>
      <c r="X815" s="96"/>
      <c r="Y815" s="98"/>
      <c r="Z815" s="96"/>
      <c r="AA815" s="97"/>
      <c r="AB815" s="96"/>
      <c r="AC815" s="98"/>
      <c r="AD815" s="98"/>
      <c r="AE815" s="98"/>
    </row>
    <row r="816" spans="2:31" x14ac:dyDescent="0.3">
      <c r="B816" s="96"/>
      <c r="C816" s="96"/>
      <c r="D816" s="96"/>
      <c r="E816" s="97"/>
      <c r="F816" s="96"/>
      <c r="G816" s="98"/>
      <c r="H816" s="96"/>
      <c r="I816" s="98"/>
      <c r="J816" s="97"/>
      <c r="K816" s="98"/>
      <c r="L816" s="100"/>
      <c r="M816" s="98"/>
      <c r="N816" s="96"/>
      <c r="O816" s="97"/>
      <c r="P816" s="70"/>
      <c r="Q816" s="97"/>
      <c r="R816" s="97"/>
      <c r="S816" s="98"/>
      <c r="T816" s="97"/>
      <c r="U816" s="98"/>
      <c r="V816" s="100"/>
      <c r="W816" s="98"/>
      <c r="X816" s="96"/>
      <c r="Y816" s="98"/>
      <c r="Z816" s="96"/>
      <c r="AA816" s="97"/>
      <c r="AB816" s="96"/>
      <c r="AC816" s="98"/>
      <c r="AD816" s="98"/>
      <c r="AE816" s="98"/>
    </row>
    <row r="817" spans="2:31" x14ac:dyDescent="0.3">
      <c r="B817" s="96"/>
      <c r="C817" s="96"/>
      <c r="D817" s="96"/>
      <c r="E817" s="97"/>
      <c r="F817" s="96"/>
      <c r="G817" s="98"/>
      <c r="H817" s="96"/>
      <c r="I817" s="98"/>
      <c r="J817" s="97"/>
      <c r="K817" s="98"/>
      <c r="L817" s="100"/>
      <c r="M817" s="98"/>
      <c r="N817" s="96"/>
      <c r="O817" s="97"/>
      <c r="P817" s="70"/>
      <c r="Q817" s="97"/>
      <c r="R817" s="97"/>
      <c r="S817" s="98"/>
      <c r="T817" s="97"/>
      <c r="U817" s="98"/>
      <c r="V817" s="100"/>
      <c r="W817" s="98"/>
      <c r="X817" s="96"/>
      <c r="Y817" s="98"/>
      <c r="Z817" s="96"/>
      <c r="AA817" s="97"/>
      <c r="AB817" s="96"/>
      <c r="AC817" s="98"/>
      <c r="AD817" s="98"/>
      <c r="AE817" s="98"/>
    </row>
    <row r="818" spans="2:31" x14ac:dyDescent="0.3">
      <c r="B818" s="96"/>
      <c r="C818" s="96"/>
      <c r="D818" s="96"/>
      <c r="E818" s="97"/>
      <c r="F818" s="96"/>
      <c r="G818" s="98"/>
      <c r="H818" s="96"/>
      <c r="I818" s="98"/>
      <c r="J818" s="97"/>
      <c r="K818" s="98"/>
      <c r="L818" s="100"/>
      <c r="M818" s="98"/>
      <c r="N818" s="96"/>
      <c r="O818" s="97"/>
      <c r="P818" s="70"/>
      <c r="Q818" s="97"/>
      <c r="R818" s="97"/>
      <c r="S818" s="98"/>
      <c r="T818" s="97"/>
      <c r="U818" s="98"/>
      <c r="V818" s="100"/>
      <c r="W818" s="98"/>
      <c r="X818" s="96"/>
      <c r="Y818" s="98"/>
      <c r="Z818" s="96"/>
      <c r="AA818" s="97"/>
      <c r="AB818" s="96"/>
      <c r="AC818" s="98"/>
      <c r="AD818" s="98"/>
      <c r="AE818" s="98"/>
    </row>
    <row r="819" spans="2:31" x14ac:dyDescent="0.3">
      <c r="B819" s="96"/>
      <c r="C819" s="96"/>
      <c r="D819" s="96"/>
      <c r="E819" s="97"/>
      <c r="F819" s="96"/>
      <c r="G819" s="98"/>
      <c r="H819" s="96"/>
      <c r="I819" s="98"/>
      <c r="J819" s="97"/>
      <c r="K819" s="98"/>
      <c r="L819" s="100"/>
      <c r="M819" s="98"/>
      <c r="N819" s="96"/>
      <c r="O819" s="97"/>
      <c r="P819" s="70"/>
      <c r="Q819" s="97"/>
      <c r="R819" s="97"/>
      <c r="S819" s="98"/>
      <c r="T819" s="97"/>
      <c r="U819" s="98"/>
      <c r="V819" s="100"/>
      <c r="W819" s="98"/>
      <c r="X819" s="96"/>
      <c r="Y819" s="98"/>
      <c r="Z819" s="96"/>
      <c r="AA819" s="97"/>
      <c r="AB819" s="96"/>
      <c r="AC819" s="98"/>
      <c r="AD819" s="98"/>
      <c r="AE819" s="98"/>
    </row>
    <row r="820" spans="2:31" x14ac:dyDescent="0.3">
      <c r="B820" s="96"/>
      <c r="C820" s="96"/>
      <c r="D820" s="96"/>
      <c r="E820" s="97"/>
      <c r="F820" s="96"/>
      <c r="G820" s="98"/>
      <c r="H820" s="96"/>
      <c r="I820" s="98"/>
      <c r="J820" s="97"/>
      <c r="K820" s="98"/>
      <c r="L820" s="100"/>
      <c r="M820" s="98"/>
      <c r="N820" s="96"/>
      <c r="O820" s="97"/>
      <c r="P820" s="70"/>
      <c r="Q820" s="97"/>
      <c r="R820" s="97"/>
      <c r="S820" s="98"/>
      <c r="T820" s="97"/>
      <c r="U820" s="98"/>
      <c r="V820" s="100"/>
      <c r="W820" s="98"/>
      <c r="X820" s="96"/>
      <c r="Y820" s="98"/>
      <c r="Z820" s="96"/>
      <c r="AA820" s="97"/>
      <c r="AB820" s="96"/>
      <c r="AC820" s="98"/>
      <c r="AD820" s="98"/>
      <c r="AE820" s="98"/>
    </row>
    <row r="821" spans="2:31" x14ac:dyDescent="0.3">
      <c r="B821" s="96"/>
      <c r="C821" s="96"/>
      <c r="D821" s="96"/>
      <c r="E821" s="97"/>
      <c r="F821" s="96"/>
      <c r="G821" s="98"/>
      <c r="H821" s="96"/>
      <c r="I821" s="98"/>
      <c r="J821" s="97"/>
      <c r="K821" s="98"/>
      <c r="L821" s="100"/>
      <c r="M821" s="98"/>
      <c r="N821" s="96"/>
      <c r="O821" s="97"/>
      <c r="P821" s="70"/>
      <c r="Q821" s="97"/>
      <c r="R821" s="97"/>
      <c r="S821" s="98"/>
      <c r="T821" s="97"/>
      <c r="U821" s="98"/>
      <c r="V821" s="100"/>
      <c r="W821" s="98"/>
      <c r="X821" s="96"/>
      <c r="Y821" s="98"/>
      <c r="Z821" s="96"/>
      <c r="AA821" s="97"/>
      <c r="AB821" s="96"/>
      <c r="AC821" s="98"/>
      <c r="AD821" s="98"/>
      <c r="AE821" s="98"/>
    </row>
    <row r="822" spans="2:31" x14ac:dyDescent="0.3">
      <c r="B822" s="96"/>
      <c r="C822" s="96"/>
      <c r="D822" s="96"/>
      <c r="E822" s="97"/>
      <c r="F822" s="96"/>
      <c r="G822" s="98"/>
      <c r="H822" s="96"/>
      <c r="I822" s="98"/>
      <c r="J822" s="97"/>
      <c r="K822" s="98"/>
      <c r="L822" s="100"/>
      <c r="M822" s="98"/>
      <c r="N822" s="96"/>
      <c r="O822" s="97"/>
      <c r="P822" s="70"/>
      <c r="Q822" s="97"/>
      <c r="R822" s="97"/>
      <c r="S822" s="98"/>
      <c r="T822" s="97"/>
      <c r="U822" s="98"/>
      <c r="V822" s="100"/>
      <c r="W822" s="98"/>
      <c r="X822" s="96"/>
      <c r="Y822" s="98"/>
      <c r="Z822" s="96"/>
      <c r="AA822" s="97"/>
      <c r="AB822" s="96"/>
      <c r="AC822" s="98"/>
      <c r="AD822" s="98"/>
      <c r="AE822" s="98"/>
    </row>
    <row r="823" spans="2:31" x14ac:dyDescent="0.3">
      <c r="B823" s="96"/>
      <c r="C823" s="96"/>
      <c r="D823" s="96"/>
      <c r="E823" s="97"/>
      <c r="F823" s="96"/>
      <c r="G823" s="98"/>
      <c r="H823" s="96"/>
      <c r="I823" s="98"/>
      <c r="J823" s="97"/>
      <c r="K823" s="98"/>
      <c r="L823" s="100"/>
      <c r="M823" s="98"/>
      <c r="N823" s="96"/>
      <c r="O823" s="97"/>
      <c r="P823" s="70"/>
      <c r="Q823" s="97"/>
      <c r="R823" s="97"/>
      <c r="S823" s="98"/>
      <c r="T823" s="97"/>
      <c r="U823" s="98"/>
      <c r="V823" s="100"/>
      <c r="W823" s="98"/>
      <c r="X823" s="96"/>
      <c r="Y823" s="98"/>
      <c r="Z823" s="96"/>
      <c r="AA823" s="97"/>
      <c r="AB823" s="96"/>
      <c r="AC823" s="98"/>
      <c r="AD823" s="98"/>
      <c r="AE823" s="98"/>
    </row>
    <row r="824" spans="2:31" x14ac:dyDescent="0.3">
      <c r="B824" s="96"/>
      <c r="C824" s="96"/>
      <c r="D824" s="96"/>
      <c r="E824" s="97"/>
      <c r="F824" s="96"/>
      <c r="G824" s="98"/>
      <c r="H824" s="96"/>
      <c r="I824" s="98"/>
      <c r="J824" s="97"/>
      <c r="K824" s="98"/>
      <c r="L824" s="100"/>
      <c r="M824" s="98"/>
      <c r="N824" s="96"/>
      <c r="O824" s="97"/>
      <c r="P824" s="70"/>
      <c r="Q824" s="97"/>
      <c r="R824" s="97"/>
      <c r="S824" s="98"/>
      <c r="T824" s="97"/>
      <c r="U824" s="98"/>
      <c r="V824" s="100"/>
      <c r="W824" s="98"/>
      <c r="X824" s="96"/>
      <c r="Y824" s="98"/>
      <c r="Z824" s="96"/>
      <c r="AA824" s="97"/>
      <c r="AB824" s="96"/>
      <c r="AC824" s="98"/>
      <c r="AD824" s="98"/>
      <c r="AE824" s="98"/>
    </row>
    <row r="825" spans="2:31" x14ac:dyDescent="0.3">
      <c r="B825" s="96"/>
      <c r="C825" s="96"/>
      <c r="D825" s="96"/>
      <c r="E825" s="97"/>
      <c r="F825" s="96"/>
      <c r="G825" s="98"/>
      <c r="H825" s="96"/>
      <c r="I825" s="98"/>
      <c r="J825" s="97"/>
      <c r="K825" s="98"/>
      <c r="L825" s="100"/>
      <c r="M825" s="98"/>
      <c r="N825" s="96"/>
      <c r="O825" s="97"/>
      <c r="P825" s="70"/>
      <c r="Q825" s="97"/>
      <c r="R825" s="97"/>
      <c r="S825" s="98"/>
      <c r="T825" s="97"/>
      <c r="U825" s="98"/>
      <c r="V825" s="100"/>
      <c r="W825" s="98"/>
      <c r="X825" s="96"/>
      <c r="Y825" s="98"/>
      <c r="Z825" s="96"/>
      <c r="AA825" s="97"/>
      <c r="AB825" s="96"/>
      <c r="AC825" s="98"/>
      <c r="AD825" s="98"/>
      <c r="AE825" s="98"/>
    </row>
    <row r="826" spans="2:31" x14ac:dyDescent="0.3">
      <c r="B826" s="96"/>
      <c r="C826" s="96"/>
      <c r="D826" s="96"/>
      <c r="E826" s="97"/>
      <c r="F826" s="96"/>
      <c r="G826" s="98"/>
      <c r="H826" s="96"/>
      <c r="I826" s="98"/>
      <c r="J826" s="97"/>
      <c r="K826" s="98"/>
      <c r="L826" s="100"/>
      <c r="M826" s="98"/>
      <c r="N826" s="96"/>
      <c r="O826" s="97"/>
      <c r="P826" s="70"/>
      <c r="Q826" s="97"/>
      <c r="R826" s="97"/>
      <c r="S826" s="98"/>
      <c r="T826" s="97"/>
      <c r="U826" s="98"/>
      <c r="V826" s="100"/>
      <c r="W826" s="98"/>
      <c r="X826" s="96"/>
      <c r="Y826" s="98"/>
      <c r="Z826" s="96"/>
      <c r="AA826" s="97"/>
      <c r="AB826" s="96"/>
      <c r="AC826" s="98"/>
      <c r="AD826" s="98"/>
      <c r="AE826" s="98"/>
    </row>
    <row r="827" spans="2:31" x14ac:dyDescent="0.3">
      <c r="B827" s="96"/>
      <c r="C827" s="96"/>
      <c r="D827" s="96"/>
      <c r="E827" s="97"/>
      <c r="F827" s="96"/>
      <c r="G827" s="98"/>
      <c r="H827" s="96"/>
      <c r="I827" s="98"/>
      <c r="J827" s="97"/>
      <c r="K827" s="98"/>
      <c r="L827" s="100"/>
      <c r="M827" s="98"/>
      <c r="N827" s="96"/>
      <c r="O827" s="97"/>
      <c r="P827" s="70"/>
      <c r="Q827" s="97"/>
      <c r="R827" s="97"/>
      <c r="S827" s="98"/>
      <c r="T827" s="97"/>
      <c r="U827" s="98"/>
      <c r="V827" s="100"/>
      <c r="W827" s="98"/>
      <c r="X827" s="96"/>
      <c r="Y827" s="98"/>
      <c r="Z827" s="96"/>
      <c r="AA827" s="97"/>
      <c r="AB827" s="96"/>
      <c r="AC827" s="98"/>
      <c r="AD827" s="98"/>
      <c r="AE827" s="98"/>
    </row>
    <row r="828" spans="2:31" x14ac:dyDescent="0.3">
      <c r="B828" s="96"/>
      <c r="C828" s="96"/>
      <c r="D828" s="96"/>
      <c r="E828" s="97"/>
      <c r="F828" s="96"/>
      <c r="G828" s="98"/>
      <c r="H828" s="96"/>
      <c r="I828" s="98"/>
      <c r="J828" s="97"/>
      <c r="K828" s="98"/>
      <c r="L828" s="100"/>
      <c r="M828" s="98"/>
      <c r="N828" s="96"/>
      <c r="O828" s="97"/>
      <c r="P828" s="70"/>
      <c r="Q828" s="97"/>
      <c r="R828" s="97"/>
      <c r="S828" s="98"/>
      <c r="T828" s="97"/>
      <c r="U828" s="98"/>
      <c r="V828" s="100"/>
      <c r="W828" s="98"/>
      <c r="X828" s="96"/>
      <c r="Y828" s="98"/>
      <c r="Z828" s="96"/>
      <c r="AA828" s="97"/>
      <c r="AB828" s="96"/>
      <c r="AC828" s="98"/>
      <c r="AD828" s="98"/>
      <c r="AE828" s="98"/>
    </row>
    <row r="829" spans="2:31" x14ac:dyDescent="0.3">
      <c r="B829" s="96"/>
      <c r="C829" s="96"/>
      <c r="D829" s="96"/>
      <c r="E829" s="97"/>
      <c r="F829" s="96"/>
      <c r="G829" s="98"/>
      <c r="H829" s="96"/>
      <c r="I829" s="98"/>
      <c r="J829" s="97"/>
      <c r="K829" s="98"/>
      <c r="L829" s="100"/>
      <c r="M829" s="98"/>
      <c r="N829" s="96"/>
      <c r="O829" s="97"/>
      <c r="P829" s="70"/>
      <c r="Q829" s="97"/>
      <c r="R829" s="97"/>
      <c r="S829" s="98"/>
      <c r="T829" s="97"/>
      <c r="U829" s="98"/>
      <c r="V829" s="100"/>
      <c r="W829" s="98"/>
      <c r="X829" s="96"/>
      <c r="Y829" s="98"/>
      <c r="Z829" s="96"/>
      <c r="AA829" s="97"/>
      <c r="AB829" s="96"/>
      <c r="AC829" s="98"/>
      <c r="AD829" s="98"/>
      <c r="AE829" s="98"/>
    </row>
    <row r="830" spans="2:31" x14ac:dyDescent="0.3">
      <c r="B830" s="96"/>
      <c r="C830" s="96"/>
      <c r="D830" s="96"/>
      <c r="E830" s="97"/>
      <c r="F830" s="96"/>
      <c r="G830" s="98"/>
      <c r="H830" s="96"/>
      <c r="I830" s="98"/>
      <c r="J830" s="97"/>
      <c r="K830" s="98"/>
      <c r="L830" s="100"/>
      <c r="M830" s="98"/>
      <c r="N830" s="96"/>
      <c r="O830" s="97"/>
      <c r="P830" s="70"/>
      <c r="Q830" s="97"/>
      <c r="R830" s="97"/>
      <c r="S830" s="98"/>
      <c r="T830" s="97"/>
      <c r="U830" s="98"/>
      <c r="V830" s="100"/>
      <c r="W830" s="98"/>
      <c r="X830" s="96"/>
      <c r="Y830" s="98"/>
      <c r="Z830" s="96"/>
      <c r="AA830" s="97"/>
      <c r="AB830" s="96"/>
      <c r="AC830" s="98"/>
      <c r="AD830" s="98"/>
      <c r="AE830" s="98"/>
    </row>
    <row r="831" spans="2:31" x14ac:dyDescent="0.3">
      <c r="B831" s="96"/>
      <c r="C831" s="96"/>
      <c r="D831" s="96"/>
      <c r="E831" s="97"/>
      <c r="F831" s="96"/>
      <c r="G831" s="98"/>
      <c r="H831" s="96"/>
      <c r="I831" s="98"/>
      <c r="J831" s="97"/>
      <c r="K831" s="98"/>
      <c r="L831" s="100"/>
      <c r="M831" s="98"/>
      <c r="N831" s="96"/>
      <c r="O831" s="97"/>
      <c r="P831" s="70"/>
      <c r="Q831" s="97"/>
      <c r="R831" s="97"/>
      <c r="S831" s="98"/>
      <c r="T831" s="97"/>
      <c r="U831" s="98"/>
      <c r="V831" s="100"/>
      <c r="W831" s="98"/>
      <c r="X831" s="96"/>
      <c r="Y831" s="98"/>
      <c r="Z831" s="96"/>
      <c r="AA831" s="97"/>
      <c r="AB831" s="96"/>
      <c r="AC831" s="98"/>
      <c r="AD831" s="98"/>
      <c r="AE831" s="98"/>
    </row>
    <row r="832" spans="2:31" x14ac:dyDescent="0.3">
      <c r="B832" s="96"/>
      <c r="C832" s="96"/>
      <c r="D832" s="96"/>
      <c r="E832" s="97"/>
      <c r="F832" s="96"/>
      <c r="G832" s="98"/>
      <c r="H832" s="96"/>
      <c r="I832" s="98"/>
      <c r="J832" s="97"/>
      <c r="K832" s="98"/>
      <c r="L832" s="100"/>
      <c r="M832" s="98"/>
      <c r="N832" s="96"/>
      <c r="O832" s="97"/>
      <c r="P832" s="70"/>
      <c r="Q832" s="97"/>
      <c r="R832" s="97"/>
      <c r="S832" s="98"/>
      <c r="T832" s="97"/>
      <c r="U832" s="98"/>
      <c r="V832" s="100"/>
      <c r="W832" s="98"/>
      <c r="X832" s="96"/>
      <c r="Y832" s="98"/>
      <c r="Z832" s="96"/>
      <c r="AA832" s="97"/>
      <c r="AB832" s="96"/>
      <c r="AC832" s="98"/>
      <c r="AD832" s="98"/>
      <c r="AE832" s="98"/>
    </row>
    <row r="833" spans="2:31" x14ac:dyDescent="0.3">
      <c r="B833" s="96"/>
      <c r="C833" s="96"/>
      <c r="D833" s="96"/>
      <c r="E833" s="97"/>
      <c r="F833" s="96"/>
      <c r="G833" s="98"/>
      <c r="H833" s="96"/>
      <c r="I833" s="98"/>
      <c r="J833" s="97"/>
      <c r="K833" s="98"/>
      <c r="L833" s="100"/>
      <c r="M833" s="98"/>
      <c r="N833" s="96"/>
      <c r="O833" s="97"/>
      <c r="P833" s="70"/>
      <c r="Q833" s="97"/>
      <c r="R833" s="97"/>
      <c r="S833" s="98"/>
      <c r="T833" s="97"/>
      <c r="U833" s="98"/>
      <c r="V833" s="100"/>
      <c r="W833" s="98"/>
      <c r="X833" s="96"/>
      <c r="Y833" s="98"/>
      <c r="Z833" s="96"/>
      <c r="AA833" s="97"/>
      <c r="AB833" s="96"/>
      <c r="AC833" s="98"/>
      <c r="AD833" s="98"/>
      <c r="AE833" s="98"/>
    </row>
    <row r="834" spans="2:31" x14ac:dyDescent="0.3">
      <c r="B834" s="96"/>
      <c r="C834" s="96"/>
      <c r="D834" s="96"/>
      <c r="E834" s="97"/>
      <c r="F834" s="96"/>
      <c r="G834" s="98"/>
      <c r="H834" s="96"/>
      <c r="I834" s="98"/>
      <c r="J834" s="97"/>
      <c r="K834" s="98"/>
      <c r="L834" s="100"/>
      <c r="M834" s="98"/>
      <c r="N834" s="96"/>
      <c r="O834" s="97"/>
      <c r="P834" s="70"/>
      <c r="Q834" s="97"/>
      <c r="R834" s="97"/>
      <c r="S834" s="98"/>
      <c r="T834" s="97"/>
      <c r="U834" s="98"/>
      <c r="V834" s="100"/>
      <c r="W834" s="98"/>
      <c r="X834" s="96"/>
      <c r="Y834" s="98"/>
      <c r="Z834" s="96"/>
      <c r="AA834" s="97"/>
      <c r="AB834" s="96"/>
      <c r="AC834" s="98"/>
      <c r="AD834" s="98"/>
      <c r="AE834" s="98"/>
    </row>
    <row r="835" spans="2:31" x14ac:dyDescent="0.3">
      <c r="B835" s="96"/>
      <c r="C835" s="96"/>
      <c r="D835" s="96"/>
      <c r="E835" s="97"/>
      <c r="F835" s="96"/>
      <c r="G835" s="98"/>
      <c r="H835" s="96"/>
      <c r="I835" s="98"/>
      <c r="J835" s="97"/>
      <c r="K835" s="98"/>
      <c r="L835" s="100"/>
      <c r="M835" s="98"/>
      <c r="N835" s="96"/>
      <c r="O835" s="97"/>
      <c r="P835" s="70"/>
      <c r="Q835" s="97"/>
      <c r="R835" s="97"/>
      <c r="S835" s="98"/>
      <c r="T835" s="97"/>
      <c r="U835" s="98"/>
      <c r="V835" s="100"/>
      <c r="W835" s="98"/>
      <c r="X835" s="96"/>
      <c r="Y835" s="98"/>
      <c r="Z835" s="96"/>
      <c r="AA835" s="97"/>
      <c r="AB835" s="96"/>
      <c r="AC835" s="98"/>
      <c r="AD835" s="98"/>
      <c r="AE835" s="98"/>
    </row>
    <row r="836" spans="2:31" x14ac:dyDescent="0.3">
      <c r="B836" s="96"/>
      <c r="C836" s="96"/>
      <c r="D836" s="96"/>
      <c r="E836" s="97"/>
      <c r="F836" s="96"/>
      <c r="G836" s="98"/>
      <c r="H836" s="96"/>
      <c r="I836" s="98"/>
      <c r="J836" s="97"/>
      <c r="K836" s="98"/>
      <c r="L836" s="100"/>
      <c r="M836" s="98"/>
      <c r="N836" s="96"/>
      <c r="O836" s="97"/>
      <c r="P836" s="70"/>
      <c r="Q836" s="97"/>
      <c r="R836" s="97"/>
      <c r="S836" s="98"/>
      <c r="T836" s="97"/>
      <c r="U836" s="98"/>
      <c r="V836" s="100"/>
      <c r="W836" s="98"/>
      <c r="X836" s="96"/>
      <c r="Y836" s="98"/>
      <c r="Z836" s="96"/>
      <c r="AA836" s="97"/>
      <c r="AB836" s="96"/>
      <c r="AC836" s="98"/>
      <c r="AD836" s="98"/>
      <c r="AE836" s="98"/>
    </row>
    <row r="837" spans="2:31" x14ac:dyDescent="0.3">
      <c r="B837" s="96"/>
      <c r="C837" s="96"/>
      <c r="D837" s="96"/>
      <c r="E837" s="97"/>
      <c r="F837" s="96"/>
      <c r="G837" s="98"/>
      <c r="H837" s="96"/>
      <c r="I837" s="98"/>
      <c r="J837" s="97"/>
      <c r="K837" s="98"/>
      <c r="L837" s="100"/>
      <c r="M837" s="98"/>
      <c r="N837" s="96"/>
      <c r="O837" s="97"/>
      <c r="P837" s="70"/>
      <c r="Q837" s="97"/>
      <c r="R837" s="97"/>
      <c r="S837" s="98"/>
      <c r="T837" s="97"/>
      <c r="U837" s="98"/>
      <c r="V837" s="100"/>
      <c r="W837" s="98"/>
      <c r="X837" s="96"/>
      <c r="Y837" s="98"/>
      <c r="Z837" s="96"/>
      <c r="AA837" s="97"/>
      <c r="AB837" s="96"/>
      <c r="AC837" s="98"/>
      <c r="AD837" s="98"/>
      <c r="AE837" s="98"/>
    </row>
    <row r="838" spans="2:31" x14ac:dyDescent="0.3">
      <c r="B838" s="96"/>
      <c r="C838" s="96"/>
      <c r="D838" s="96"/>
      <c r="E838" s="97"/>
      <c r="F838" s="96"/>
      <c r="G838" s="98"/>
      <c r="H838" s="96"/>
      <c r="I838" s="98"/>
      <c r="J838" s="97"/>
      <c r="K838" s="98"/>
      <c r="L838" s="100"/>
      <c r="M838" s="98"/>
      <c r="N838" s="96"/>
      <c r="O838" s="97"/>
      <c r="P838" s="70"/>
      <c r="Q838" s="97"/>
      <c r="R838" s="97"/>
      <c r="S838" s="98"/>
      <c r="T838" s="97"/>
      <c r="U838" s="98"/>
      <c r="V838" s="100"/>
      <c r="W838" s="98"/>
      <c r="X838" s="96"/>
      <c r="Y838" s="98"/>
      <c r="Z838" s="96"/>
      <c r="AA838" s="97"/>
      <c r="AB838" s="96"/>
      <c r="AC838" s="98"/>
      <c r="AD838" s="98"/>
      <c r="AE838" s="98"/>
    </row>
    <row r="839" spans="2:31" x14ac:dyDescent="0.3">
      <c r="B839" s="96"/>
      <c r="C839" s="96"/>
      <c r="D839" s="96"/>
      <c r="E839" s="97"/>
      <c r="F839" s="96"/>
      <c r="G839" s="98"/>
      <c r="H839" s="96"/>
      <c r="I839" s="98"/>
      <c r="J839" s="97"/>
      <c r="K839" s="98"/>
      <c r="L839" s="100"/>
      <c r="M839" s="98"/>
      <c r="N839" s="96"/>
      <c r="O839" s="97"/>
      <c r="P839" s="70"/>
      <c r="Q839" s="97"/>
      <c r="R839" s="97"/>
      <c r="S839" s="98"/>
      <c r="T839" s="97"/>
      <c r="U839" s="98"/>
      <c r="V839" s="100"/>
      <c r="W839" s="98"/>
      <c r="X839" s="96"/>
      <c r="Y839" s="98"/>
      <c r="Z839" s="96"/>
      <c r="AA839" s="97"/>
      <c r="AB839" s="96"/>
      <c r="AC839" s="98"/>
      <c r="AD839" s="98"/>
      <c r="AE839" s="98"/>
    </row>
    <row r="840" spans="2:31" x14ac:dyDescent="0.3">
      <c r="B840" s="96"/>
      <c r="C840" s="96"/>
      <c r="D840" s="96"/>
      <c r="E840" s="97"/>
      <c r="F840" s="96"/>
      <c r="G840" s="98"/>
      <c r="H840" s="96"/>
      <c r="I840" s="98"/>
      <c r="J840" s="97"/>
      <c r="K840" s="98"/>
      <c r="L840" s="100"/>
      <c r="M840" s="98"/>
      <c r="N840" s="96"/>
      <c r="O840" s="97"/>
      <c r="P840" s="70"/>
      <c r="Q840" s="97"/>
      <c r="R840" s="97"/>
      <c r="S840" s="98"/>
      <c r="T840" s="97"/>
      <c r="U840" s="98"/>
      <c r="V840" s="100"/>
      <c r="W840" s="98"/>
      <c r="X840" s="96"/>
      <c r="Y840" s="98"/>
      <c r="Z840" s="96"/>
      <c r="AA840" s="97"/>
      <c r="AB840" s="96"/>
      <c r="AC840" s="98"/>
      <c r="AD840" s="98"/>
      <c r="AE840" s="98"/>
    </row>
    <row r="841" spans="2:31" x14ac:dyDescent="0.3">
      <c r="B841" s="96"/>
      <c r="C841" s="96"/>
      <c r="D841" s="96"/>
      <c r="E841" s="97"/>
      <c r="F841" s="96"/>
      <c r="G841" s="98"/>
      <c r="H841" s="96"/>
      <c r="I841" s="98"/>
      <c r="J841" s="97"/>
      <c r="K841" s="98"/>
      <c r="L841" s="100"/>
      <c r="M841" s="98"/>
      <c r="N841" s="96"/>
      <c r="O841" s="97"/>
      <c r="P841" s="70"/>
      <c r="Q841" s="97"/>
      <c r="R841" s="97"/>
      <c r="S841" s="98"/>
      <c r="T841" s="97"/>
      <c r="U841" s="98"/>
      <c r="V841" s="100"/>
      <c r="W841" s="98"/>
      <c r="X841" s="96"/>
      <c r="Y841" s="98"/>
      <c r="Z841" s="96"/>
      <c r="AA841" s="97"/>
      <c r="AB841" s="96"/>
      <c r="AC841" s="98"/>
      <c r="AD841" s="98"/>
      <c r="AE841" s="98"/>
    </row>
    <row r="842" spans="2:31" x14ac:dyDescent="0.3">
      <c r="B842" s="96"/>
      <c r="C842" s="96"/>
      <c r="D842" s="96"/>
      <c r="E842" s="97"/>
      <c r="F842" s="96"/>
      <c r="G842" s="98"/>
      <c r="H842" s="96"/>
      <c r="I842" s="98"/>
      <c r="J842" s="97"/>
      <c r="K842" s="98"/>
      <c r="L842" s="100"/>
      <c r="M842" s="98"/>
      <c r="N842" s="96"/>
      <c r="O842" s="97"/>
      <c r="P842" s="70"/>
      <c r="Q842" s="97"/>
      <c r="R842" s="97"/>
      <c r="S842" s="98"/>
      <c r="T842" s="97"/>
      <c r="U842" s="98"/>
      <c r="V842" s="100"/>
      <c r="W842" s="98"/>
      <c r="X842" s="96"/>
      <c r="Y842" s="98"/>
      <c r="Z842" s="96"/>
      <c r="AA842" s="97"/>
      <c r="AB842" s="96"/>
      <c r="AC842" s="98"/>
      <c r="AD842" s="98"/>
      <c r="AE842" s="98"/>
    </row>
    <row r="843" spans="2:31" x14ac:dyDescent="0.3">
      <c r="B843" s="96"/>
      <c r="C843" s="96"/>
      <c r="D843" s="96"/>
      <c r="E843" s="97"/>
      <c r="F843" s="96"/>
      <c r="G843" s="98"/>
      <c r="H843" s="96"/>
      <c r="I843" s="98"/>
      <c r="J843" s="97"/>
      <c r="K843" s="98"/>
      <c r="L843" s="100"/>
      <c r="M843" s="98"/>
      <c r="N843" s="96"/>
      <c r="O843" s="97"/>
      <c r="P843" s="70"/>
      <c r="Q843" s="97"/>
      <c r="R843" s="97"/>
      <c r="S843" s="98"/>
      <c r="T843" s="97"/>
      <c r="U843" s="98"/>
      <c r="V843" s="100"/>
      <c r="W843" s="98"/>
      <c r="X843" s="96"/>
      <c r="Y843" s="98"/>
      <c r="Z843" s="96"/>
      <c r="AA843" s="97"/>
      <c r="AB843" s="96"/>
      <c r="AC843" s="98"/>
      <c r="AD843" s="98"/>
      <c r="AE843" s="98"/>
    </row>
    <row r="844" spans="2:31" x14ac:dyDescent="0.3">
      <c r="B844" s="96"/>
      <c r="C844" s="96"/>
      <c r="D844" s="96"/>
      <c r="E844" s="97"/>
      <c r="F844" s="96"/>
      <c r="G844" s="98"/>
      <c r="H844" s="96"/>
      <c r="I844" s="98"/>
      <c r="J844" s="97"/>
      <c r="K844" s="98"/>
      <c r="L844" s="100"/>
      <c r="M844" s="98"/>
      <c r="N844" s="96"/>
      <c r="O844" s="97"/>
      <c r="P844" s="70"/>
      <c r="Q844" s="97"/>
      <c r="R844" s="97"/>
      <c r="S844" s="98"/>
      <c r="T844" s="97"/>
      <c r="U844" s="98"/>
      <c r="V844" s="100"/>
      <c r="W844" s="98"/>
      <c r="X844" s="96"/>
      <c r="Y844" s="98"/>
      <c r="Z844" s="96"/>
      <c r="AA844" s="97"/>
      <c r="AB844" s="96"/>
      <c r="AC844" s="98"/>
      <c r="AD844" s="98"/>
      <c r="AE844" s="98"/>
    </row>
    <row r="845" spans="2:31" x14ac:dyDescent="0.3">
      <c r="B845" s="96"/>
      <c r="C845" s="96"/>
      <c r="D845" s="96"/>
      <c r="E845" s="97"/>
      <c r="F845" s="96"/>
      <c r="G845" s="98"/>
      <c r="H845" s="96"/>
      <c r="I845" s="98"/>
      <c r="J845" s="97"/>
      <c r="K845" s="98"/>
      <c r="L845" s="100"/>
      <c r="M845" s="98"/>
      <c r="N845" s="96"/>
      <c r="O845" s="97"/>
      <c r="P845" s="70"/>
      <c r="Q845" s="97"/>
      <c r="R845" s="97"/>
      <c r="S845" s="98"/>
      <c r="T845" s="97"/>
      <c r="U845" s="98"/>
      <c r="V845" s="100"/>
      <c r="W845" s="98"/>
      <c r="X845" s="96"/>
      <c r="Y845" s="98"/>
      <c r="Z845" s="96"/>
      <c r="AA845" s="97"/>
      <c r="AB845" s="96"/>
      <c r="AC845" s="98"/>
      <c r="AD845" s="98"/>
      <c r="AE845" s="98"/>
    </row>
    <row r="846" spans="2:31" x14ac:dyDescent="0.3">
      <c r="B846" s="96"/>
      <c r="C846" s="96"/>
      <c r="D846" s="96"/>
      <c r="E846" s="97"/>
      <c r="F846" s="96"/>
      <c r="G846" s="98"/>
      <c r="H846" s="96"/>
      <c r="I846" s="98"/>
      <c r="J846" s="97"/>
      <c r="K846" s="98"/>
      <c r="L846" s="100"/>
      <c r="M846" s="98"/>
      <c r="N846" s="96"/>
      <c r="O846" s="97"/>
      <c r="P846" s="70"/>
      <c r="Q846" s="97"/>
      <c r="R846" s="97"/>
      <c r="S846" s="98"/>
      <c r="T846" s="97"/>
      <c r="U846" s="98"/>
      <c r="V846" s="100"/>
      <c r="W846" s="98"/>
      <c r="X846" s="96"/>
      <c r="Y846" s="98"/>
      <c r="Z846" s="96"/>
      <c r="AA846" s="97"/>
      <c r="AB846" s="96"/>
      <c r="AC846" s="98"/>
      <c r="AD846" s="98"/>
      <c r="AE846" s="98"/>
    </row>
    <row r="847" spans="2:31" x14ac:dyDescent="0.3">
      <c r="B847" s="96"/>
      <c r="C847" s="96"/>
      <c r="D847" s="96"/>
      <c r="E847" s="97"/>
      <c r="F847" s="96"/>
      <c r="G847" s="98"/>
      <c r="H847" s="96"/>
      <c r="I847" s="98"/>
      <c r="J847" s="97"/>
      <c r="K847" s="98"/>
      <c r="L847" s="100"/>
      <c r="M847" s="98"/>
      <c r="N847" s="96"/>
      <c r="O847" s="97"/>
      <c r="P847" s="70"/>
      <c r="Q847" s="97"/>
      <c r="R847" s="97"/>
      <c r="S847" s="98"/>
      <c r="T847" s="97"/>
      <c r="U847" s="98"/>
      <c r="V847" s="100"/>
      <c r="W847" s="98"/>
      <c r="X847" s="96"/>
      <c r="Y847" s="98"/>
      <c r="Z847" s="96"/>
      <c r="AA847" s="97"/>
      <c r="AB847" s="96"/>
      <c r="AC847" s="98"/>
      <c r="AD847" s="98"/>
      <c r="AE847" s="98"/>
    </row>
    <row r="848" spans="2:31" x14ac:dyDescent="0.3">
      <c r="B848" s="96"/>
      <c r="C848" s="96"/>
      <c r="D848" s="96"/>
      <c r="E848" s="97"/>
      <c r="F848" s="96"/>
      <c r="G848" s="98"/>
      <c r="H848" s="96"/>
      <c r="I848" s="98"/>
      <c r="J848" s="97"/>
      <c r="K848" s="98"/>
      <c r="L848" s="100"/>
      <c r="M848" s="98"/>
      <c r="N848" s="96"/>
      <c r="O848" s="97"/>
      <c r="P848" s="70"/>
      <c r="Q848" s="97"/>
      <c r="R848" s="97"/>
      <c r="S848" s="98"/>
      <c r="T848" s="97"/>
      <c r="U848" s="98"/>
      <c r="V848" s="100"/>
      <c r="W848" s="98"/>
      <c r="X848" s="96"/>
      <c r="Y848" s="98"/>
      <c r="Z848" s="96"/>
      <c r="AA848" s="97"/>
      <c r="AB848" s="96"/>
      <c r="AC848" s="98"/>
      <c r="AD848" s="98"/>
      <c r="AE848" s="98"/>
    </row>
    <row r="849" spans="2:31" x14ac:dyDescent="0.3">
      <c r="B849" s="96"/>
      <c r="C849" s="96"/>
      <c r="D849" s="96"/>
      <c r="E849" s="97"/>
      <c r="F849" s="96"/>
      <c r="G849" s="98"/>
      <c r="H849" s="96"/>
      <c r="I849" s="98"/>
      <c r="J849" s="97"/>
      <c r="K849" s="98"/>
      <c r="L849" s="100"/>
      <c r="M849" s="98"/>
      <c r="N849" s="96"/>
      <c r="O849" s="97"/>
      <c r="P849" s="70"/>
      <c r="Q849" s="97"/>
      <c r="R849" s="97"/>
      <c r="S849" s="98"/>
      <c r="T849" s="97"/>
      <c r="U849" s="98"/>
      <c r="V849" s="100"/>
      <c r="W849" s="98"/>
      <c r="X849" s="96"/>
      <c r="Y849" s="98"/>
      <c r="Z849" s="96"/>
      <c r="AA849" s="97"/>
      <c r="AB849" s="96"/>
      <c r="AC849" s="98"/>
      <c r="AD849" s="98"/>
      <c r="AE849" s="98"/>
    </row>
    <row r="850" spans="2:31" x14ac:dyDescent="0.3">
      <c r="B850" s="96"/>
      <c r="C850" s="96"/>
      <c r="D850" s="96"/>
      <c r="E850" s="97"/>
      <c r="F850" s="96"/>
      <c r="G850" s="98"/>
      <c r="H850" s="96"/>
      <c r="I850" s="98"/>
      <c r="J850" s="97"/>
      <c r="K850" s="98"/>
      <c r="L850" s="100"/>
      <c r="M850" s="98"/>
      <c r="N850" s="96"/>
      <c r="O850" s="97"/>
      <c r="P850" s="70"/>
      <c r="Q850" s="97"/>
      <c r="R850" s="97"/>
      <c r="S850" s="98"/>
      <c r="T850" s="97"/>
      <c r="U850" s="98"/>
      <c r="V850" s="100"/>
      <c r="W850" s="98"/>
      <c r="X850" s="96"/>
      <c r="Y850" s="98"/>
      <c r="Z850" s="96"/>
      <c r="AA850" s="97"/>
      <c r="AB850" s="96"/>
      <c r="AC850" s="98"/>
      <c r="AD850" s="98"/>
      <c r="AE850" s="98"/>
    </row>
    <row r="851" spans="2:31" x14ac:dyDescent="0.3">
      <c r="B851" s="96"/>
      <c r="C851" s="96"/>
      <c r="D851" s="96"/>
      <c r="E851" s="97"/>
      <c r="F851" s="96"/>
      <c r="G851" s="98"/>
      <c r="H851" s="96"/>
      <c r="I851" s="98"/>
      <c r="J851" s="97"/>
      <c r="K851" s="98"/>
      <c r="L851" s="100"/>
      <c r="M851" s="98"/>
      <c r="N851" s="96"/>
      <c r="O851" s="97"/>
      <c r="P851" s="70"/>
      <c r="Q851" s="97"/>
      <c r="R851" s="97"/>
      <c r="S851" s="98"/>
      <c r="T851" s="97"/>
      <c r="U851" s="98"/>
      <c r="V851" s="100"/>
      <c r="W851" s="98"/>
      <c r="X851" s="96"/>
      <c r="Y851" s="98"/>
      <c r="Z851" s="96"/>
      <c r="AA851" s="97"/>
      <c r="AB851" s="96"/>
      <c r="AC851" s="98"/>
      <c r="AD851" s="98"/>
      <c r="AE851" s="98"/>
    </row>
    <row r="852" spans="2:31" x14ac:dyDescent="0.3">
      <c r="B852" s="96"/>
      <c r="C852" s="96"/>
      <c r="D852" s="96"/>
      <c r="E852" s="97"/>
      <c r="F852" s="96"/>
      <c r="G852" s="98"/>
      <c r="H852" s="96"/>
      <c r="I852" s="98"/>
      <c r="J852" s="97"/>
      <c r="K852" s="98"/>
      <c r="L852" s="100"/>
      <c r="M852" s="98"/>
      <c r="N852" s="96"/>
      <c r="O852" s="97"/>
      <c r="P852" s="70"/>
      <c r="Q852" s="97"/>
      <c r="R852" s="97"/>
      <c r="S852" s="98"/>
      <c r="T852" s="97"/>
      <c r="U852" s="98"/>
      <c r="V852" s="100"/>
      <c r="W852" s="98"/>
      <c r="X852" s="96"/>
      <c r="Y852" s="98"/>
      <c r="Z852" s="96"/>
      <c r="AA852" s="97"/>
      <c r="AB852" s="96"/>
      <c r="AC852" s="98"/>
      <c r="AD852" s="98"/>
      <c r="AE852" s="98"/>
    </row>
    <row r="853" spans="2:31" x14ac:dyDescent="0.3">
      <c r="B853" s="96"/>
      <c r="C853" s="96"/>
      <c r="D853" s="96"/>
      <c r="E853" s="97"/>
      <c r="F853" s="96"/>
      <c r="G853" s="98"/>
      <c r="H853" s="96"/>
      <c r="I853" s="98"/>
      <c r="J853" s="97"/>
      <c r="K853" s="98"/>
      <c r="L853" s="100"/>
      <c r="M853" s="98"/>
      <c r="N853" s="96"/>
      <c r="O853" s="97"/>
      <c r="P853" s="70"/>
      <c r="Q853" s="97"/>
      <c r="R853" s="97"/>
      <c r="S853" s="98"/>
      <c r="T853" s="97"/>
      <c r="U853" s="98"/>
      <c r="V853" s="100"/>
      <c r="W853" s="98"/>
      <c r="X853" s="96"/>
      <c r="Y853" s="98"/>
      <c r="Z853" s="96"/>
      <c r="AA853" s="97"/>
      <c r="AB853" s="96"/>
      <c r="AC853" s="98"/>
      <c r="AD853" s="98"/>
      <c r="AE853" s="98"/>
    </row>
    <row r="854" spans="2:31" x14ac:dyDescent="0.3">
      <c r="B854" s="96"/>
      <c r="C854" s="96"/>
      <c r="D854" s="96"/>
      <c r="E854" s="97"/>
      <c r="F854" s="96"/>
      <c r="G854" s="98"/>
      <c r="H854" s="96"/>
      <c r="I854" s="98"/>
      <c r="J854" s="97"/>
      <c r="K854" s="98"/>
      <c r="L854" s="100"/>
      <c r="M854" s="98"/>
      <c r="N854" s="96"/>
      <c r="O854" s="97"/>
      <c r="P854" s="70"/>
      <c r="Q854" s="97"/>
      <c r="R854" s="97"/>
      <c r="S854" s="98"/>
      <c r="T854" s="97"/>
      <c r="U854" s="98"/>
      <c r="V854" s="100"/>
      <c r="W854" s="98"/>
      <c r="X854" s="96"/>
      <c r="Y854" s="98"/>
      <c r="Z854" s="96"/>
      <c r="AA854" s="97"/>
      <c r="AB854" s="96"/>
      <c r="AC854" s="98"/>
      <c r="AD854" s="98"/>
      <c r="AE854" s="98"/>
    </row>
    <row r="855" spans="2:31" x14ac:dyDescent="0.3">
      <c r="B855" s="96"/>
      <c r="C855" s="96"/>
      <c r="D855" s="96"/>
      <c r="E855" s="97"/>
      <c r="F855" s="96"/>
      <c r="G855" s="98"/>
      <c r="H855" s="96"/>
      <c r="I855" s="98"/>
      <c r="J855" s="97"/>
      <c r="K855" s="98"/>
      <c r="L855" s="100"/>
      <c r="M855" s="98"/>
      <c r="N855" s="96"/>
      <c r="O855" s="97"/>
      <c r="P855" s="70"/>
      <c r="Q855" s="97"/>
      <c r="R855" s="97"/>
      <c r="S855" s="98"/>
      <c r="T855" s="97"/>
      <c r="U855" s="98"/>
      <c r="V855" s="100"/>
      <c r="W855" s="98"/>
      <c r="X855" s="96"/>
      <c r="Y855" s="98"/>
      <c r="Z855" s="96"/>
      <c r="AA855" s="97"/>
      <c r="AB855" s="96"/>
      <c r="AC855" s="98"/>
      <c r="AD855" s="98"/>
      <c r="AE855" s="98"/>
    </row>
    <row r="856" spans="2:31" x14ac:dyDescent="0.3">
      <c r="B856" s="96"/>
      <c r="C856" s="96"/>
      <c r="D856" s="96"/>
      <c r="E856" s="97"/>
      <c r="F856" s="96"/>
      <c r="G856" s="98"/>
      <c r="H856" s="96"/>
      <c r="I856" s="98"/>
      <c r="J856" s="97"/>
      <c r="K856" s="98"/>
      <c r="L856" s="100"/>
      <c r="M856" s="98"/>
      <c r="N856" s="96"/>
      <c r="O856" s="97"/>
      <c r="P856" s="70"/>
      <c r="Q856" s="97"/>
      <c r="R856" s="97"/>
      <c r="S856" s="98"/>
      <c r="T856" s="97"/>
      <c r="U856" s="98"/>
      <c r="V856" s="100"/>
      <c r="W856" s="98"/>
      <c r="X856" s="96"/>
      <c r="Y856" s="98"/>
      <c r="Z856" s="96"/>
      <c r="AA856" s="97"/>
      <c r="AB856" s="96"/>
      <c r="AC856" s="98"/>
      <c r="AD856" s="98"/>
      <c r="AE856" s="98"/>
    </row>
    <row r="857" spans="2:31" x14ac:dyDescent="0.3">
      <c r="B857" s="96"/>
      <c r="C857" s="96"/>
      <c r="D857" s="96"/>
      <c r="E857" s="97"/>
      <c r="F857" s="96"/>
      <c r="G857" s="98"/>
      <c r="H857" s="96"/>
      <c r="I857" s="98"/>
      <c r="J857" s="97"/>
      <c r="K857" s="98"/>
      <c r="L857" s="100"/>
      <c r="M857" s="98"/>
      <c r="N857" s="96"/>
      <c r="O857" s="97"/>
      <c r="P857" s="70"/>
      <c r="Q857" s="97"/>
      <c r="R857" s="97"/>
      <c r="S857" s="98"/>
      <c r="T857" s="97"/>
      <c r="U857" s="98"/>
      <c r="V857" s="100"/>
      <c r="W857" s="98"/>
      <c r="X857" s="96"/>
      <c r="Y857" s="98"/>
      <c r="Z857" s="96"/>
      <c r="AA857" s="97"/>
      <c r="AB857" s="96"/>
      <c r="AC857" s="98"/>
      <c r="AD857" s="98"/>
      <c r="AE857" s="98"/>
    </row>
    <row r="858" spans="2:31" x14ac:dyDescent="0.3">
      <c r="B858" s="96"/>
      <c r="C858" s="96"/>
      <c r="D858" s="96"/>
      <c r="E858" s="97"/>
      <c r="F858" s="96"/>
      <c r="G858" s="98"/>
      <c r="H858" s="96"/>
      <c r="I858" s="98"/>
      <c r="J858" s="97"/>
      <c r="K858" s="98"/>
      <c r="L858" s="100"/>
      <c r="M858" s="98"/>
      <c r="N858" s="96"/>
      <c r="O858" s="97"/>
      <c r="P858" s="70"/>
      <c r="Q858" s="97"/>
      <c r="R858" s="97"/>
      <c r="S858" s="98"/>
      <c r="T858" s="97"/>
      <c r="U858" s="98"/>
      <c r="V858" s="100"/>
      <c r="W858" s="98"/>
      <c r="X858" s="96"/>
      <c r="Y858" s="98"/>
      <c r="Z858" s="96"/>
      <c r="AA858" s="97"/>
      <c r="AB858" s="96"/>
      <c r="AC858" s="98"/>
      <c r="AD858" s="98"/>
      <c r="AE858" s="98"/>
    </row>
    <row r="859" spans="2:31" x14ac:dyDescent="0.3">
      <c r="B859" s="96"/>
      <c r="C859" s="96"/>
      <c r="D859" s="96"/>
      <c r="E859" s="97"/>
      <c r="F859" s="96"/>
      <c r="G859" s="98"/>
      <c r="H859" s="96"/>
      <c r="I859" s="98"/>
      <c r="J859" s="97"/>
      <c r="K859" s="98"/>
      <c r="L859" s="100"/>
      <c r="M859" s="98"/>
      <c r="N859" s="96"/>
      <c r="O859" s="97"/>
      <c r="P859" s="70"/>
      <c r="Q859" s="97"/>
      <c r="R859" s="97"/>
      <c r="S859" s="98"/>
      <c r="T859" s="97"/>
      <c r="U859" s="98"/>
      <c r="V859" s="100"/>
      <c r="W859" s="98"/>
      <c r="X859" s="96"/>
      <c r="Y859" s="98"/>
      <c r="Z859" s="96"/>
      <c r="AA859" s="97"/>
      <c r="AB859" s="96"/>
      <c r="AC859" s="98"/>
      <c r="AD859" s="98"/>
      <c r="AE859" s="98"/>
    </row>
    <row r="860" spans="2:31" x14ac:dyDescent="0.3">
      <c r="B860" s="96"/>
      <c r="C860" s="96"/>
      <c r="D860" s="96"/>
      <c r="E860" s="97"/>
      <c r="F860" s="96"/>
      <c r="G860" s="98"/>
      <c r="H860" s="96"/>
      <c r="I860" s="98"/>
      <c r="J860" s="97"/>
      <c r="K860" s="98"/>
      <c r="L860" s="100"/>
      <c r="M860" s="98"/>
      <c r="N860" s="96"/>
      <c r="O860" s="97"/>
      <c r="P860" s="70"/>
      <c r="Q860" s="97"/>
      <c r="R860" s="97"/>
      <c r="S860" s="98"/>
      <c r="T860" s="97"/>
      <c r="U860" s="98"/>
      <c r="V860" s="100"/>
      <c r="W860" s="98"/>
      <c r="X860" s="96"/>
      <c r="Y860" s="98"/>
      <c r="Z860" s="96"/>
      <c r="AA860" s="97"/>
      <c r="AB860" s="96"/>
      <c r="AC860" s="98"/>
      <c r="AD860" s="98"/>
      <c r="AE860" s="98"/>
    </row>
    <row r="861" spans="2:31" x14ac:dyDescent="0.3">
      <c r="B861" s="96"/>
      <c r="C861" s="96"/>
      <c r="D861" s="96"/>
      <c r="E861" s="97"/>
      <c r="F861" s="96"/>
      <c r="G861" s="98"/>
      <c r="H861" s="96"/>
      <c r="I861" s="98"/>
      <c r="J861" s="97"/>
      <c r="K861" s="98"/>
      <c r="L861" s="100"/>
      <c r="M861" s="98"/>
      <c r="N861" s="96"/>
      <c r="O861" s="97"/>
      <c r="P861" s="70"/>
      <c r="Q861" s="97"/>
      <c r="R861" s="97"/>
      <c r="S861" s="98"/>
      <c r="T861" s="97"/>
      <c r="U861" s="98"/>
      <c r="V861" s="100"/>
      <c r="W861" s="98"/>
      <c r="X861" s="96"/>
      <c r="Y861" s="98"/>
      <c r="Z861" s="96"/>
      <c r="AA861" s="97"/>
      <c r="AB861" s="96"/>
      <c r="AC861" s="98"/>
      <c r="AD861" s="98"/>
      <c r="AE861" s="98"/>
    </row>
    <row r="862" spans="2:31" x14ac:dyDescent="0.3">
      <c r="B862" s="96"/>
      <c r="C862" s="96"/>
      <c r="D862" s="96"/>
      <c r="E862" s="97"/>
      <c r="F862" s="96"/>
      <c r="G862" s="98"/>
      <c r="H862" s="96"/>
      <c r="I862" s="98"/>
      <c r="J862" s="97"/>
      <c r="K862" s="98"/>
      <c r="L862" s="100"/>
      <c r="M862" s="98"/>
      <c r="N862" s="96"/>
      <c r="O862" s="97"/>
      <c r="P862" s="70"/>
      <c r="Q862" s="97"/>
      <c r="R862" s="97"/>
      <c r="S862" s="98"/>
      <c r="T862" s="97"/>
      <c r="U862" s="98"/>
      <c r="V862" s="100"/>
      <c r="W862" s="98"/>
      <c r="X862" s="96"/>
      <c r="Y862" s="98"/>
      <c r="Z862" s="96"/>
      <c r="AA862" s="97"/>
      <c r="AB862" s="96"/>
      <c r="AC862" s="98"/>
      <c r="AD862" s="98"/>
      <c r="AE862" s="98"/>
    </row>
    <row r="863" spans="2:31" x14ac:dyDescent="0.3">
      <c r="B863" s="96"/>
      <c r="C863" s="96"/>
      <c r="D863" s="96"/>
      <c r="E863" s="97"/>
      <c r="F863" s="96"/>
      <c r="G863" s="98"/>
      <c r="H863" s="96"/>
      <c r="I863" s="98"/>
      <c r="J863" s="97"/>
      <c r="K863" s="98"/>
      <c r="L863" s="100"/>
      <c r="M863" s="98"/>
      <c r="N863" s="96"/>
      <c r="O863" s="97"/>
      <c r="P863" s="70"/>
      <c r="Q863" s="97"/>
      <c r="R863" s="97"/>
      <c r="S863" s="98"/>
      <c r="T863" s="97"/>
      <c r="U863" s="98"/>
      <c r="V863" s="100"/>
      <c r="W863" s="98"/>
      <c r="X863" s="96"/>
      <c r="Y863" s="98"/>
      <c r="Z863" s="96"/>
      <c r="AA863" s="97"/>
      <c r="AB863" s="96"/>
      <c r="AC863" s="98"/>
      <c r="AD863" s="98"/>
      <c r="AE863" s="98"/>
    </row>
    <row r="864" spans="2:31" x14ac:dyDescent="0.3">
      <c r="B864" s="96"/>
      <c r="C864" s="96"/>
      <c r="D864" s="96"/>
      <c r="E864" s="97"/>
      <c r="F864" s="96"/>
      <c r="G864" s="98"/>
      <c r="H864" s="96"/>
      <c r="I864" s="98"/>
      <c r="J864" s="97"/>
      <c r="K864" s="98"/>
      <c r="L864" s="100"/>
      <c r="M864" s="98"/>
      <c r="N864" s="96"/>
      <c r="O864" s="97"/>
      <c r="P864" s="70"/>
      <c r="Q864" s="97"/>
      <c r="R864" s="97"/>
      <c r="S864" s="98"/>
      <c r="T864" s="97"/>
      <c r="U864" s="98"/>
      <c r="V864" s="100"/>
      <c r="W864" s="98"/>
      <c r="X864" s="96"/>
      <c r="Y864" s="98"/>
      <c r="Z864" s="96"/>
      <c r="AA864" s="97"/>
      <c r="AB864" s="96"/>
      <c r="AC864" s="98"/>
      <c r="AD864" s="98"/>
      <c r="AE864" s="98"/>
    </row>
    <row r="865" spans="2:31" x14ac:dyDescent="0.3">
      <c r="B865" s="96"/>
      <c r="C865" s="96"/>
      <c r="D865" s="96"/>
      <c r="E865" s="97"/>
      <c r="F865" s="96"/>
      <c r="G865" s="98"/>
      <c r="H865" s="96"/>
      <c r="I865" s="98"/>
      <c r="J865" s="97"/>
      <c r="K865" s="98"/>
      <c r="L865" s="100"/>
      <c r="M865" s="98"/>
      <c r="N865" s="96"/>
      <c r="O865" s="97"/>
      <c r="P865" s="70"/>
      <c r="Q865" s="97"/>
      <c r="R865" s="97"/>
      <c r="S865" s="98"/>
      <c r="T865" s="97"/>
      <c r="U865" s="98"/>
      <c r="V865" s="100"/>
      <c r="W865" s="98"/>
      <c r="X865" s="96"/>
      <c r="Y865" s="98"/>
      <c r="Z865" s="96"/>
      <c r="AA865" s="97"/>
      <c r="AB865" s="96"/>
      <c r="AC865" s="98"/>
      <c r="AD865" s="98"/>
      <c r="AE865" s="98"/>
    </row>
    <row r="866" spans="2:31" x14ac:dyDescent="0.3">
      <c r="B866" s="96"/>
      <c r="C866" s="96"/>
      <c r="D866" s="96"/>
      <c r="E866" s="97"/>
      <c r="F866" s="96"/>
      <c r="G866" s="98"/>
      <c r="H866" s="96"/>
      <c r="I866" s="98"/>
      <c r="J866" s="97"/>
      <c r="K866" s="98"/>
      <c r="L866" s="100"/>
      <c r="M866" s="98"/>
      <c r="N866" s="96"/>
      <c r="O866" s="97"/>
      <c r="P866" s="70"/>
      <c r="Q866" s="97"/>
      <c r="R866" s="97"/>
      <c r="S866" s="98"/>
      <c r="T866" s="97"/>
      <c r="U866" s="98"/>
      <c r="V866" s="100"/>
      <c r="W866" s="98"/>
      <c r="X866" s="96"/>
      <c r="Y866" s="98"/>
      <c r="Z866" s="96"/>
      <c r="AA866" s="97"/>
      <c r="AB866" s="96"/>
      <c r="AC866" s="98"/>
      <c r="AD866" s="98"/>
      <c r="AE866" s="98"/>
    </row>
    <row r="867" spans="2:31" x14ac:dyDescent="0.3">
      <c r="B867" s="96"/>
      <c r="C867" s="96"/>
      <c r="D867" s="96"/>
      <c r="E867" s="97"/>
      <c r="F867" s="96"/>
      <c r="G867" s="98"/>
      <c r="H867" s="96"/>
      <c r="I867" s="98"/>
      <c r="J867" s="97"/>
      <c r="K867" s="98"/>
      <c r="L867" s="100"/>
      <c r="M867" s="98"/>
      <c r="N867" s="96"/>
      <c r="O867" s="97"/>
      <c r="P867" s="70"/>
      <c r="Q867" s="97"/>
      <c r="R867" s="97"/>
      <c r="S867" s="98"/>
      <c r="T867" s="97"/>
      <c r="U867" s="98"/>
      <c r="V867" s="100"/>
      <c r="W867" s="98"/>
      <c r="X867" s="96"/>
      <c r="Y867" s="98"/>
      <c r="Z867" s="96"/>
      <c r="AA867" s="97"/>
      <c r="AB867" s="96"/>
      <c r="AC867" s="98"/>
      <c r="AD867" s="98"/>
      <c r="AE867" s="98"/>
    </row>
    <row r="868" spans="2:31" x14ac:dyDescent="0.3">
      <c r="B868" s="96"/>
      <c r="C868" s="96"/>
      <c r="D868" s="96"/>
      <c r="E868" s="97"/>
      <c r="F868" s="96"/>
      <c r="G868" s="98"/>
      <c r="H868" s="96"/>
      <c r="I868" s="98"/>
      <c r="J868" s="97"/>
      <c r="K868" s="98"/>
      <c r="L868" s="100"/>
      <c r="M868" s="98"/>
      <c r="N868" s="96"/>
      <c r="O868" s="97"/>
      <c r="P868" s="70"/>
      <c r="Q868" s="97"/>
      <c r="R868" s="97"/>
      <c r="S868" s="98"/>
      <c r="T868" s="97"/>
      <c r="U868" s="98"/>
      <c r="V868" s="100"/>
      <c r="W868" s="98"/>
      <c r="X868" s="96"/>
      <c r="Y868" s="98"/>
      <c r="Z868" s="96"/>
      <c r="AA868" s="97"/>
      <c r="AB868" s="96"/>
      <c r="AC868" s="98"/>
      <c r="AD868" s="98"/>
      <c r="AE868" s="98"/>
    </row>
    <row r="869" spans="2:31" x14ac:dyDescent="0.3">
      <c r="B869" s="96"/>
      <c r="C869" s="96"/>
      <c r="D869" s="96"/>
      <c r="E869" s="97"/>
      <c r="F869" s="96"/>
      <c r="G869" s="98"/>
      <c r="H869" s="96"/>
      <c r="I869" s="98"/>
      <c r="J869" s="97"/>
      <c r="K869" s="98"/>
      <c r="L869" s="100"/>
      <c r="M869" s="98"/>
      <c r="N869" s="96"/>
      <c r="O869" s="97"/>
      <c r="P869" s="70"/>
      <c r="Q869" s="97"/>
      <c r="R869" s="97"/>
      <c r="S869" s="98"/>
      <c r="T869" s="97"/>
      <c r="U869" s="98"/>
      <c r="V869" s="100"/>
      <c r="W869" s="98"/>
      <c r="X869" s="96"/>
      <c r="Y869" s="98"/>
      <c r="Z869" s="96"/>
      <c r="AA869" s="97"/>
      <c r="AB869" s="96"/>
      <c r="AC869" s="98"/>
      <c r="AD869" s="98"/>
      <c r="AE869" s="98"/>
    </row>
    <row r="870" spans="2:31" x14ac:dyDescent="0.3">
      <c r="B870" s="96"/>
      <c r="C870" s="96"/>
      <c r="D870" s="96"/>
      <c r="E870" s="97"/>
      <c r="F870" s="96"/>
      <c r="G870" s="98"/>
      <c r="H870" s="96"/>
      <c r="I870" s="98"/>
      <c r="J870" s="97"/>
      <c r="K870" s="98"/>
      <c r="L870" s="100"/>
      <c r="M870" s="98"/>
      <c r="N870" s="96"/>
      <c r="O870" s="97"/>
      <c r="P870" s="70"/>
      <c r="Q870" s="97"/>
      <c r="R870" s="97"/>
      <c r="S870" s="98"/>
      <c r="T870" s="97"/>
      <c r="U870" s="98"/>
      <c r="V870" s="100"/>
      <c r="W870" s="98"/>
      <c r="X870" s="96"/>
      <c r="Y870" s="98"/>
      <c r="Z870" s="96"/>
      <c r="AA870" s="97"/>
      <c r="AB870" s="96"/>
      <c r="AC870" s="98"/>
      <c r="AD870" s="98"/>
      <c r="AE870" s="98"/>
    </row>
    <row r="871" spans="2:31" x14ac:dyDescent="0.3">
      <c r="B871" s="96"/>
      <c r="C871" s="96"/>
      <c r="D871" s="96"/>
      <c r="E871" s="97"/>
      <c r="F871" s="96"/>
      <c r="G871" s="98"/>
      <c r="H871" s="96"/>
      <c r="I871" s="98"/>
      <c r="J871" s="97"/>
      <c r="K871" s="98"/>
      <c r="L871" s="100"/>
      <c r="M871" s="98"/>
      <c r="N871" s="96"/>
      <c r="O871" s="97"/>
      <c r="P871" s="70"/>
      <c r="Q871" s="97"/>
      <c r="R871" s="97"/>
      <c r="S871" s="98"/>
      <c r="T871" s="97"/>
      <c r="U871" s="98"/>
      <c r="V871" s="100"/>
      <c r="W871" s="98"/>
      <c r="X871" s="96"/>
      <c r="Y871" s="98"/>
      <c r="Z871" s="96"/>
      <c r="AA871" s="97"/>
      <c r="AB871" s="96"/>
      <c r="AC871" s="98"/>
      <c r="AD871" s="98"/>
      <c r="AE871" s="98"/>
    </row>
    <row r="872" spans="2:31" x14ac:dyDescent="0.3">
      <c r="B872" s="96"/>
      <c r="C872" s="96"/>
      <c r="D872" s="96"/>
      <c r="E872" s="97"/>
      <c r="F872" s="96"/>
      <c r="G872" s="98"/>
      <c r="H872" s="96"/>
      <c r="I872" s="98"/>
      <c r="J872" s="97"/>
      <c r="K872" s="98"/>
      <c r="L872" s="100"/>
      <c r="M872" s="98"/>
      <c r="N872" s="96"/>
      <c r="O872" s="97"/>
      <c r="P872" s="70"/>
      <c r="Q872" s="97"/>
      <c r="R872" s="97"/>
      <c r="S872" s="98"/>
      <c r="T872" s="97"/>
      <c r="U872" s="98"/>
      <c r="V872" s="100"/>
      <c r="W872" s="98"/>
      <c r="X872" s="96"/>
      <c r="Y872" s="98"/>
      <c r="Z872" s="96"/>
      <c r="AA872" s="97"/>
      <c r="AB872" s="96"/>
      <c r="AC872" s="98"/>
      <c r="AD872" s="98"/>
      <c r="AE872" s="98"/>
    </row>
    <row r="873" spans="2:31" x14ac:dyDescent="0.3">
      <c r="B873" s="96"/>
      <c r="C873" s="96"/>
      <c r="D873" s="96"/>
      <c r="E873" s="97"/>
      <c r="F873" s="96"/>
      <c r="G873" s="98"/>
      <c r="H873" s="96"/>
      <c r="I873" s="98"/>
      <c r="J873" s="97"/>
      <c r="K873" s="98"/>
      <c r="L873" s="100"/>
      <c r="M873" s="98"/>
      <c r="N873" s="96"/>
      <c r="O873" s="97"/>
      <c r="P873" s="70"/>
      <c r="Q873" s="97"/>
      <c r="R873" s="97"/>
      <c r="S873" s="98"/>
      <c r="T873" s="97"/>
      <c r="U873" s="98"/>
      <c r="V873" s="100"/>
      <c r="W873" s="98"/>
      <c r="X873" s="96"/>
      <c r="Y873" s="98"/>
      <c r="Z873" s="96"/>
      <c r="AA873" s="97"/>
      <c r="AB873" s="96"/>
      <c r="AC873" s="98"/>
      <c r="AD873" s="98"/>
      <c r="AE873" s="98"/>
    </row>
    <row r="874" spans="2:31" x14ac:dyDescent="0.3">
      <c r="B874" s="96"/>
      <c r="C874" s="96"/>
      <c r="D874" s="96"/>
      <c r="E874" s="97"/>
      <c r="F874" s="96"/>
      <c r="G874" s="98"/>
      <c r="H874" s="96"/>
      <c r="I874" s="98"/>
      <c r="J874" s="97"/>
      <c r="K874" s="98"/>
      <c r="L874" s="100"/>
      <c r="M874" s="98"/>
      <c r="N874" s="96"/>
      <c r="O874" s="97"/>
      <c r="P874" s="70"/>
      <c r="Q874" s="97"/>
      <c r="R874" s="97"/>
      <c r="S874" s="98"/>
      <c r="T874" s="97"/>
      <c r="U874" s="98"/>
      <c r="V874" s="100"/>
      <c r="W874" s="98"/>
      <c r="X874" s="96"/>
      <c r="Y874" s="98"/>
      <c r="Z874" s="96"/>
      <c r="AA874" s="97"/>
      <c r="AB874" s="96"/>
      <c r="AC874" s="98"/>
      <c r="AD874" s="98"/>
      <c r="AE874" s="98"/>
    </row>
    <row r="875" spans="2:31" x14ac:dyDescent="0.3">
      <c r="B875" s="96"/>
      <c r="C875" s="96"/>
      <c r="D875" s="96"/>
      <c r="E875" s="97"/>
      <c r="F875" s="96"/>
      <c r="G875" s="98"/>
      <c r="H875" s="96"/>
      <c r="I875" s="98"/>
      <c r="J875" s="97"/>
      <c r="K875" s="98"/>
      <c r="L875" s="100"/>
      <c r="M875" s="98"/>
      <c r="N875" s="96"/>
      <c r="O875" s="97"/>
      <c r="P875" s="70"/>
      <c r="Q875" s="97"/>
      <c r="R875" s="97"/>
      <c r="S875" s="98"/>
      <c r="T875" s="97"/>
      <c r="U875" s="98"/>
      <c r="V875" s="100"/>
      <c r="W875" s="98"/>
      <c r="X875" s="96"/>
      <c r="Y875" s="98"/>
      <c r="Z875" s="96"/>
      <c r="AA875" s="97"/>
      <c r="AB875" s="96"/>
      <c r="AC875" s="98"/>
      <c r="AD875" s="98"/>
      <c r="AE875" s="98"/>
    </row>
    <row r="876" spans="2:31" x14ac:dyDescent="0.3">
      <c r="B876" s="96"/>
      <c r="C876" s="96"/>
      <c r="D876" s="96"/>
      <c r="E876" s="97"/>
      <c r="F876" s="96"/>
      <c r="G876" s="98"/>
      <c r="H876" s="96"/>
      <c r="I876" s="98"/>
      <c r="J876" s="97"/>
      <c r="K876" s="98"/>
      <c r="L876" s="100"/>
      <c r="M876" s="98"/>
      <c r="N876" s="96"/>
      <c r="O876" s="97"/>
      <c r="P876" s="70"/>
      <c r="Q876" s="97"/>
      <c r="R876" s="97"/>
      <c r="S876" s="98"/>
      <c r="T876" s="97"/>
      <c r="U876" s="98"/>
      <c r="V876" s="100"/>
      <c r="W876" s="98"/>
      <c r="X876" s="96"/>
      <c r="Y876" s="98"/>
      <c r="Z876" s="96"/>
      <c r="AA876" s="97"/>
      <c r="AB876" s="96"/>
      <c r="AC876" s="98"/>
      <c r="AD876" s="98"/>
      <c r="AE876" s="98"/>
    </row>
    <row r="877" spans="2:31" x14ac:dyDescent="0.3">
      <c r="B877" s="96"/>
      <c r="C877" s="96"/>
      <c r="D877" s="96"/>
      <c r="E877" s="97"/>
      <c r="F877" s="96"/>
      <c r="G877" s="98"/>
      <c r="H877" s="96"/>
      <c r="I877" s="98"/>
      <c r="J877" s="97"/>
      <c r="K877" s="98"/>
      <c r="L877" s="100"/>
      <c r="M877" s="98"/>
      <c r="N877" s="96"/>
      <c r="O877" s="97"/>
      <c r="P877" s="70"/>
      <c r="Q877" s="97"/>
      <c r="R877" s="97"/>
      <c r="S877" s="98"/>
      <c r="T877" s="97"/>
      <c r="U877" s="98"/>
      <c r="V877" s="100"/>
      <c r="W877" s="98"/>
      <c r="X877" s="96"/>
      <c r="Y877" s="98"/>
      <c r="Z877" s="96"/>
      <c r="AA877" s="97"/>
      <c r="AB877" s="96"/>
      <c r="AC877" s="98"/>
      <c r="AD877" s="98"/>
      <c r="AE877" s="98"/>
    </row>
    <row r="878" spans="2:31" x14ac:dyDescent="0.3">
      <c r="B878" s="96"/>
      <c r="C878" s="96"/>
      <c r="D878" s="96"/>
      <c r="E878" s="97"/>
      <c r="F878" s="96"/>
      <c r="G878" s="98"/>
      <c r="H878" s="96"/>
      <c r="I878" s="98"/>
      <c r="J878" s="97"/>
      <c r="K878" s="98"/>
      <c r="L878" s="100"/>
      <c r="M878" s="98"/>
      <c r="N878" s="96"/>
      <c r="O878" s="97"/>
      <c r="P878" s="70"/>
      <c r="Q878" s="97"/>
      <c r="R878" s="97"/>
      <c r="S878" s="98"/>
      <c r="T878" s="97"/>
      <c r="U878" s="98"/>
      <c r="V878" s="100"/>
      <c r="W878" s="98"/>
      <c r="X878" s="96"/>
      <c r="Y878" s="98"/>
      <c r="Z878" s="96"/>
      <c r="AA878" s="97"/>
      <c r="AB878" s="96"/>
      <c r="AC878" s="98"/>
      <c r="AD878" s="98"/>
      <c r="AE878" s="98"/>
    </row>
    <row r="879" spans="2:31" x14ac:dyDescent="0.3">
      <c r="B879" s="96"/>
      <c r="C879" s="96"/>
      <c r="D879" s="96"/>
      <c r="E879" s="97"/>
      <c r="F879" s="96"/>
      <c r="G879" s="98"/>
      <c r="H879" s="96"/>
      <c r="I879" s="98"/>
      <c r="J879" s="97"/>
      <c r="K879" s="98"/>
      <c r="L879" s="100"/>
      <c r="M879" s="98"/>
      <c r="N879" s="96"/>
      <c r="O879" s="97"/>
      <c r="P879" s="70"/>
      <c r="Q879" s="97"/>
      <c r="R879" s="97"/>
      <c r="S879" s="98"/>
      <c r="T879" s="97"/>
      <c r="U879" s="98"/>
      <c r="V879" s="100"/>
      <c r="W879" s="98"/>
      <c r="X879" s="96"/>
      <c r="Y879" s="98"/>
      <c r="Z879" s="96"/>
      <c r="AA879" s="97"/>
      <c r="AB879" s="96"/>
      <c r="AC879" s="98"/>
      <c r="AD879" s="98"/>
      <c r="AE879" s="98"/>
    </row>
    <row r="880" spans="2:31" x14ac:dyDescent="0.3">
      <c r="B880" s="96"/>
      <c r="C880" s="96"/>
      <c r="D880" s="96"/>
      <c r="E880" s="97"/>
      <c r="F880" s="96"/>
      <c r="G880" s="98"/>
      <c r="H880" s="96"/>
      <c r="I880" s="98"/>
      <c r="J880" s="97"/>
      <c r="K880" s="98"/>
      <c r="L880" s="100"/>
      <c r="M880" s="98"/>
      <c r="N880" s="96"/>
      <c r="O880" s="97"/>
      <c r="P880" s="70"/>
      <c r="Q880" s="97"/>
      <c r="R880" s="97"/>
      <c r="S880" s="98"/>
      <c r="T880" s="97"/>
      <c r="U880" s="98"/>
      <c r="V880" s="100"/>
      <c r="W880" s="98"/>
      <c r="X880" s="96"/>
      <c r="Y880" s="98"/>
      <c r="Z880" s="96"/>
      <c r="AA880" s="97"/>
      <c r="AB880" s="96"/>
      <c r="AC880" s="98"/>
      <c r="AD880" s="98"/>
      <c r="AE880" s="98"/>
    </row>
    <row r="881" spans="2:31" x14ac:dyDescent="0.3">
      <c r="B881" s="96"/>
      <c r="C881" s="96"/>
      <c r="D881" s="96"/>
      <c r="E881" s="97"/>
      <c r="F881" s="96"/>
      <c r="G881" s="98"/>
      <c r="H881" s="96"/>
      <c r="I881" s="98"/>
      <c r="J881" s="97"/>
      <c r="K881" s="98"/>
      <c r="L881" s="100"/>
      <c r="M881" s="98"/>
      <c r="N881" s="96"/>
      <c r="O881" s="97"/>
      <c r="P881" s="70"/>
      <c r="Q881" s="97"/>
      <c r="R881" s="97"/>
      <c r="S881" s="98"/>
      <c r="T881" s="97"/>
      <c r="U881" s="98"/>
      <c r="V881" s="100"/>
      <c r="W881" s="98"/>
      <c r="X881" s="96"/>
      <c r="Y881" s="98"/>
      <c r="Z881" s="96"/>
      <c r="AA881" s="97"/>
      <c r="AB881" s="96"/>
      <c r="AC881" s="98"/>
      <c r="AD881" s="98"/>
      <c r="AE881" s="98"/>
    </row>
    <row r="882" spans="2:31" x14ac:dyDescent="0.3">
      <c r="B882" s="96"/>
      <c r="C882" s="96"/>
      <c r="D882" s="96"/>
      <c r="E882" s="97"/>
      <c r="F882" s="96"/>
      <c r="G882" s="98"/>
      <c r="H882" s="96"/>
      <c r="I882" s="98"/>
      <c r="J882" s="97"/>
      <c r="K882" s="98"/>
      <c r="L882" s="100"/>
      <c r="M882" s="98"/>
      <c r="N882" s="96"/>
      <c r="O882" s="97"/>
      <c r="P882" s="70"/>
      <c r="Q882" s="97"/>
      <c r="R882" s="97"/>
      <c r="S882" s="98"/>
      <c r="T882" s="97"/>
      <c r="U882" s="98"/>
      <c r="V882" s="100"/>
      <c r="W882" s="98"/>
      <c r="X882" s="96"/>
      <c r="Y882" s="98"/>
      <c r="Z882" s="96"/>
      <c r="AA882" s="97"/>
      <c r="AB882" s="96"/>
      <c r="AC882" s="98"/>
      <c r="AD882" s="98"/>
      <c r="AE882" s="98"/>
    </row>
    <row r="883" spans="2:31" x14ac:dyDescent="0.3">
      <c r="B883" s="96"/>
      <c r="C883" s="96"/>
      <c r="D883" s="96"/>
      <c r="E883" s="97"/>
      <c r="F883" s="96"/>
      <c r="G883" s="98"/>
      <c r="H883" s="96"/>
      <c r="I883" s="98"/>
      <c r="J883" s="97"/>
      <c r="K883" s="98"/>
      <c r="L883" s="100"/>
      <c r="M883" s="98"/>
      <c r="N883" s="96"/>
      <c r="O883" s="97"/>
      <c r="P883" s="70"/>
      <c r="Q883" s="97"/>
      <c r="R883" s="97"/>
      <c r="S883" s="98"/>
      <c r="T883" s="97"/>
      <c r="U883" s="98"/>
      <c r="V883" s="100"/>
      <c r="W883" s="98"/>
      <c r="X883" s="96"/>
      <c r="Y883" s="98"/>
      <c r="Z883" s="96"/>
      <c r="AA883" s="97"/>
      <c r="AB883" s="96"/>
      <c r="AC883" s="98"/>
      <c r="AD883" s="98"/>
      <c r="AE883" s="98"/>
    </row>
    <row r="884" spans="2:31" x14ac:dyDescent="0.3">
      <c r="B884" s="96"/>
      <c r="C884" s="96"/>
      <c r="D884" s="96"/>
      <c r="E884" s="97"/>
      <c r="F884" s="96"/>
      <c r="G884" s="98"/>
      <c r="H884" s="96"/>
      <c r="I884" s="98"/>
      <c r="J884" s="97"/>
      <c r="K884" s="98"/>
      <c r="L884" s="100"/>
      <c r="M884" s="98"/>
      <c r="N884" s="96"/>
      <c r="O884" s="97"/>
      <c r="P884" s="70"/>
      <c r="Q884" s="97"/>
      <c r="R884" s="97"/>
      <c r="S884" s="98"/>
      <c r="T884" s="97"/>
      <c r="U884" s="98"/>
      <c r="V884" s="100"/>
      <c r="W884" s="98"/>
      <c r="X884" s="96"/>
      <c r="Y884" s="98"/>
      <c r="Z884" s="96"/>
      <c r="AA884" s="97"/>
      <c r="AB884" s="96"/>
      <c r="AC884" s="98"/>
      <c r="AD884" s="98"/>
      <c r="AE884" s="98"/>
    </row>
    <row r="885" spans="2:31" x14ac:dyDescent="0.3">
      <c r="B885" s="96"/>
      <c r="C885" s="96"/>
      <c r="D885" s="96"/>
      <c r="E885" s="97"/>
      <c r="F885" s="96"/>
      <c r="G885" s="98"/>
      <c r="H885" s="96"/>
      <c r="I885" s="98"/>
      <c r="J885" s="97"/>
      <c r="K885" s="98"/>
      <c r="L885" s="100"/>
      <c r="M885" s="98"/>
      <c r="N885" s="96"/>
      <c r="O885" s="97"/>
      <c r="P885" s="70"/>
      <c r="Q885" s="97"/>
      <c r="R885" s="97"/>
      <c r="S885" s="98"/>
      <c r="T885" s="97"/>
      <c r="U885" s="98"/>
      <c r="V885" s="100"/>
      <c r="W885" s="98"/>
      <c r="X885" s="96"/>
      <c r="Y885" s="98"/>
      <c r="Z885" s="96"/>
      <c r="AA885" s="97"/>
      <c r="AB885" s="96"/>
      <c r="AC885" s="98"/>
      <c r="AD885" s="98"/>
      <c r="AE885" s="98"/>
    </row>
    <row r="886" spans="2:31" x14ac:dyDescent="0.3">
      <c r="B886" s="96"/>
      <c r="C886" s="96"/>
      <c r="D886" s="96"/>
      <c r="E886" s="97"/>
      <c r="F886" s="96"/>
      <c r="G886" s="98"/>
      <c r="H886" s="96"/>
      <c r="I886" s="98"/>
      <c r="J886" s="97"/>
      <c r="K886" s="98"/>
      <c r="L886" s="100"/>
      <c r="M886" s="98"/>
      <c r="N886" s="96"/>
      <c r="O886" s="97"/>
      <c r="P886" s="70"/>
      <c r="Q886" s="97"/>
      <c r="R886" s="97"/>
      <c r="S886" s="98"/>
      <c r="T886" s="97"/>
      <c r="U886" s="98"/>
      <c r="V886" s="100"/>
      <c r="W886" s="98"/>
      <c r="X886" s="96"/>
      <c r="Y886" s="98"/>
      <c r="Z886" s="96"/>
      <c r="AA886" s="97"/>
      <c r="AB886" s="96"/>
      <c r="AC886" s="98"/>
      <c r="AD886" s="98"/>
      <c r="AE886" s="98"/>
    </row>
    <row r="887" spans="2:31" x14ac:dyDescent="0.3">
      <c r="B887" s="96"/>
      <c r="C887" s="96"/>
      <c r="D887" s="96"/>
      <c r="E887" s="97"/>
      <c r="F887" s="96"/>
      <c r="G887" s="98"/>
      <c r="H887" s="96"/>
      <c r="I887" s="98"/>
      <c r="J887" s="97"/>
      <c r="K887" s="98"/>
      <c r="L887" s="100"/>
      <c r="M887" s="98"/>
      <c r="N887" s="96"/>
      <c r="O887" s="97"/>
      <c r="P887" s="70"/>
      <c r="Q887" s="97"/>
      <c r="R887" s="97"/>
      <c r="S887" s="98"/>
      <c r="T887" s="97"/>
      <c r="U887" s="98"/>
      <c r="V887" s="100"/>
      <c r="W887" s="98"/>
      <c r="X887" s="96"/>
      <c r="Y887" s="98"/>
      <c r="Z887" s="96"/>
      <c r="AA887" s="97"/>
      <c r="AB887" s="96"/>
      <c r="AC887" s="98"/>
      <c r="AD887" s="98"/>
      <c r="AE887" s="98"/>
    </row>
    <row r="888" spans="2:31" x14ac:dyDescent="0.3">
      <c r="B888" s="96"/>
      <c r="C888" s="96"/>
      <c r="D888" s="96"/>
      <c r="E888" s="97"/>
      <c r="F888" s="96"/>
      <c r="G888" s="98"/>
      <c r="H888" s="96"/>
      <c r="I888" s="98"/>
      <c r="J888" s="97"/>
      <c r="K888" s="98"/>
      <c r="L888" s="100"/>
      <c r="M888" s="98"/>
      <c r="N888" s="96"/>
      <c r="O888" s="97"/>
      <c r="P888" s="70"/>
      <c r="Q888" s="97"/>
      <c r="R888" s="97"/>
      <c r="S888" s="98"/>
      <c r="T888" s="97"/>
      <c r="U888" s="98"/>
      <c r="V888" s="100"/>
      <c r="W888" s="98"/>
      <c r="X888" s="96"/>
      <c r="Y888" s="98"/>
      <c r="Z888" s="96"/>
      <c r="AA888" s="97"/>
      <c r="AB888" s="96"/>
      <c r="AC888" s="98"/>
      <c r="AD888" s="98"/>
      <c r="AE888" s="98"/>
    </row>
    <row r="889" spans="2:31" x14ac:dyDescent="0.3">
      <c r="B889" s="96"/>
      <c r="C889" s="96"/>
      <c r="D889" s="96"/>
      <c r="E889" s="97"/>
      <c r="F889" s="96"/>
      <c r="G889" s="98"/>
      <c r="H889" s="96"/>
      <c r="I889" s="98"/>
      <c r="J889" s="97"/>
      <c r="K889" s="98"/>
      <c r="L889" s="100"/>
      <c r="M889" s="98"/>
      <c r="N889" s="96"/>
      <c r="O889" s="97"/>
      <c r="P889" s="70"/>
      <c r="Q889" s="97"/>
      <c r="R889" s="97"/>
      <c r="S889" s="98"/>
      <c r="T889" s="97"/>
      <c r="U889" s="98"/>
      <c r="V889" s="100"/>
      <c r="W889" s="98"/>
      <c r="X889" s="96"/>
      <c r="Y889" s="98"/>
      <c r="Z889" s="96"/>
      <c r="AA889" s="97"/>
      <c r="AB889" s="96"/>
      <c r="AC889" s="98"/>
      <c r="AD889" s="98"/>
      <c r="AE889" s="98"/>
    </row>
    <row r="890" spans="2:31" x14ac:dyDescent="0.3">
      <c r="B890" s="96"/>
      <c r="C890" s="96"/>
      <c r="D890" s="96"/>
      <c r="E890" s="97"/>
      <c r="F890" s="96"/>
      <c r="G890" s="98"/>
      <c r="H890" s="96"/>
      <c r="I890" s="98"/>
      <c r="J890" s="97"/>
      <c r="K890" s="98"/>
      <c r="L890" s="100"/>
      <c r="M890" s="98"/>
      <c r="N890" s="96"/>
      <c r="O890" s="97"/>
      <c r="P890" s="70"/>
      <c r="Q890" s="97"/>
      <c r="R890" s="97"/>
      <c r="S890" s="98"/>
      <c r="T890" s="97"/>
      <c r="U890" s="98"/>
      <c r="V890" s="100"/>
      <c r="W890" s="98"/>
      <c r="X890" s="96"/>
      <c r="Y890" s="98"/>
      <c r="Z890" s="96"/>
      <c r="AA890" s="97"/>
      <c r="AB890" s="96"/>
      <c r="AC890" s="98"/>
      <c r="AD890" s="98"/>
      <c r="AE890" s="98"/>
    </row>
    <row r="891" spans="2:31" x14ac:dyDescent="0.3">
      <c r="B891" s="96"/>
      <c r="C891" s="96"/>
      <c r="D891" s="96"/>
      <c r="E891" s="97"/>
      <c r="F891" s="96"/>
      <c r="G891" s="98"/>
      <c r="H891" s="96"/>
      <c r="I891" s="98"/>
      <c r="J891" s="97"/>
      <c r="K891" s="98"/>
      <c r="L891" s="100"/>
      <c r="M891" s="98"/>
      <c r="N891" s="96"/>
      <c r="O891" s="97"/>
      <c r="P891" s="70"/>
      <c r="Q891" s="97"/>
      <c r="R891" s="97"/>
      <c r="S891" s="98"/>
      <c r="T891" s="97"/>
      <c r="U891" s="98"/>
      <c r="V891" s="100"/>
      <c r="W891" s="98"/>
      <c r="X891" s="96"/>
      <c r="Y891" s="98"/>
      <c r="Z891" s="96"/>
      <c r="AA891" s="97"/>
      <c r="AB891" s="96"/>
      <c r="AC891" s="98"/>
      <c r="AD891" s="98"/>
      <c r="AE891" s="98"/>
    </row>
    <row r="892" spans="2:31" x14ac:dyDescent="0.3">
      <c r="B892" s="96"/>
      <c r="C892" s="96"/>
      <c r="D892" s="96"/>
      <c r="E892" s="97"/>
      <c r="F892" s="96"/>
      <c r="G892" s="98"/>
      <c r="H892" s="96"/>
      <c r="I892" s="98"/>
      <c r="J892" s="97"/>
      <c r="K892" s="98"/>
      <c r="L892" s="100"/>
      <c r="M892" s="98"/>
      <c r="N892" s="96"/>
      <c r="O892" s="97"/>
      <c r="P892" s="70"/>
      <c r="Q892" s="97"/>
      <c r="R892" s="97"/>
      <c r="S892" s="98"/>
      <c r="T892" s="97"/>
      <c r="U892" s="98"/>
      <c r="V892" s="100"/>
      <c r="W892" s="98"/>
      <c r="X892" s="96"/>
      <c r="Y892" s="98"/>
      <c r="Z892" s="96"/>
      <c r="AA892" s="97"/>
      <c r="AB892" s="96"/>
      <c r="AC892" s="98"/>
      <c r="AD892" s="98"/>
      <c r="AE892" s="98"/>
    </row>
    <row r="893" spans="2:31" x14ac:dyDescent="0.3">
      <c r="B893" s="96"/>
      <c r="C893" s="96"/>
      <c r="D893" s="96"/>
      <c r="E893" s="97"/>
      <c r="F893" s="96"/>
      <c r="G893" s="98"/>
      <c r="H893" s="96"/>
      <c r="I893" s="98"/>
      <c r="J893" s="97"/>
      <c r="K893" s="98"/>
      <c r="L893" s="100"/>
      <c r="M893" s="98"/>
      <c r="N893" s="96"/>
      <c r="O893" s="97"/>
      <c r="P893" s="70"/>
      <c r="Q893" s="97"/>
      <c r="R893" s="97"/>
      <c r="S893" s="98"/>
      <c r="T893" s="97"/>
      <c r="U893" s="98"/>
      <c r="V893" s="100"/>
      <c r="W893" s="98"/>
      <c r="X893" s="96"/>
      <c r="Y893" s="98"/>
      <c r="Z893" s="96"/>
      <c r="AA893" s="97"/>
      <c r="AB893" s="96"/>
      <c r="AC893" s="98"/>
      <c r="AD893" s="98"/>
      <c r="AE893" s="98"/>
    </row>
    <row r="894" spans="2:31" x14ac:dyDescent="0.3">
      <c r="B894" s="96"/>
      <c r="C894" s="96"/>
      <c r="D894" s="96"/>
      <c r="E894" s="97"/>
      <c r="F894" s="96"/>
      <c r="G894" s="98"/>
      <c r="H894" s="96"/>
      <c r="I894" s="98"/>
      <c r="J894" s="97"/>
      <c r="K894" s="98"/>
      <c r="L894" s="100"/>
      <c r="M894" s="98"/>
      <c r="N894" s="96"/>
      <c r="O894" s="97"/>
      <c r="P894" s="70"/>
      <c r="Q894" s="97"/>
      <c r="R894" s="97"/>
      <c r="S894" s="98"/>
      <c r="T894" s="97"/>
      <c r="U894" s="98"/>
      <c r="V894" s="100"/>
      <c r="W894" s="98"/>
      <c r="X894" s="96"/>
      <c r="Y894" s="98"/>
      <c r="Z894" s="96"/>
      <c r="AA894" s="97"/>
      <c r="AB894" s="96"/>
      <c r="AC894" s="98"/>
      <c r="AD894" s="98"/>
      <c r="AE894" s="98"/>
    </row>
    <row r="895" spans="2:31" x14ac:dyDescent="0.3">
      <c r="B895" s="96"/>
      <c r="C895" s="96"/>
      <c r="D895" s="96"/>
      <c r="E895" s="97"/>
      <c r="F895" s="96"/>
      <c r="G895" s="98"/>
      <c r="H895" s="96"/>
      <c r="I895" s="98"/>
      <c r="J895" s="97"/>
      <c r="K895" s="98"/>
      <c r="L895" s="100"/>
      <c r="M895" s="98"/>
      <c r="N895" s="96"/>
      <c r="O895" s="97"/>
      <c r="P895" s="70"/>
      <c r="Q895" s="97"/>
      <c r="R895" s="97"/>
      <c r="S895" s="98"/>
      <c r="T895" s="97"/>
      <c r="U895" s="98"/>
      <c r="V895" s="100"/>
      <c r="W895" s="98"/>
      <c r="X895" s="96"/>
      <c r="Y895" s="98"/>
      <c r="Z895" s="96"/>
      <c r="AA895" s="97"/>
      <c r="AB895" s="96"/>
      <c r="AC895" s="98"/>
      <c r="AD895" s="98"/>
      <c r="AE895" s="98"/>
    </row>
    <row r="896" spans="2:31" x14ac:dyDescent="0.3">
      <c r="B896" s="96"/>
      <c r="C896" s="96"/>
      <c r="D896" s="96"/>
      <c r="E896" s="97"/>
      <c r="F896" s="96"/>
      <c r="G896" s="98"/>
      <c r="H896" s="96"/>
      <c r="I896" s="98"/>
      <c r="J896" s="97"/>
      <c r="K896" s="98"/>
      <c r="L896" s="100"/>
      <c r="M896" s="98"/>
      <c r="N896" s="96"/>
      <c r="O896" s="97"/>
      <c r="P896" s="70"/>
      <c r="Q896" s="97"/>
      <c r="R896" s="97"/>
      <c r="S896" s="98"/>
      <c r="T896" s="97"/>
      <c r="U896" s="98"/>
      <c r="V896" s="100"/>
      <c r="W896" s="98"/>
      <c r="X896" s="96"/>
      <c r="Y896" s="98"/>
      <c r="Z896" s="96"/>
      <c r="AA896" s="97"/>
      <c r="AB896" s="96"/>
      <c r="AC896" s="98"/>
      <c r="AD896" s="98"/>
      <c r="AE896" s="98"/>
    </row>
    <row r="897" spans="2:31" x14ac:dyDescent="0.3">
      <c r="B897" s="96"/>
      <c r="C897" s="96"/>
      <c r="D897" s="96"/>
      <c r="E897" s="97"/>
      <c r="F897" s="96"/>
      <c r="G897" s="98"/>
      <c r="H897" s="96"/>
      <c r="I897" s="98"/>
      <c r="J897" s="97"/>
      <c r="K897" s="98"/>
      <c r="L897" s="100"/>
      <c r="M897" s="98"/>
      <c r="N897" s="96"/>
      <c r="O897" s="97"/>
      <c r="P897" s="70"/>
      <c r="Q897" s="97"/>
      <c r="R897" s="97"/>
      <c r="S897" s="98"/>
      <c r="T897" s="97"/>
      <c r="U897" s="98"/>
      <c r="V897" s="100"/>
      <c r="W897" s="98"/>
      <c r="X897" s="96"/>
      <c r="Y897" s="98"/>
      <c r="Z897" s="96"/>
      <c r="AA897" s="97"/>
      <c r="AB897" s="96"/>
      <c r="AC897" s="98"/>
      <c r="AD897" s="98"/>
      <c r="AE897" s="98"/>
    </row>
    <row r="898" spans="2:31" x14ac:dyDescent="0.3">
      <c r="B898" s="96"/>
      <c r="C898" s="96"/>
      <c r="D898" s="96"/>
      <c r="E898" s="97"/>
      <c r="F898" s="96"/>
      <c r="G898" s="98"/>
      <c r="H898" s="96"/>
      <c r="I898" s="98"/>
      <c r="J898" s="97"/>
      <c r="K898" s="98"/>
      <c r="L898" s="100"/>
      <c r="M898" s="98"/>
      <c r="N898" s="96"/>
      <c r="O898" s="97"/>
      <c r="P898" s="70"/>
      <c r="Q898" s="97"/>
      <c r="R898" s="97"/>
      <c r="S898" s="98"/>
      <c r="T898" s="97"/>
      <c r="U898" s="98"/>
      <c r="V898" s="100"/>
      <c r="W898" s="98"/>
      <c r="X898" s="96"/>
      <c r="Y898" s="98"/>
      <c r="Z898" s="96"/>
      <c r="AA898" s="97"/>
      <c r="AB898" s="96"/>
      <c r="AC898" s="98"/>
      <c r="AD898" s="98"/>
      <c r="AE898" s="98"/>
    </row>
    <row r="899" spans="2:31" x14ac:dyDescent="0.3">
      <c r="B899" s="96"/>
      <c r="C899" s="96"/>
      <c r="D899" s="96"/>
      <c r="E899" s="97"/>
      <c r="F899" s="96"/>
      <c r="G899" s="98"/>
      <c r="H899" s="96"/>
      <c r="I899" s="98"/>
      <c r="J899" s="97"/>
      <c r="K899" s="98"/>
      <c r="L899" s="100"/>
      <c r="M899" s="98"/>
      <c r="N899" s="96"/>
      <c r="O899" s="97"/>
      <c r="P899" s="70"/>
      <c r="Q899" s="97"/>
      <c r="R899" s="97"/>
      <c r="S899" s="98"/>
      <c r="T899" s="97"/>
      <c r="U899" s="98"/>
      <c r="V899" s="100"/>
      <c r="W899" s="98"/>
      <c r="X899" s="96"/>
      <c r="Y899" s="98"/>
      <c r="Z899" s="96"/>
      <c r="AA899" s="97"/>
      <c r="AB899" s="96"/>
      <c r="AC899" s="98"/>
      <c r="AD899" s="98"/>
      <c r="AE899" s="98"/>
    </row>
    <row r="900" spans="2:31" x14ac:dyDescent="0.3">
      <c r="B900" s="96"/>
      <c r="C900" s="96"/>
      <c r="D900" s="96"/>
      <c r="E900" s="97"/>
      <c r="F900" s="96"/>
      <c r="G900" s="98"/>
      <c r="H900" s="96"/>
      <c r="I900" s="98"/>
      <c r="J900" s="97"/>
      <c r="K900" s="98"/>
      <c r="L900" s="100"/>
      <c r="M900" s="98"/>
      <c r="N900" s="96"/>
      <c r="O900" s="97"/>
      <c r="P900" s="70"/>
      <c r="Q900" s="97"/>
      <c r="R900" s="97"/>
      <c r="S900" s="98"/>
      <c r="T900" s="97"/>
      <c r="U900" s="98"/>
      <c r="V900" s="100"/>
      <c r="W900" s="98"/>
      <c r="X900" s="96"/>
      <c r="Y900" s="98"/>
      <c r="Z900" s="96"/>
      <c r="AA900" s="97"/>
      <c r="AB900" s="96"/>
      <c r="AC900" s="98"/>
      <c r="AD900" s="98"/>
      <c r="AE900" s="98"/>
    </row>
    <row r="901" spans="2:31" x14ac:dyDescent="0.3">
      <c r="B901" s="96"/>
      <c r="C901" s="96"/>
      <c r="D901" s="96"/>
      <c r="E901" s="97"/>
      <c r="F901" s="96"/>
      <c r="G901" s="98"/>
      <c r="H901" s="96"/>
      <c r="I901" s="98"/>
      <c r="J901" s="97"/>
      <c r="K901" s="98"/>
      <c r="L901" s="100"/>
      <c r="M901" s="98"/>
      <c r="N901" s="96"/>
      <c r="O901" s="97"/>
      <c r="P901" s="70"/>
      <c r="Q901" s="97"/>
      <c r="R901" s="97"/>
      <c r="S901" s="98"/>
      <c r="T901" s="97"/>
      <c r="U901" s="98"/>
      <c r="V901" s="100"/>
      <c r="W901" s="98"/>
      <c r="X901" s="96"/>
      <c r="Y901" s="98"/>
      <c r="Z901" s="96"/>
      <c r="AA901" s="97"/>
      <c r="AB901" s="96"/>
      <c r="AC901" s="98"/>
      <c r="AD901" s="98"/>
      <c r="AE901" s="98"/>
    </row>
    <row r="902" spans="2:31" x14ac:dyDescent="0.3">
      <c r="B902" s="96"/>
      <c r="C902" s="96"/>
      <c r="D902" s="96"/>
      <c r="E902" s="97"/>
      <c r="F902" s="96"/>
      <c r="G902" s="98"/>
      <c r="H902" s="96"/>
      <c r="I902" s="98"/>
      <c r="J902" s="97"/>
      <c r="K902" s="98"/>
      <c r="L902" s="100"/>
      <c r="M902" s="98"/>
      <c r="N902" s="96"/>
      <c r="O902" s="97"/>
      <c r="P902" s="70"/>
      <c r="Q902" s="97"/>
      <c r="R902" s="97"/>
      <c r="S902" s="98"/>
      <c r="T902" s="97"/>
      <c r="U902" s="98"/>
      <c r="V902" s="100"/>
      <c r="W902" s="98"/>
      <c r="X902" s="96"/>
      <c r="Y902" s="98"/>
      <c r="Z902" s="96"/>
      <c r="AA902" s="97"/>
      <c r="AB902" s="96"/>
      <c r="AC902" s="98"/>
      <c r="AD902" s="98"/>
      <c r="AE902" s="98"/>
    </row>
    <row r="903" spans="2:31" x14ac:dyDescent="0.3">
      <c r="B903" s="96"/>
      <c r="C903" s="96"/>
      <c r="D903" s="96"/>
      <c r="E903" s="97"/>
      <c r="F903" s="96"/>
      <c r="G903" s="98"/>
      <c r="H903" s="96"/>
      <c r="I903" s="98"/>
      <c r="J903" s="97"/>
      <c r="K903" s="98"/>
      <c r="L903" s="100"/>
      <c r="M903" s="98"/>
      <c r="N903" s="96"/>
      <c r="O903" s="97"/>
      <c r="P903" s="70"/>
      <c r="Q903" s="97"/>
      <c r="R903" s="97"/>
      <c r="S903" s="98"/>
      <c r="T903" s="97"/>
      <c r="U903" s="98"/>
      <c r="V903" s="100"/>
      <c r="W903" s="98"/>
      <c r="X903" s="96"/>
      <c r="Y903" s="98"/>
      <c r="Z903" s="96"/>
      <c r="AA903" s="97"/>
      <c r="AB903" s="96"/>
      <c r="AC903" s="98"/>
      <c r="AD903" s="98"/>
      <c r="AE903" s="98"/>
    </row>
    <row r="904" spans="2:31" x14ac:dyDescent="0.3">
      <c r="B904" s="96"/>
      <c r="C904" s="96"/>
      <c r="D904" s="96"/>
      <c r="E904" s="97"/>
      <c r="F904" s="96"/>
      <c r="G904" s="98"/>
      <c r="H904" s="96"/>
      <c r="I904" s="98"/>
      <c r="J904" s="97"/>
      <c r="K904" s="98"/>
      <c r="L904" s="100"/>
      <c r="M904" s="98"/>
      <c r="N904" s="96"/>
      <c r="O904" s="97"/>
      <c r="P904" s="70"/>
      <c r="Q904" s="97"/>
      <c r="R904" s="97"/>
      <c r="S904" s="98"/>
      <c r="T904" s="97"/>
      <c r="U904" s="98"/>
      <c r="V904" s="100"/>
      <c r="W904" s="98"/>
      <c r="X904" s="96"/>
      <c r="Y904" s="98"/>
      <c r="Z904" s="96"/>
      <c r="AA904" s="97"/>
      <c r="AB904" s="96"/>
      <c r="AC904" s="98"/>
      <c r="AD904" s="98"/>
      <c r="AE904" s="98"/>
    </row>
    <row r="905" spans="2:31" x14ac:dyDescent="0.3">
      <c r="B905" s="96"/>
      <c r="C905" s="96"/>
      <c r="D905" s="96"/>
      <c r="E905" s="97"/>
      <c r="F905" s="96"/>
      <c r="G905" s="98"/>
      <c r="H905" s="96"/>
      <c r="I905" s="98"/>
      <c r="J905" s="97"/>
      <c r="K905" s="98"/>
      <c r="L905" s="100"/>
      <c r="M905" s="98"/>
      <c r="N905" s="96"/>
      <c r="O905" s="97"/>
      <c r="P905" s="70"/>
      <c r="Q905" s="97"/>
      <c r="R905" s="97"/>
      <c r="S905" s="98"/>
      <c r="T905" s="97"/>
      <c r="U905" s="98"/>
      <c r="V905" s="100"/>
      <c r="W905" s="98"/>
      <c r="X905" s="96"/>
      <c r="Y905" s="98"/>
      <c r="Z905" s="96"/>
      <c r="AA905" s="97"/>
      <c r="AB905" s="96"/>
      <c r="AC905" s="98"/>
      <c r="AD905" s="98"/>
      <c r="AE905" s="98"/>
    </row>
    <row r="906" spans="2:31" x14ac:dyDescent="0.3">
      <c r="B906" s="96"/>
      <c r="C906" s="96"/>
      <c r="D906" s="96"/>
      <c r="E906" s="97"/>
      <c r="F906" s="96"/>
      <c r="G906" s="98"/>
      <c r="H906" s="96"/>
      <c r="I906" s="98"/>
      <c r="J906" s="97"/>
      <c r="K906" s="98"/>
      <c r="L906" s="100"/>
      <c r="M906" s="98"/>
      <c r="N906" s="96"/>
      <c r="O906" s="97"/>
      <c r="P906" s="70"/>
      <c r="Q906" s="97"/>
      <c r="R906" s="97"/>
      <c r="S906" s="98"/>
      <c r="T906" s="97"/>
      <c r="U906" s="98"/>
      <c r="V906" s="100"/>
      <c r="W906" s="98"/>
      <c r="X906" s="96"/>
      <c r="Y906" s="98"/>
      <c r="Z906" s="96"/>
      <c r="AA906" s="97"/>
      <c r="AB906" s="96"/>
      <c r="AC906" s="98"/>
      <c r="AD906" s="98"/>
      <c r="AE906" s="98"/>
    </row>
    <row r="907" spans="2:31" x14ac:dyDescent="0.3">
      <c r="B907" s="96"/>
      <c r="C907" s="96"/>
      <c r="D907" s="96"/>
      <c r="E907" s="97"/>
      <c r="F907" s="96"/>
      <c r="G907" s="98"/>
      <c r="H907" s="96"/>
      <c r="I907" s="98"/>
      <c r="J907" s="97"/>
      <c r="K907" s="98"/>
      <c r="L907" s="100"/>
      <c r="M907" s="98"/>
      <c r="N907" s="96"/>
      <c r="O907" s="97"/>
      <c r="P907" s="70"/>
      <c r="Q907" s="97"/>
      <c r="R907" s="97"/>
      <c r="S907" s="98"/>
      <c r="T907" s="97"/>
      <c r="U907" s="98"/>
      <c r="V907" s="100"/>
      <c r="W907" s="98"/>
      <c r="X907" s="96"/>
      <c r="Y907" s="98"/>
      <c r="Z907" s="96"/>
      <c r="AA907" s="97"/>
      <c r="AB907" s="96"/>
      <c r="AC907" s="98"/>
      <c r="AD907" s="98"/>
      <c r="AE907" s="98"/>
    </row>
    <row r="908" spans="2:31" x14ac:dyDescent="0.3">
      <c r="B908" s="96"/>
      <c r="C908" s="96"/>
      <c r="D908" s="96"/>
      <c r="E908" s="97"/>
      <c r="F908" s="96"/>
      <c r="G908" s="98"/>
      <c r="H908" s="96"/>
      <c r="I908" s="98"/>
      <c r="J908" s="97"/>
      <c r="K908" s="98"/>
      <c r="L908" s="100"/>
      <c r="M908" s="98"/>
      <c r="N908" s="96"/>
      <c r="O908" s="97"/>
      <c r="P908" s="70"/>
      <c r="Q908" s="97"/>
      <c r="R908" s="97"/>
      <c r="S908" s="98"/>
      <c r="T908" s="97"/>
      <c r="U908" s="98"/>
      <c r="V908" s="100"/>
      <c r="W908" s="98"/>
      <c r="X908" s="96"/>
      <c r="Y908" s="98"/>
      <c r="Z908" s="96"/>
      <c r="AA908" s="97"/>
      <c r="AB908" s="96"/>
      <c r="AC908" s="98"/>
      <c r="AD908" s="98"/>
      <c r="AE908" s="98"/>
    </row>
    <row r="909" spans="2:31" x14ac:dyDescent="0.3">
      <c r="B909" s="96"/>
      <c r="C909" s="96"/>
      <c r="D909" s="96"/>
      <c r="E909" s="97"/>
      <c r="F909" s="96"/>
      <c r="G909" s="98"/>
      <c r="H909" s="96"/>
      <c r="I909" s="98"/>
      <c r="J909" s="97"/>
      <c r="K909" s="98"/>
      <c r="L909" s="100"/>
      <c r="M909" s="98"/>
      <c r="N909" s="96"/>
      <c r="O909" s="97"/>
      <c r="P909" s="70"/>
      <c r="Q909" s="97"/>
      <c r="R909" s="97"/>
      <c r="S909" s="98"/>
      <c r="T909" s="97"/>
      <c r="U909" s="98"/>
      <c r="V909" s="100"/>
      <c r="W909" s="98"/>
      <c r="X909" s="96"/>
      <c r="Y909" s="98"/>
      <c r="Z909" s="96"/>
      <c r="AA909" s="97"/>
      <c r="AB909" s="96"/>
      <c r="AC909" s="98"/>
      <c r="AD909" s="98"/>
      <c r="AE909" s="98"/>
    </row>
    <row r="910" spans="2:31" x14ac:dyDescent="0.3">
      <c r="B910" s="96"/>
      <c r="C910" s="96"/>
      <c r="D910" s="96"/>
      <c r="E910" s="97"/>
      <c r="F910" s="96"/>
      <c r="G910" s="98"/>
      <c r="H910" s="96"/>
      <c r="I910" s="98"/>
      <c r="J910" s="97"/>
      <c r="K910" s="98"/>
      <c r="L910" s="100"/>
      <c r="M910" s="98"/>
      <c r="N910" s="96"/>
      <c r="O910" s="97"/>
      <c r="P910" s="70"/>
      <c r="Q910" s="97"/>
      <c r="R910" s="97"/>
      <c r="S910" s="98"/>
      <c r="T910" s="97"/>
      <c r="U910" s="98"/>
      <c r="V910" s="100"/>
      <c r="W910" s="98"/>
      <c r="X910" s="96"/>
      <c r="Y910" s="98"/>
      <c r="Z910" s="96"/>
      <c r="AA910" s="97"/>
      <c r="AB910" s="96"/>
      <c r="AC910" s="98"/>
      <c r="AD910" s="98"/>
      <c r="AE910" s="98"/>
    </row>
    <row r="911" spans="2:31" x14ac:dyDescent="0.3">
      <c r="B911" s="96"/>
      <c r="C911" s="96"/>
      <c r="D911" s="96"/>
      <c r="E911" s="97"/>
      <c r="F911" s="96"/>
      <c r="G911" s="98"/>
      <c r="H911" s="96"/>
      <c r="I911" s="98"/>
      <c r="J911" s="97"/>
      <c r="K911" s="98"/>
      <c r="L911" s="100"/>
      <c r="M911" s="98"/>
      <c r="N911" s="96"/>
      <c r="O911" s="97"/>
      <c r="P911" s="70"/>
      <c r="Q911" s="97"/>
      <c r="R911" s="97"/>
      <c r="S911" s="98"/>
      <c r="T911" s="97"/>
      <c r="U911" s="98"/>
      <c r="V911" s="100"/>
      <c r="W911" s="98"/>
      <c r="X911" s="96"/>
      <c r="Y911" s="98"/>
      <c r="Z911" s="96"/>
      <c r="AA911" s="97"/>
      <c r="AB911" s="96"/>
      <c r="AC911" s="98"/>
      <c r="AD911" s="98"/>
      <c r="AE911" s="98"/>
    </row>
    <row r="912" spans="2:31" x14ac:dyDescent="0.3">
      <c r="B912" s="96"/>
      <c r="C912" s="96"/>
      <c r="D912" s="96"/>
      <c r="E912" s="97"/>
      <c r="F912" s="96"/>
      <c r="G912" s="98"/>
      <c r="H912" s="96"/>
      <c r="I912" s="98"/>
      <c r="J912" s="97"/>
      <c r="K912" s="98"/>
      <c r="L912" s="100"/>
      <c r="M912" s="98"/>
      <c r="N912" s="96"/>
      <c r="O912" s="97"/>
      <c r="P912" s="70"/>
      <c r="Q912" s="97"/>
      <c r="R912" s="97"/>
      <c r="S912" s="98"/>
      <c r="T912" s="97"/>
      <c r="U912" s="98"/>
      <c r="V912" s="100"/>
      <c r="W912" s="98"/>
      <c r="X912" s="96"/>
      <c r="Y912" s="98"/>
      <c r="Z912" s="96"/>
      <c r="AA912" s="97"/>
      <c r="AB912" s="96"/>
      <c r="AC912" s="98"/>
      <c r="AD912" s="98"/>
      <c r="AE912" s="98"/>
    </row>
    <row r="913" spans="2:31" x14ac:dyDescent="0.3">
      <c r="B913" s="96"/>
      <c r="C913" s="96"/>
      <c r="D913" s="96"/>
      <c r="E913" s="97"/>
      <c r="F913" s="96"/>
      <c r="G913" s="98"/>
      <c r="H913" s="96"/>
      <c r="I913" s="98"/>
      <c r="J913" s="97"/>
      <c r="K913" s="98"/>
      <c r="L913" s="100"/>
      <c r="M913" s="98"/>
      <c r="N913" s="96"/>
      <c r="O913" s="97"/>
      <c r="P913" s="70"/>
      <c r="Q913" s="97"/>
      <c r="R913" s="97"/>
      <c r="S913" s="98"/>
      <c r="T913" s="97"/>
      <c r="U913" s="98"/>
      <c r="V913" s="100"/>
      <c r="W913" s="98"/>
      <c r="X913" s="96"/>
      <c r="Y913" s="98"/>
      <c r="Z913" s="96"/>
      <c r="AA913" s="97"/>
      <c r="AB913" s="96"/>
      <c r="AC913" s="98"/>
      <c r="AD913" s="98"/>
      <c r="AE913" s="98"/>
    </row>
    <row r="914" spans="2:31" x14ac:dyDescent="0.3">
      <c r="B914" s="96"/>
      <c r="C914" s="96"/>
      <c r="D914" s="96"/>
      <c r="E914" s="97"/>
      <c r="F914" s="96"/>
      <c r="G914" s="98"/>
      <c r="H914" s="96"/>
      <c r="I914" s="98"/>
      <c r="J914" s="97"/>
      <c r="K914" s="98"/>
      <c r="L914" s="100"/>
      <c r="M914" s="98"/>
      <c r="N914" s="96"/>
      <c r="O914" s="97"/>
      <c r="P914" s="70"/>
      <c r="Q914" s="97"/>
      <c r="R914" s="97"/>
      <c r="S914" s="98"/>
      <c r="T914" s="97"/>
      <c r="U914" s="98"/>
      <c r="V914" s="100"/>
      <c r="W914" s="98"/>
      <c r="X914" s="96"/>
      <c r="Y914" s="98"/>
      <c r="Z914" s="96"/>
      <c r="AA914" s="97"/>
      <c r="AB914" s="96"/>
      <c r="AC914" s="98"/>
      <c r="AD914" s="98"/>
      <c r="AE914" s="98"/>
    </row>
    <row r="915" spans="2:31" x14ac:dyDescent="0.3">
      <c r="B915" s="96"/>
      <c r="C915" s="96"/>
      <c r="D915" s="96"/>
      <c r="E915" s="97"/>
      <c r="F915" s="96"/>
      <c r="G915" s="98"/>
      <c r="H915" s="96"/>
      <c r="I915" s="98"/>
      <c r="J915" s="97"/>
      <c r="K915" s="98"/>
      <c r="L915" s="100"/>
      <c r="M915" s="98"/>
      <c r="N915" s="96"/>
      <c r="O915" s="97"/>
      <c r="P915" s="70"/>
      <c r="Q915" s="97"/>
      <c r="R915" s="97"/>
      <c r="S915" s="98"/>
      <c r="T915" s="97"/>
      <c r="U915" s="98"/>
      <c r="V915" s="100"/>
      <c r="W915" s="98"/>
      <c r="X915" s="96"/>
      <c r="Y915" s="98"/>
      <c r="Z915" s="96"/>
      <c r="AA915" s="97"/>
      <c r="AB915" s="96"/>
      <c r="AC915" s="98"/>
      <c r="AD915" s="98"/>
      <c r="AE915" s="98"/>
    </row>
    <row r="916" spans="2:31" x14ac:dyDescent="0.3">
      <c r="B916" s="96"/>
      <c r="C916" s="96"/>
      <c r="D916" s="96"/>
      <c r="E916" s="97"/>
      <c r="F916" s="96"/>
      <c r="G916" s="98"/>
      <c r="H916" s="96"/>
      <c r="I916" s="98"/>
      <c r="J916" s="97"/>
      <c r="K916" s="98"/>
      <c r="L916" s="100"/>
      <c r="M916" s="98"/>
      <c r="N916" s="96"/>
      <c r="O916" s="97"/>
      <c r="P916" s="70"/>
      <c r="Q916" s="97"/>
      <c r="R916" s="97"/>
      <c r="S916" s="98"/>
      <c r="T916" s="97"/>
      <c r="U916" s="98"/>
      <c r="V916" s="100"/>
      <c r="W916" s="98"/>
      <c r="X916" s="96"/>
      <c r="Y916" s="98"/>
      <c r="Z916" s="96"/>
      <c r="AA916" s="97"/>
      <c r="AB916" s="96"/>
      <c r="AC916" s="98"/>
      <c r="AD916" s="98"/>
      <c r="AE916" s="98"/>
    </row>
    <row r="917" spans="2:31" x14ac:dyDescent="0.3">
      <c r="B917" s="96"/>
      <c r="C917" s="96"/>
      <c r="D917" s="96"/>
      <c r="E917" s="97"/>
      <c r="F917" s="96"/>
      <c r="G917" s="98"/>
      <c r="H917" s="96"/>
      <c r="I917" s="98"/>
      <c r="J917" s="97"/>
      <c r="K917" s="98"/>
      <c r="L917" s="100"/>
      <c r="M917" s="98"/>
      <c r="N917" s="96"/>
      <c r="O917" s="97"/>
      <c r="P917" s="70"/>
      <c r="Q917" s="97"/>
      <c r="R917" s="97"/>
      <c r="S917" s="98"/>
      <c r="T917" s="97"/>
      <c r="U917" s="98"/>
      <c r="V917" s="100"/>
      <c r="W917" s="98"/>
      <c r="X917" s="96"/>
      <c r="Y917" s="98"/>
      <c r="Z917" s="96"/>
      <c r="AA917" s="97"/>
      <c r="AB917" s="96"/>
      <c r="AC917" s="98"/>
      <c r="AD917" s="98"/>
      <c r="AE917" s="98"/>
    </row>
    <row r="918" spans="2:31" x14ac:dyDescent="0.3">
      <c r="B918" s="96"/>
      <c r="C918" s="96"/>
      <c r="D918" s="96"/>
      <c r="E918" s="97"/>
      <c r="F918" s="96"/>
      <c r="G918" s="98"/>
      <c r="H918" s="96"/>
      <c r="I918" s="98"/>
      <c r="J918" s="97"/>
      <c r="K918" s="98"/>
      <c r="L918" s="100"/>
      <c r="M918" s="98"/>
      <c r="N918" s="96"/>
      <c r="O918" s="97"/>
      <c r="P918" s="70"/>
      <c r="Q918" s="97"/>
      <c r="R918" s="97"/>
      <c r="S918" s="98"/>
      <c r="T918" s="97"/>
      <c r="U918" s="98"/>
      <c r="V918" s="100"/>
      <c r="W918" s="98"/>
      <c r="X918" s="96"/>
      <c r="Y918" s="98"/>
      <c r="Z918" s="96"/>
      <c r="AA918" s="97"/>
      <c r="AB918" s="96"/>
      <c r="AC918" s="98"/>
      <c r="AD918" s="98"/>
      <c r="AE918" s="98"/>
    </row>
    <row r="919" spans="2:31" x14ac:dyDescent="0.3">
      <c r="B919" s="96"/>
      <c r="C919" s="96"/>
      <c r="D919" s="96"/>
      <c r="E919" s="97"/>
      <c r="F919" s="96"/>
      <c r="G919" s="98"/>
      <c r="H919" s="96"/>
      <c r="I919" s="98"/>
      <c r="J919" s="97"/>
      <c r="K919" s="98"/>
      <c r="L919" s="100"/>
      <c r="M919" s="98"/>
      <c r="N919" s="96"/>
      <c r="O919" s="97"/>
      <c r="P919" s="70"/>
      <c r="Q919" s="97"/>
      <c r="R919" s="97"/>
      <c r="S919" s="98"/>
      <c r="T919" s="97"/>
      <c r="U919" s="98"/>
      <c r="V919" s="100"/>
      <c r="W919" s="98"/>
      <c r="X919" s="96"/>
      <c r="Y919" s="98"/>
      <c r="Z919" s="96"/>
      <c r="AA919" s="97"/>
      <c r="AB919" s="96"/>
      <c r="AC919" s="98"/>
      <c r="AD919" s="98"/>
      <c r="AE919" s="98"/>
    </row>
    <row r="920" spans="2:31" x14ac:dyDescent="0.3">
      <c r="B920" s="96"/>
      <c r="C920" s="96"/>
      <c r="D920" s="96"/>
      <c r="E920" s="97"/>
      <c r="F920" s="96"/>
      <c r="G920" s="98"/>
      <c r="H920" s="96"/>
      <c r="I920" s="98"/>
      <c r="J920" s="97"/>
      <c r="K920" s="98"/>
      <c r="L920" s="100"/>
      <c r="M920" s="98"/>
      <c r="N920" s="96"/>
      <c r="O920" s="97"/>
      <c r="P920" s="70"/>
      <c r="Q920" s="97"/>
      <c r="R920" s="97"/>
      <c r="S920" s="98"/>
      <c r="T920" s="97"/>
      <c r="U920" s="98"/>
      <c r="V920" s="100"/>
      <c r="W920" s="98"/>
      <c r="X920" s="96"/>
      <c r="Y920" s="98"/>
      <c r="Z920" s="96"/>
      <c r="AA920" s="97"/>
      <c r="AB920" s="96"/>
      <c r="AC920" s="98"/>
      <c r="AD920" s="98"/>
      <c r="AE920" s="98"/>
    </row>
    <row r="921" spans="2:31" x14ac:dyDescent="0.3">
      <c r="B921" s="96"/>
      <c r="C921" s="96"/>
      <c r="D921" s="96"/>
      <c r="E921" s="97"/>
      <c r="F921" s="96"/>
      <c r="G921" s="98"/>
      <c r="H921" s="96"/>
      <c r="I921" s="98"/>
      <c r="J921" s="97"/>
      <c r="K921" s="98"/>
      <c r="L921" s="100"/>
      <c r="M921" s="98"/>
      <c r="N921" s="96"/>
      <c r="O921" s="97"/>
      <c r="P921" s="70"/>
      <c r="Q921" s="97"/>
      <c r="R921" s="97"/>
      <c r="S921" s="98"/>
      <c r="T921" s="97"/>
      <c r="U921" s="98"/>
      <c r="V921" s="100"/>
      <c r="W921" s="98"/>
      <c r="X921" s="96"/>
      <c r="Y921" s="98"/>
      <c r="Z921" s="96"/>
      <c r="AA921" s="97"/>
      <c r="AB921" s="96"/>
      <c r="AC921" s="98"/>
      <c r="AD921" s="98"/>
      <c r="AE921" s="98"/>
    </row>
    <row r="922" spans="2:31" x14ac:dyDescent="0.3">
      <c r="B922" s="96"/>
      <c r="C922" s="96"/>
      <c r="D922" s="96"/>
      <c r="E922" s="97"/>
      <c r="F922" s="96"/>
      <c r="G922" s="98"/>
      <c r="H922" s="96"/>
      <c r="I922" s="98"/>
      <c r="J922" s="97"/>
      <c r="K922" s="98"/>
      <c r="L922" s="100"/>
      <c r="M922" s="98"/>
      <c r="N922" s="96"/>
      <c r="O922" s="97"/>
      <c r="P922" s="70"/>
      <c r="Q922" s="97"/>
      <c r="R922" s="97"/>
      <c r="S922" s="98"/>
      <c r="T922" s="97"/>
      <c r="U922" s="98"/>
      <c r="V922" s="100"/>
      <c r="W922" s="98"/>
      <c r="X922" s="96"/>
      <c r="Y922" s="98"/>
      <c r="Z922" s="96"/>
      <c r="AA922" s="97"/>
      <c r="AB922" s="96"/>
      <c r="AC922" s="98"/>
      <c r="AD922" s="98"/>
      <c r="AE922" s="98"/>
    </row>
    <row r="923" spans="2:31" x14ac:dyDescent="0.3">
      <c r="B923" s="96"/>
      <c r="C923" s="96"/>
      <c r="D923" s="96"/>
      <c r="E923" s="97"/>
      <c r="F923" s="96"/>
      <c r="G923" s="98"/>
      <c r="H923" s="96"/>
      <c r="I923" s="98"/>
      <c r="J923" s="97"/>
      <c r="K923" s="98"/>
      <c r="L923" s="100"/>
      <c r="M923" s="98"/>
      <c r="N923" s="96"/>
      <c r="O923" s="97"/>
      <c r="P923" s="70"/>
      <c r="Q923" s="97"/>
      <c r="R923" s="97"/>
      <c r="S923" s="98"/>
      <c r="T923" s="97"/>
      <c r="U923" s="98"/>
      <c r="V923" s="100"/>
      <c r="W923" s="98"/>
      <c r="X923" s="96"/>
      <c r="Y923" s="98"/>
      <c r="Z923" s="96"/>
      <c r="AA923" s="97"/>
      <c r="AB923" s="96"/>
      <c r="AC923" s="98"/>
      <c r="AD923" s="98"/>
      <c r="AE923" s="98"/>
    </row>
    <row r="924" spans="2:31" x14ac:dyDescent="0.3">
      <c r="B924" s="96"/>
      <c r="C924" s="96"/>
      <c r="D924" s="96"/>
      <c r="E924" s="97"/>
      <c r="F924" s="96"/>
      <c r="G924" s="98"/>
      <c r="H924" s="96"/>
      <c r="I924" s="98"/>
      <c r="J924" s="97"/>
      <c r="K924" s="98"/>
      <c r="L924" s="100"/>
      <c r="M924" s="98"/>
      <c r="N924" s="96"/>
      <c r="O924" s="97"/>
      <c r="P924" s="70"/>
      <c r="Q924" s="97"/>
      <c r="R924" s="97"/>
      <c r="S924" s="98"/>
      <c r="T924" s="97"/>
      <c r="U924" s="98"/>
      <c r="V924" s="100"/>
      <c r="W924" s="98"/>
      <c r="X924" s="96"/>
      <c r="Y924" s="98"/>
      <c r="Z924" s="96"/>
      <c r="AA924" s="97"/>
      <c r="AB924" s="96"/>
      <c r="AC924" s="98"/>
      <c r="AD924" s="98"/>
      <c r="AE924" s="98"/>
    </row>
    <row r="925" spans="2:31" x14ac:dyDescent="0.3">
      <c r="B925" s="96"/>
      <c r="C925" s="96"/>
      <c r="D925" s="96"/>
      <c r="E925" s="97"/>
      <c r="F925" s="96"/>
      <c r="G925" s="98"/>
      <c r="H925" s="96"/>
      <c r="I925" s="98"/>
      <c r="J925" s="97"/>
      <c r="K925" s="98"/>
      <c r="L925" s="100"/>
      <c r="M925" s="98"/>
      <c r="N925" s="96"/>
      <c r="O925" s="97"/>
      <c r="P925" s="70"/>
      <c r="Q925" s="97"/>
      <c r="R925" s="97"/>
      <c r="S925" s="98"/>
      <c r="T925" s="97"/>
      <c r="U925" s="98"/>
      <c r="V925" s="100"/>
      <c r="W925" s="98"/>
      <c r="X925" s="96"/>
      <c r="Y925" s="98"/>
      <c r="Z925" s="96"/>
      <c r="AA925" s="97"/>
      <c r="AB925" s="96"/>
      <c r="AC925" s="98"/>
      <c r="AD925" s="98"/>
      <c r="AE925" s="98"/>
    </row>
    <row r="926" spans="2:31" x14ac:dyDescent="0.3">
      <c r="B926" s="96"/>
      <c r="C926" s="96"/>
      <c r="D926" s="96"/>
      <c r="E926" s="97"/>
      <c r="F926" s="96"/>
      <c r="G926" s="98"/>
      <c r="H926" s="96"/>
      <c r="I926" s="98"/>
      <c r="J926" s="97"/>
      <c r="K926" s="98"/>
      <c r="L926" s="100"/>
      <c r="M926" s="98"/>
      <c r="N926" s="96"/>
      <c r="O926" s="97"/>
      <c r="P926" s="70"/>
      <c r="Q926" s="97"/>
      <c r="R926" s="97"/>
      <c r="S926" s="98"/>
      <c r="T926" s="97"/>
      <c r="U926" s="98"/>
      <c r="V926" s="100"/>
      <c r="W926" s="98"/>
      <c r="X926" s="96"/>
      <c r="Y926" s="98"/>
      <c r="Z926" s="96"/>
      <c r="AA926" s="97"/>
      <c r="AB926" s="96"/>
      <c r="AC926" s="98"/>
      <c r="AD926" s="98"/>
      <c r="AE926" s="98"/>
    </row>
    <row r="927" spans="2:31" x14ac:dyDescent="0.3">
      <c r="B927" s="96"/>
      <c r="C927" s="96"/>
      <c r="D927" s="96"/>
      <c r="E927" s="97"/>
      <c r="F927" s="96"/>
      <c r="G927" s="98"/>
      <c r="H927" s="96"/>
      <c r="I927" s="98"/>
      <c r="J927" s="97"/>
      <c r="K927" s="98"/>
      <c r="L927" s="100"/>
      <c r="M927" s="98"/>
      <c r="N927" s="96"/>
      <c r="O927" s="97"/>
      <c r="P927" s="70"/>
      <c r="Q927" s="97"/>
      <c r="R927" s="97"/>
      <c r="S927" s="98"/>
      <c r="T927" s="97"/>
      <c r="U927" s="98"/>
      <c r="V927" s="100"/>
      <c r="W927" s="98"/>
      <c r="X927" s="96"/>
      <c r="Y927" s="98"/>
      <c r="Z927" s="96"/>
      <c r="AA927" s="97"/>
      <c r="AB927" s="96"/>
      <c r="AC927" s="98"/>
      <c r="AD927" s="98"/>
      <c r="AE927" s="98"/>
    </row>
    <row r="928" spans="2:31" x14ac:dyDescent="0.3">
      <c r="B928" s="96"/>
      <c r="C928" s="96"/>
      <c r="D928" s="96"/>
      <c r="E928" s="97"/>
      <c r="F928" s="96"/>
      <c r="G928" s="98"/>
      <c r="H928" s="96"/>
      <c r="I928" s="98"/>
      <c r="J928" s="97"/>
      <c r="K928" s="98"/>
      <c r="L928" s="100"/>
      <c r="M928" s="98"/>
      <c r="N928" s="96"/>
      <c r="O928" s="97"/>
      <c r="P928" s="70"/>
      <c r="Q928" s="97"/>
      <c r="R928" s="97"/>
      <c r="S928" s="98"/>
      <c r="T928" s="97"/>
      <c r="U928" s="98"/>
      <c r="V928" s="100"/>
      <c r="W928" s="98"/>
      <c r="X928" s="96"/>
      <c r="Y928" s="98"/>
      <c r="Z928" s="96"/>
      <c r="AA928" s="97"/>
      <c r="AB928" s="96"/>
      <c r="AC928" s="98"/>
      <c r="AD928" s="98"/>
      <c r="AE928" s="98"/>
    </row>
    <row r="929" spans="2:31" x14ac:dyDescent="0.3">
      <c r="B929" s="96"/>
      <c r="C929" s="96"/>
      <c r="D929" s="96"/>
      <c r="E929" s="97"/>
      <c r="F929" s="96"/>
      <c r="G929" s="98"/>
      <c r="H929" s="96"/>
      <c r="I929" s="98"/>
      <c r="J929" s="97"/>
      <c r="K929" s="98"/>
      <c r="L929" s="100"/>
      <c r="M929" s="98"/>
      <c r="N929" s="96"/>
      <c r="O929" s="97"/>
      <c r="P929" s="70"/>
      <c r="Q929" s="97"/>
      <c r="R929" s="97"/>
      <c r="S929" s="98"/>
      <c r="T929" s="97"/>
      <c r="U929" s="98"/>
      <c r="V929" s="100"/>
      <c r="W929" s="98"/>
      <c r="X929" s="96"/>
      <c r="Y929" s="98"/>
      <c r="Z929" s="96"/>
      <c r="AA929" s="97"/>
      <c r="AB929" s="96"/>
      <c r="AC929" s="98"/>
      <c r="AD929" s="98"/>
      <c r="AE929" s="98"/>
    </row>
    <row r="930" spans="2:31" x14ac:dyDescent="0.3">
      <c r="B930" s="96"/>
      <c r="C930" s="96"/>
      <c r="D930" s="96"/>
      <c r="E930" s="97"/>
      <c r="F930" s="96"/>
      <c r="G930" s="98"/>
      <c r="H930" s="96"/>
      <c r="I930" s="98"/>
      <c r="J930" s="97"/>
      <c r="K930" s="98"/>
      <c r="L930" s="100"/>
      <c r="M930" s="98"/>
      <c r="N930" s="96"/>
      <c r="O930" s="97"/>
      <c r="P930" s="70"/>
      <c r="Q930" s="97"/>
      <c r="R930" s="97"/>
      <c r="S930" s="98"/>
      <c r="T930" s="97"/>
      <c r="U930" s="98"/>
      <c r="V930" s="100"/>
      <c r="W930" s="98"/>
      <c r="X930" s="96"/>
      <c r="Y930" s="98"/>
      <c r="Z930" s="96"/>
      <c r="AA930" s="97"/>
      <c r="AB930" s="96"/>
      <c r="AC930" s="98"/>
      <c r="AD930" s="98"/>
      <c r="AE930" s="98"/>
    </row>
    <row r="931" spans="2:31" x14ac:dyDescent="0.3">
      <c r="B931" s="96"/>
      <c r="C931" s="96"/>
      <c r="D931" s="96"/>
      <c r="E931" s="97"/>
      <c r="F931" s="96"/>
      <c r="G931" s="98"/>
      <c r="H931" s="96"/>
      <c r="I931" s="98"/>
      <c r="J931" s="97"/>
      <c r="K931" s="98"/>
      <c r="L931" s="100"/>
      <c r="M931" s="98"/>
      <c r="N931" s="96"/>
      <c r="O931" s="97"/>
      <c r="P931" s="70"/>
      <c r="Q931" s="97"/>
      <c r="R931" s="97"/>
      <c r="S931" s="98"/>
      <c r="T931" s="97"/>
      <c r="U931" s="98"/>
      <c r="V931" s="100"/>
      <c r="W931" s="98"/>
      <c r="X931" s="96"/>
      <c r="Y931" s="98"/>
      <c r="Z931" s="96"/>
      <c r="AA931" s="97"/>
      <c r="AB931" s="96"/>
      <c r="AC931" s="98"/>
      <c r="AD931" s="98"/>
      <c r="AE931" s="98"/>
    </row>
    <row r="932" spans="2:31" x14ac:dyDescent="0.3">
      <c r="B932" s="96"/>
      <c r="C932" s="96"/>
      <c r="D932" s="96"/>
      <c r="E932" s="97"/>
      <c r="F932" s="96"/>
      <c r="G932" s="98"/>
      <c r="H932" s="96"/>
      <c r="I932" s="98"/>
      <c r="J932" s="97"/>
      <c r="K932" s="98"/>
      <c r="L932" s="100"/>
      <c r="M932" s="98"/>
      <c r="N932" s="96"/>
      <c r="O932" s="97"/>
      <c r="P932" s="70"/>
      <c r="Q932" s="97"/>
      <c r="R932" s="97"/>
      <c r="S932" s="98"/>
      <c r="T932" s="97"/>
      <c r="U932" s="98"/>
      <c r="V932" s="100"/>
      <c r="W932" s="98"/>
      <c r="X932" s="96"/>
      <c r="Y932" s="98"/>
      <c r="Z932" s="96"/>
      <c r="AA932" s="97"/>
      <c r="AB932" s="96"/>
      <c r="AC932" s="98"/>
      <c r="AD932" s="98"/>
      <c r="AE932" s="98"/>
    </row>
    <row r="933" spans="2:31" x14ac:dyDescent="0.3">
      <c r="B933" s="96"/>
      <c r="C933" s="96"/>
      <c r="D933" s="96"/>
      <c r="E933" s="97"/>
      <c r="F933" s="96"/>
      <c r="G933" s="98"/>
      <c r="H933" s="96"/>
      <c r="I933" s="98"/>
      <c r="J933" s="97"/>
      <c r="K933" s="98"/>
      <c r="L933" s="100"/>
      <c r="M933" s="98"/>
      <c r="N933" s="96"/>
      <c r="O933" s="97"/>
      <c r="P933" s="70"/>
      <c r="Q933" s="97"/>
      <c r="R933" s="97"/>
      <c r="S933" s="98"/>
      <c r="T933" s="97"/>
      <c r="U933" s="98"/>
      <c r="V933" s="100"/>
      <c r="W933" s="98"/>
      <c r="X933" s="96"/>
      <c r="Y933" s="98"/>
      <c r="Z933" s="96"/>
      <c r="AA933" s="97"/>
      <c r="AB933" s="96"/>
      <c r="AC933" s="98"/>
      <c r="AD933" s="98"/>
      <c r="AE933" s="98"/>
    </row>
    <row r="934" spans="2:31" x14ac:dyDescent="0.3">
      <c r="B934" s="96"/>
      <c r="C934" s="96"/>
      <c r="D934" s="96"/>
      <c r="E934" s="97"/>
      <c r="F934" s="96"/>
      <c r="G934" s="98"/>
      <c r="H934" s="96"/>
      <c r="I934" s="98"/>
      <c r="J934" s="97"/>
      <c r="K934" s="98"/>
      <c r="L934" s="100"/>
      <c r="M934" s="98"/>
      <c r="N934" s="96"/>
      <c r="O934" s="97"/>
      <c r="P934" s="70"/>
      <c r="Q934" s="97"/>
      <c r="R934" s="97"/>
      <c r="S934" s="98"/>
      <c r="T934" s="97"/>
      <c r="U934" s="98"/>
      <c r="V934" s="100"/>
      <c r="W934" s="98"/>
      <c r="X934" s="96"/>
      <c r="Y934" s="98"/>
      <c r="Z934" s="96"/>
      <c r="AA934" s="97"/>
      <c r="AB934" s="96"/>
      <c r="AC934" s="98"/>
      <c r="AD934" s="98"/>
      <c r="AE934" s="98"/>
    </row>
    <row r="935" spans="2:31" x14ac:dyDescent="0.3">
      <c r="B935" s="96"/>
      <c r="C935" s="96"/>
      <c r="D935" s="96"/>
      <c r="E935" s="97"/>
      <c r="F935" s="96"/>
      <c r="G935" s="98"/>
      <c r="H935" s="96"/>
      <c r="I935" s="98"/>
      <c r="J935" s="97"/>
      <c r="K935" s="98"/>
      <c r="L935" s="100"/>
      <c r="M935" s="98"/>
      <c r="N935" s="96"/>
      <c r="O935" s="97"/>
      <c r="P935" s="70"/>
      <c r="Q935" s="97"/>
      <c r="R935" s="97"/>
      <c r="S935" s="98"/>
      <c r="T935" s="97"/>
      <c r="U935" s="98"/>
      <c r="V935" s="100"/>
      <c r="W935" s="98"/>
      <c r="X935" s="96"/>
      <c r="Y935" s="98"/>
      <c r="Z935" s="96"/>
      <c r="AA935" s="97"/>
      <c r="AB935" s="96"/>
      <c r="AC935" s="98"/>
      <c r="AD935" s="98"/>
      <c r="AE935" s="98"/>
    </row>
    <row r="936" spans="2:31" x14ac:dyDescent="0.3">
      <c r="B936" s="96"/>
      <c r="C936" s="96"/>
      <c r="D936" s="96"/>
      <c r="E936" s="97"/>
      <c r="F936" s="96"/>
      <c r="G936" s="98"/>
      <c r="H936" s="96"/>
      <c r="I936" s="98"/>
      <c r="J936" s="97"/>
      <c r="K936" s="98"/>
      <c r="L936" s="100"/>
      <c r="M936" s="98"/>
      <c r="N936" s="96"/>
      <c r="O936" s="97"/>
      <c r="P936" s="70"/>
      <c r="Q936" s="97"/>
      <c r="R936" s="97"/>
      <c r="S936" s="98"/>
      <c r="T936" s="97"/>
      <c r="U936" s="98"/>
      <c r="V936" s="100"/>
      <c r="W936" s="98"/>
      <c r="X936" s="96"/>
      <c r="Y936" s="98"/>
      <c r="Z936" s="96"/>
      <c r="AA936" s="97"/>
      <c r="AB936" s="96"/>
      <c r="AC936" s="98"/>
      <c r="AD936" s="98"/>
      <c r="AE936" s="98"/>
    </row>
    <row r="937" spans="2:31" x14ac:dyDescent="0.3">
      <c r="B937" s="96"/>
      <c r="C937" s="96"/>
      <c r="D937" s="96"/>
      <c r="E937" s="97"/>
      <c r="F937" s="96"/>
      <c r="G937" s="98"/>
      <c r="H937" s="96"/>
      <c r="I937" s="98"/>
      <c r="J937" s="97"/>
      <c r="K937" s="98"/>
      <c r="L937" s="100"/>
      <c r="M937" s="98"/>
      <c r="N937" s="96"/>
      <c r="O937" s="97"/>
      <c r="P937" s="70"/>
      <c r="Q937" s="97"/>
      <c r="R937" s="97"/>
      <c r="S937" s="98"/>
      <c r="T937" s="97"/>
      <c r="U937" s="98"/>
      <c r="V937" s="100"/>
      <c r="W937" s="98"/>
      <c r="X937" s="96"/>
      <c r="Y937" s="98"/>
      <c r="Z937" s="96"/>
      <c r="AA937" s="97"/>
      <c r="AB937" s="96"/>
      <c r="AC937" s="98"/>
      <c r="AD937" s="98"/>
      <c r="AE937" s="98"/>
    </row>
    <row r="938" spans="2:31" x14ac:dyDescent="0.3">
      <c r="B938" s="96"/>
      <c r="C938" s="96"/>
      <c r="D938" s="96"/>
      <c r="E938" s="97"/>
      <c r="F938" s="96"/>
      <c r="G938" s="98"/>
      <c r="H938" s="96"/>
      <c r="I938" s="98"/>
      <c r="J938" s="97"/>
      <c r="K938" s="98"/>
      <c r="L938" s="100"/>
      <c r="M938" s="98"/>
      <c r="N938" s="96"/>
      <c r="O938" s="97"/>
      <c r="P938" s="70"/>
      <c r="Q938" s="97"/>
      <c r="R938" s="97"/>
      <c r="S938" s="98"/>
      <c r="T938" s="97"/>
      <c r="U938" s="98"/>
      <c r="V938" s="100"/>
      <c r="W938" s="98"/>
      <c r="X938" s="96"/>
      <c r="Y938" s="98"/>
      <c r="Z938" s="96"/>
      <c r="AA938" s="97"/>
      <c r="AB938" s="96"/>
      <c r="AC938" s="98"/>
      <c r="AD938" s="98"/>
      <c r="AE938" s="98"/>
    </row>
    <row r="939" spans="2:31" x14ac:dyDescent="0.3">
      <c r="B939" s="96"/>
      <c r="C939" s="96"/>
      <c r="D939" s="96"/>
      <c r="E939" s="97"/>
      <c r="F939" s="96"/>
      <c r="G939" s="98"/>
      <c r="H939" s="96"/>
      <c r="I939" s="98"/>
      <c r="J939" s="97"/>
      <c r="K939" s="98"/>
      <c r="L939" s="100"/>
      <c r="M939" s="98"/>
      <c r="N939" s="96"/>
      <c r="O939" s="97"/>
      <c r="P939" s="70"/>
      <c r="Q939" s="97"/>
      <c r="R939" s="97"/>
      <c r="S939" s="98"/>
      <c r="T939" s="97"/>
      <c r="U939" s="98"/>
      <c r="V939" s="100"/>
      <c r="W939" s="98"/>
      <c r="X939" s="96"/>
      <c r="Y939" s="98"/>
      <c r="Z939" s="96"/>
      <c r="AA939" s="97"/>
      <c r="AB939" s="96"/>
      <c r="AC939" s="98"/>
      <c r="AD939" s="98"/>
      <c r="AE939" s="98"/>
    </row>
    <row r="940" spans="2:31" x14ac:dyDescent="0.3">
      <c r="B940" s="96"/>
      <c r="C940" s="96"/>
      <c r="D940" s="96"/>
      <c r="E940" s="97"/>
      <c r="F940" s="96"/>
      <c r="G940" s="98"/>
      <c r="H940" s="96"/>
      <c r="I940" s="98"/>
      <c r="J940" s="97"/>
      <c r="K940" s="98"/>
      <c r="L940" s="100"/>
      <c r="M940" s="98"/>
      <c r="N940" s="96"/>
      <c r="O940" s="97"/>
      <c r="P940" s="70"/>
      <c r="Q940" s="97"/>
      <c r="R940" s="97"/>
      <c r="S940" s="98"/>
      <c r="T940" s="97"/>
      <c r="U940" s="98"/>
      <c r="V940" s="100"/>
      <c r="W940" s="98"/>
      <c r="X940" s="96"/>
      <c r="Y940" s="98"/>
      <c r="Z940" s="96"/>
      <c r="AA940" s="97"/>
      <c r="AB940" s="96"/>
      <c r="AC940" s="98"/>
      <c r="AD940" s="98"/>
      <c r="AE940" s="98"/>
    </row>
    <row r="941" spans="2:31" x14ac:dyDescent="0.3">
      <c r="B941" s="96"/>
      <c r="C941" s="96"/>
      <c r="D941" s="96"/>
      <c r="E941" s="97"/>
      <c r="F941" s="96"/>
      <c r="G941" s="98"/>
      <c r="H941" s="96"/>
      <c r="I941" s="98"/>
      <c r="J941" s="97"/>
      <c r="K941" s="98"/>
      <c r="L941" s="100"/>
      <c r="M941" s="98"/>
      <c r="N941" s="96"/>
      <c r="O941" s="97"/>
      <c r="P941" s="70"/>
      <c r="Q941" s="97"/>
      <c r="R941" s="97"/>
      <c r="S941" s="98"/>
      <c r="T941" s="97"/>
      <c r="U941" s="98"/>
      <c r="V941" s="100"/>
      <c r="W941" s="98"/>
      <c r="X941" s="96"/>
      <c r="Y941" s="98"/>
      <c r="Z941" s="96"/>
      <c r="AA941" s="97"/>
      <c r="AB941" s="96"/>
      <c r="AC941" s="98"/>
      <c r="AD941" s="98"/>
      <c r="AE941" s="98"/>
    </row>
    <row r="942" spans="2:31" x14ac:dyDescent="0.3">
      <c r="B942" s="96"/>
      <c r="C942" s="96"/>
      <c r="D942" s="96"/>
      <c r="E942" s="97"/>
      <c r="F942" s="96"/>
      <c r="G942" s="98"/>
      <c r="H942" s="96"/>
      <c r="I942" s="98"/>
      <c r="J942" s="97"/>
      <c r="K942" s="98"/>
      <c r="L942" s="100"/>
      <c r="M942" s="98"/>
      <c r="N942" s="96"/>
      <c r="O942" s="97"/>
      <c r="P942" s="70"/>
      <c r="Q942" s="97"/>
      <c r="R942" s="97"/>
      <c r="S942" s="98"/>
      <c r="T942" s="97"/>
      <c r="U942" s="98"/>
      <c r="V942" s="100"/>
      <c r="W942" s="98"/>
      <c r="X942" s="96"/>
      <c r="Y942" s="98"/>
      <c r="Z942" s="96"/>
      <c r="AA942" s="97"/>
      <c r="AB942" s="96"/>
      <c r="AC942" s="98"/>
      <c r="AD942" s="98"/>
      <c r="AE942" s="98"/>
    </row>
    <row r="943" spans="2:31" x14ac:dyDescent="0.3">
      <c r="B943" s="96"/>
      <c r="C943" s="96"/>
      <c r="D943" s="96"/>
      <c r="E943" s="97"/>
      <c r="F943" s="96"/>
      <c r="G943" s="98"/>
      <c r="H943" s="96"/>
      <c r="I943" s="98"/>
      <c r="J943" s="97"/>
      <c r="K943" s="98"/>
      <c r="L943" s="100"/>
      <c r="M943" s="98"/>
      <c r="N943" s="96"/>
      <c r="O943" s="97"/>
      <c r="P943" s="70"/>
      <c r="Q943" s="97"/>
      <c r="R943" s="97"/>
      <c r="S943" s="98"/>
      <c r="T943" s="97"/>
      <c r="U943" s="98"/>
      <c r="V943" s="100"/>
      <c r="W943" s="98"/>
      <c r="X943" s="96"/>
      <c r="Y943" s="98"/>
      <c r="Z943" s="96"/>
      <c r="AA943" s="97"/>
      <c r="AB943" s="96"/>
      <c r="AC943" s="98"/>
      <c r="AD943" s="98"/>
      <c r="AE943" s="98"/>
    </row>
    <row r="944" spans="2:31" x14ac:dyDescent="0.3">
      <c r="B944" s="96"/>
      <c r="C944" s="96"/>
      <c r="D944" s="96"/>
      <c r="E944" s="97"/>
      <c r="F944" s="96"/>
      <c r="G944" s="98"/>
      <c r="H944" s="96"/>
      <c r="I944" s="98"/>
      <c r="J944" s="97"/>
      <c r="K944" s="98"/>
      <c r="L944" s="100"/>
      <c r="M944" s="98"/>
      <c r="N944" s="96"/>
      <c r="O944" s="97"/>
      <c r="P944" s="70"/>
      <c r="Q944" s="97"/>
      <c r="R944" s="97"/>
      <c r="S944" s="98"/>
      <c r="T944" s="97"/>
      <c r="U944" s="98"/>
      <c r="V944" s="100"/>
      <c r="W944" s="98"/>
      <c r="X944" s="96"/>
      <c r="Y944" s="98"/>
      <c r="Z944" s="96"/>
      <c r="AA944" s="97"/>
      <c r="AB944" s="96"/>
      <c r="AC944" s="98"/>
      <c r="AD944" s="98"/>
      <c r="AE944" s="98"/>
    </row>
    <row r="945" spans="2:31" x14ac:dyDescent="0.3">
      <c r="B945" s="96"/>
      <c r="C945" s="96"/>
      <c r="D945" s="96"/>
      <c r="E945" s="97"/>
      <c r="F945" s="96"/>
      <c r="G945" s="98"/>
      <c r="H945" s="96"/>
      <c r="I945" s="98"/>
      <c r="J945" s="97"/>
      <c r="K945" s="98"/>
      <c r="L945" s="100"/>
      <c r="M945" s="98"/>
      <c r="N945" s="96"/>
      <c r="O945" s="97"/>
      <c r="P945" s="70"/>
      <c r="Q945" s="97"/>
      <c r="R945" s="97"/>
      <c r="S945" s="98"/>
      <c r="T945" s="97"/>
      <c r="U945" s="98"/>
      <c r="V945" s="100"/>
      <c r="W945" s="98"/>
      <c r="X945" s="96"/>
      <c r="Y945" s="98"/>
      <c r="Z945" s="96"/>
      <c r="AA945" s="97"/>
      <c r="AB945" s="96"/>
      <c r="AC945" s="98"/>
      <c r="AD945" s="98"/>
      <c r="AE945" s="98"/>
    </row>
    <row r="946" spans="2:31" x14ac:dyDescent="0.3">
      <c r="B946" s="96"/>
      <c r="C946" s="96"/>
      <c r="D946" s="96"/>
      <c r="E946" s="97"/>
      <c r="F946" s="96"/>
      <c r="G946" s="98"/>
      <c r="H946" s="96"/>
      <c r="I946" s="98"/>
      <c r="J946" s="97"/>
      <c r="K946" s="98"/>
      <c r="L946" s="100"/>
      <c r="M946" s="98"/>
      <c r="N946" s="96"/>
      <c r="O946" s="97"/>
      <c r="P946" s="70"/>
      <c r="Q946" s="97"/>
      <c r="R946" s="97"/>
      <c r="S946" s="98"/>
      <c r="T946" s="97"/>
      <c r="U946" s="98"/>
      <c r="V946" s="100"/>
      <c r="W946" s="98"/>
      <c r="X946" s="96"/>
      <c r="Y946" s="98"/>
      <c r="Z946" s="96"/>
      <c r="AA946" s="97"/>
      <c r="AB946" s="96"/>
      <c r="AC946" s="98"/>
      <c r="AD946" s="98"/>
      <c r="AE946" s="98"/>
    </row>
    <row r="947" spans="2:31" x14ac:dyDescent="0.3">
      <c r="B947" s="96"/>
      <c r="C947" s="96"/>
      <c r="D947" s="96"/>
      <c r="E947" s="97"/>
      <c r="F947" s="96"/>
      <c r="G947" s="98"/>
      <c r="H947" s="96"/>
      <c r="I947" s="98"/>
      <c r="J947" s="97"/>
      <c r="K947" s="98"/>
      <c r="L947" s="100"/>
      <c r="M947" s="98"/>
      <c r="N947" s="96"/>
      <c r="O947" s="97"/>
      <c r="P947" s="70"/>
      <c r="Q947" s="97"/>
      <c r="R947" s="97"/>
      <c r="S947" s="98"/>
      <c r="T947" s="97"/>
      <c r="U947" s="98"/>
      <c r="V947" s="100"/>
      <c r="W947" s="98"/>
      <c r="X947" s="96"/>
      <c r="Y947" s="98"/>
      <c r="Z947" s="96"/>
      <c r="AA947" s="97"/>
      <c r="AB947" s="96"/>
      <c r="AC947" s="98"/>
      <c r="AD947" s="98"/>
      <c r="AE947" s="98"/>
    </row>
    <row r="948" spans="2:31" x14ac:dyDescent="0.3">
      <c r="B948" s="96"/>
      <c r="C948" s="96"/>
      <c r="D948" s="96"/>
      <c r="E948" s="97"/>
      <c r="F948" s="96"/>
      <c r="G948" s="98"/>
      <c r="H948" s="96"/>
      <c r="I948" s="98"/>
      <c r="J948" s="97"/>
      <c r="K948" s="98"/>
      <c r="L948" s="100"/>
      <c r="M948" s="98"/>
      <c r="N948" s="96"/>
      <c r="O948" s="97"/>
      <c r="P948" s="70"/>
      <c r="Q948" s="97"/>
      <c r="R948" s="97"/>
      <c r="S948" s="98"/>
      <c r="T948" s="97"/>
      <c r="U948" s="98"/>
      <c r="V948" s="100"/>
      <c r="W948" s="98"/>
      <c r="X948" s="96"/>
      <c r="Y948" s="98"/>
      <c r="Z948" s="96"/>
      <c r="AA948" s="97"/>
      <c r="AB948" s="96"/>
      <c r="AC948" s="98"/>
      <c r="AD948" s="98"/>
      <c r="AE948" s="98"/>
    </row>
    <row r="949" spans="2:31" x14ac:dyDescent="0.3">
      <c r="B949" s="96"/>
      <c r="C949" s="96"/>
      <c r="D949" s="96"/>
      <c r="E949" s="97"/>
      <c r="F949" s="96"/>
      <c r="G949" s="98"/>
      <c r="H949" s="96"/>
      <c r="I949" s="98"/>
      <c r="J949" s="97"/>
      <c r="K949" s="98"/>
      <c r="L949" s="100"/>
      <c r="M949" s="98"/>
      <c r="N949" s="96"/>
      <c r="O949" s="97"/>
      <c r="P949" s="70"/>
      <c r="Q949" s="97"/>
      <c r="R949" s="97"/>
      <c r="S949" s="98"/>
      <c r="T949" s="97"/>
      <c r="U949" s="98"/>
      <c r="V949" s="100"/>
      <c r="W949" s="98"/>
      <c r="X949" s="96"/>
      <c r="Y949" s="98"/>
      <c r="Z949" s="96"/>
      <c r="AA949" s="97"/>
      <c r="AB949" s="96"/>
      <c r="AC949" s="98"/>
      <c r="AD949" s="98"/>
      <c r="AE949" s="98"/>
    </row>
    <row r="950" spans="2:31" x14ac:dyDescent="0.3">
      <c r="B950" s="96"/>
      <c r="C950" s="96"/>
      <c r="D950" s="96"/>
      <c r="E950" s="97"/>
      <c r="F950" s="96"/>
      <c r="G950" s="98"/>
      <c r="H950" s="96"/>
      <c r="I950" s="98"/>
      <c r="J950" s="97"/>
      <c r="K950" s="98"/>
      <c r="L950" s="100"/>
      <c r="M950" s="98"/>
      <c r="N950" s="96"/>
      <c r="O950" s="97"/>
      <c r="P950" s="70"/>
      <c r="Q950" s="97"/>
      <c r="R950" s="97"/>
      <c r="S950" s="98"/>
      <c r="T950" s="97"/>
      <c r="U950" s="98"/>
      <c r="V950" s="100"/>
      <c r="W950" s="98"/>
      <c r="X950" s="96"/>
      <c r="Y950" s="98"/>
      <c r="Z950" s="96"/>
      <c r="AA950" s="97"/>
      <c r="AB950" s="96"/>
      <c r="AC950" s="98"/>
      <c r="AD950" s="98"/>
      <c r="AE950" s="98"/>
    </row>
    <row r="951" spans="2:31" x14ac:dyDescent="0.3">
      <c r="B951" s="96"/>
      <c r="C951" s="96"/>
      <c r="D951" s="96"/>
      <c r="E951" s="97"/>
      <c r="F951" s="96"/>
      <c r="G951" s="98"/>
      <c r="H951" s="96"/>
      <c r="I951" s="98"/>
      <c r="J951" s="97"/>
      <c r="K951" s="98"/>
      <c r="L951" s="100"/>
      <c r="M951" s="98"/>
      <c r="N951" s="96"/>
      <c r="O951" s="97"/>
      <c r="P951" s="70"/>
      <c r="Q951" s="97"/>
      <c r="R951" s="97"/>
      <c r="S951" s="98"/>
      <c r="T951" s="97"/>
      <c r="U951" s="98"/>
      <c r="V951" s="100"/>
      <c r="W951" s="98"/>
      <c r="X951" s="96"/>
      <c r="Y951" s="98"/>
      <c r="Z951" s="96"/>
      <c r="AA951" s="97"/>
      <c r="AB951" s="96"/>
      <c r="AC951" s="98"/>
      <c r="AD951" s="98"/>
      <c r="AE951" s="98"/>
    </row>
    <row r="952" spans="2:31" x14ac:dyDescent="0.3">
      <c r="B952" s="96"/>
      <c r="C952" s="96"/>
      <c r="D952" s="96"/>
      <c r="E952" s="97"/>
      <c r="F952" s="96"/>
      <c r="G952" s="98"/>
      <c r="H952" s="96"/>
      <c r="I952" s="98"/>
      <c r="J952" s="97"/>
      <c r="K952" s="98"/>
      <c r="L952" s="100"/>
      <c r="M952" s="98"/>
      <c r="N952" s="96"/>
      <c r="O952" s="97"/>
      <c r="P952" s="70"/>
      <c r="Q952" s="97"/>
      <c r="R952" s="97"/>
      <c r="S952" s="98"/>
      <c r="T952" s="97"/>
      <c r="U952" s="98"/>
      <c r="V952" s="100"/>
      <c r="W952" s="98"/>
      <c r="X952" s="96"/>
      <c r="Y952" s="98"/>
      <c r="Z952" s="96"/>
      <c r="AA952" s="97"/>
      <c r="AB952" s="96"/>
      <c r="AC952" s="98"/>
      <c r="AD952" s="98"/>
      <c r="AE952" s="98"/>
    </row>
    <row r="953" spans="2:31" x14ac:dyDescent="0.3">
      <c r="B953" s="96"/>
      <c r="C953" s="96"/>
      <c r="D953" s="96"/>
      <c r="E953" s="97"/>
      <c r="F953" s="96"/>
      <c r="G953" s="98"/>
      <c r="H953" s="96"/>
      <c r="I953" s="98"/>
      <c r="J953" s="97"/>
      <c r="K953" s="98"/>
      <c r="L953" s="100"/>
      <c r="M953" s="98"/>
      <c r="N953" s="96"/>
      <c r="O953" s="97"/>
      <c r="P953" s="70"/>
      <c r="Q953" s="97"/>
      <c r="R953" s="97"/>
      <c r="S953" s="98"/>
      <c r="T953" s="97"/>
      <c r="U953" s="98"/>
      <c r="V953" s="100"/>
      <c r="W953" s="98"/>
      <c r="X953" s="96"/>
      <c r="Y953" s="98"/>
      <c r="Z953" s="96"/>
      <c r="AA953" s="97"/>
      <c r="AB953" s="96"/>
      <c r="AC953" s="98"/>
      <c r="AD953" s="98"/>
      <c r="AE953" s="98"/>
    </row>
    <row r="954" spans="2:31" x14ac:dyDescent="0.3">
      <c r="B954" s="96"/>
      <c r="C954" s="96"/>
      <c r="D954" s="96"/>
      <c r="E954" s="97"/>
      <c r="F954" s="96"/>
      <c r="G954" s="98"/>
      <c r="H954" s="96"/>
      <c r="I954" s="98"/>
      <c r="J954" s="97"/>
      <c r="K954" s="98"/>
      <c r="L954" s="100"/>
      <c r="M954" s="98"/>
      <c r="N954" s="96"/>
      <c r="O954" s="97"/>
      <c r="P954" s="70"/>
      <c r="Q954" s="97"/>
      <c r="R954" s="97"/>
      <c r="S954" s="98"/>
      <c r="T954" s="97"/>
      <c r="U954" s="98"/>
      <c r="V954" s="100"/>
      <c r="W954" s="98"/>
      <c r="X954" s="96"/>
      <c r="Y954" s="98"/>
      <c r="Z954" s="96"/>
      <c r="AA954" s="97"/>
      <c r="AB954" s="96"/>
      <c r="AC954" s="98"/>
      <c r="AD954" s="98"/>
      <c r="AE954" s="98"/>
    </row>
    <row r="955" spans="2:31" x14ac:dyDescent="0.3">
      <c r="B955" s="96"/>
      <c r="C955" s="96"/>
      <c r="D955" s="96"/>
      <c r="E955" s="97"/>
      <c r="F955" s="96"/>
      <c r="G955" s="98"/>
      <c r="H955" s="96"/>
      <c r="I955" s="98"/>
      <c r="J955" s="97"/>
      <c r="K955" s="98"/>
      <c r="L955" s="100"/>
      <c r="M955" s="98"/>
      <c r="N955" s="96"/>
      <c r="O955" s="97"/>
      <c r="P955" s="70"/>
      <c r="Q955" s="97"/>
      <c r="R955" s="97"/>
      <c r="S955" s="98"/>
      <c r="T955" s="97"/>
      <c r="U955" s="98"/>
      <c r="V955" s="100"/>
      <c r="W955" s="98"/>
      <c r="X955" s="96"/>
      <c r="Y955" s="98"/>
      <c r="Z955" s="96"/>
      <c r="AA955" s="97"/>
      <c r="AB955" s="96"/>
      <c r="AC955" s="98"/>
      <c r="AD955" s="98"/>
      <c r="AE955" s="98"/>
    </row>
    <row r="956" spans="2:31" x14ac:dyDescent="0.3">
      <c r="B956" s="96"/>
      <c r="C956" s="96"/>
      <c r="D956" s="96"/>
      <c r="E956" s="97"/>
      <c r="F956" s="96"/>
      <c r="G956" s="98"/>
      <c r="H956" s="96"/>
      <c r="I956" s="98"/>
      <c r="J956" s="97"/>
      <c r="K956" s="98"/>
      <c r="L956" s="100"/>
      <c r="M956" s="98"/>
      <c r="N956" s="96"/>
      <c r="O956" s="97"/>
      <c r="P956" s="70"/>
      <c r="Q956" s="97"/>
      <c r="R956" s="97"/>
      <c r="S956" s="98"/>
      <c r="T956" s="97"/>
      <c r="U956" s="98"/>
      <c r="V956" s="100"/>
      <c r="W956" s="98"/>
      <c r="X956" s="96"/>
      <c r="Y956" s="98"/>
      <c r="Z956" s="96"/>
      <c r="AA956" s="97"/>
      <c r="AB956" s="96"/>
      <c r="AC956" s="98"/>
      <c r="AD956" s="98"/>
      <c r="AE956" s="98"/>
    </row>
    <row r="957" spans="2:31" x14ac:dyDescent="0.3">
      <c r="B957" s="96"/>
      <c r="C957" s="96"/>
      <c r="D957" s="96"/>
      <c r="E957" s="97"/>
      <c r="F957" s="96"/>
      <c r="G957" s="98"/>
      <c r="H957" s="96"/>
      <c r="I957" s="98"/>
      <c r="J957" s="97"/>
      <c r="K957" s="98"/>
      <c r="L957" s="100"/>
      <c r="M957" s="98"/>
      <c r="N957" s="96"/>
      <c r="O957" s="97"/>
      <c r="P957" s="70"/>
      <c r="Q957" s="97"/>
      <c r="R957" s="97"/>
      <c r="S957" s="98"/>
      <c r="T957" s="97"/>
      <c r="U957" s="98"/>
      <c r="V957" s="100"/>
      <c r="W957" s="98"/>
      <c r="X957" s="96"/>
      <c r="Y957" s="98"/>
      <c r="Z957" s="96"/>
      <c r="AA957" s="97"/>
      <c r="AB957" s="96"/>
      <c r="AC957" s="98"/>
      <c r="AD957" s="98"/>
      <c r="AE957" s="98"/>
    </row>
    <row r="958" spans="2:31" x14ac:dyDescent="0.3">
      <c r="B958" s="96"/>
      <c r="C958" s="96"/>
      <c r="D958" s="96"/>
      <c r="E958" s="97"/>
      <c r="F958" s="96"/>
      <c r="G958" s="98"/>
      <c r="H958" s="96"/>
      <c r="I958" s="98"/>
      <c r="J958" s="97"/>
      <c r="K958" s="98"/>
      <c r="L958" s="100"/>
      <c r="M958" s="98"/>
      <c r="N958" s="96"/>
      <c r="O958" s="97"/>
      <c r="P958" s="70"/>
      <c r="Q958" s="97"/>
      <c r="R958" s="97"/>
      <c r="S958" s="98"/>
      <c r="T958" s="97"/>
      <c r="U958" s="98"/>
      <c r="V958" s="100"/>
      <c r="W958" s="98"/>
      <c r="X958" s="96"/>
      <c r="Y958" s="98"/>
      <c r="Z958" s="96"/>
      <c r="AA958" s="97"/>
      <c r="AB958" s="96"/>
      <c r="AC958" s="98"/>
      <c r="AD958" s="98"/>
      <c r="AE958" s="98"/>
    </row>
    <row r="959" spans="2:31" x14ac:dyDescent="0.3">
      <c r="B959" s="96"/>
      <c r="C959" s="96"/>
      <c r="D959" s="96"/>
      <c r="E959" s="97"/>
      <c r="F959" s="96"/>
      <c r="G959" s="98"/>
      <c r="H959" s="96"/>
      <c r="I959" s="98"/>
      <c r="J959" s="97"/>
      <c r="K959" s="98"/>
      <c r="L959" s="100"/>
      <c r="M959" s="98"/>
      <c r="N959" s="96"/>
      <c r="O959" s="97"/>
      <c r="P959" s="70"/>
      <c r="Q959" s="97"/>
      <c r="R959" s="97"/>
      <c r="S959" s="98"/>
      <c r="T959" s="97"/>
      <c r="U959" s="98"/>
      <c r="V959" s="100"/>
      <c r="W959" s="98"/>
      <c r="X959" s="96"/>
      <c r="Y959" s="98"/>
      <c r="Z959" s="96"/>
      <c r="AA959" s="97"/>
      <c r="AB959" s="96"/>
      <c r="AC959" s="98"/>
      <c r="AD959" s="98"/>
      <c r="AE959" s="98"/>
    </row>
    <row r="960" spans="2:31" x14ac:dyDescent="0.3">
      <c r="B960" s="96"/>
      <c r="C960" s="96"/>
      <c r="D960" s="96"/>
      <c r="E960" s="97"/>
      <c r="F960" s="96"/>
      <c r="G960" s="98"/>
      <c r="H960" s="96"/>
      <c r="I960" s="98"/>
      <c r="J960" s="97"/>
      <c r="K960" s="98"/>
      <c r="L960" s="100"/>
      <c r="M960" s="98"/>
      <c r="N960" s="96"/>
      <c r="O960" s="97"/>
      <c r="P960" s="70"/>
      <c r="Q960" s="97"/>
      <c r="R960" s="97"/>
      <c r="S960" s="98"/>
      <c r="T960" s="97"/>
      <c r="U960" s="98"/>
      <c r="V960" s="100"/>
      <c r="W960" s="98"/>
      <c r="X960" s="96"/>
      <c r="Y960" s="98"/>
      <c r="Z960" s="96"/>
      <c r="AA960" s="97"/>
      <c r="AB960" s="96"/>
      <c r="AC960" s="98"/>
      <c r="AD960" s="98"/>
      <c r="AE960" s="98"/>
    </row>
    <row r="961" spans="2:31" x14ac:dyDescent="0.3">
      <c r="B961" s="96"/>
      <c r="C961" s="96"/>
      <c r="D961" s="96"/>
      <c r="E961" s="97"/>
      <c r="F961" s="96"/>
      <c r="G961" s="98"/>
      <c r="H961" s="96"/>
      <c r="I961" s="98"/>
      <c r="J961" s="97"/>
      <c r="K961" s="98"/>
      <c r="L961" s="100"/>
      <c r="M961" s="98"/>
      <c r="N961" s="96"/>
      <c r="O961" s="97"/>
      <c r="P961" s="70"/>
      <c r="Q961" s="97"/>
      <c r="R961" s="97"/>
      <c r="S961" s="98"/>
      <c r="T961" s="97"/>
      <c r="U961" s="98"/>
      <c r="V961" s="100"/>
      <c r="W961" s="98"/>
      <c r="X961" s="96"/>
      <c r="Y961" s="98"/>
      <c r="Z961" s="96"/>
      <c r="AA961" s="97"/>
      <c r="AB961" s="96"/>
      <c r="AC961" s="98"/>
      <c r="AD961" s="98"/>
      <c r="AE961" s="98"/>
    </row>
    <row r="962" spans="2:31" x14ac:dyDescent="0.3">
      <c r="B962" s="96"/>
      <c r="C962" s="96"/>
      <c r="D962" s="96"/>
      <c r="E962" s="97"/>
      <c r="F962" s="96"/>
      <c r="G962" s="98"/>
      <c r="H962" s="96"/>
      <c r="I962" s="98"/>
      <c r="J962" s="97"/>
      <c r="K962" s="98"/>
      <c r="L962" s="100"/>
      <c r="M962" s="98"/>
      <c r="N962" s="96"/>
      <c r="O962" s="97"/>
      <c r="P962" s="70"/>
      <c r="Q962" s="97"/>
      <c r="R962" s="97"/>
      <c r="S962" s="98"/>
      <c r="T962" s="97"/>
      <c r="U962" s="98"/>
      <c r="V962" s="100"/>
      <c r="W962" s="98"/>
      <c r="X962" s="96"/>
      <c r="Y962" s="98"/>
      <c r="Z962" s="96"/>
      <c r="AA962" s="97"/>
      <c r="AB962" s="96"/>
      <c r="AC962" s="98"/>
      <c r="AD962" s="98"/>
      <c r="AE962" s="98"/>
    </row>
    <row r="963" spans="2:31" x14ac:dyDescent="0.3">
      <c r="B963" s="96"/>
      <c r="C963" s="96"/>
      <c r="D963" s="96"/>
      <c r="E963" s="97"/>
      <c r="F963" s="96"/>
      <c r="G963" s="98"/>
      <c r="H963" s="96"/>
      <c r="I963" s="98"/>
      <c r="J963" s="97"/>
      <c r="K963" s="98"/>
      <c r="L963" s="100"/>
      <c r="M963" s="98"/>
      <c r="N963" s="96"/>
      <c r="O963" s="97"/>
      <c r="P963" s="70"/>
      <c r="Q963" s="97"/>
      <c r="R963" s="97"/>
      <c r="S963" s="98"/>
      <c r="T963" s="97"/>
      <c r="U963" s="98"/>
      <c r="V963" s="100"/>
      <c r="W963" s="98"/>
      <c r="X963" s="96"/>
      <c r="Y963" s="98"/>
      <c r="Z963" s="96"/>
      <c r="AA963" s="97"/>
      <c r="AB963" s="96"/>
      <c r="AC963" s="98"/>
      <c r="AD963" s="98"/>
      <c r="AE963" s="98"/>
    </row>
    <row r="964" spans="2:31" x14ac:dyDescent="0.3">
      <c r="B964" s="96"/>
      <c r="C964" s="96"/>
      <c r="D964" s="96"/>
      <c r="E964" s="97"/>
      <c r="F964" s="96"/>
      <c r="G964" s="98"/>
      <c r="H964" s="96"/>
      <c r="I964" s="98"/>
      <c r="J964" s="97"/>
      <c r="K964" s="98"/>
      <c r="L964" s="100"/>
      <c r="M964" s="98"/>
      <c r="N964" s="96"/>
      <c r="O964" s="97"/>
      <c r="P964" s="70"/>
      <c r="Q964" s="97"/>
      <c r="R964" s="97"/>
      <c r="S964" s="98"/>
      <c r="T964" s="97"/>
      <c r="U964" s="98"/>
      <c r="V964" s="100"/>
      <c r="W964" s="98"/>
      <c r="X964" s="96"/>
      <c r="Y964" s="98"/>
      <c r="Z964" s="96"/>
      <c r="AA964" s="97"/>
      <c r="AB964" s="96"/>
      <c r="AC964" s="98"/>
      <c r="AD964" s="98"/>
      <c r="AE964" s="98"/>
    </row>
    <row r="965" spans="2:31" x14ac:dyDescent="0.3">
      <c r="B965" s="96"/>
      <c r="C965" s="96"/>
      <c r="D965" s="96"/>
      <c r="E965" s="97"/>
      <c r="F965" s="96"/>
      <c r="G965" s="98"/>
      <c r="H965" s="96"/>
      <c r="I965" s="98"/>
      <c r="J965" s="97"/>
      <c r="K965" s="98"/>
      <c r="L965" s="100"/>
      <c r="M965" s="98"/>
      <c r="N965" s="96"/>
      <c r="O965" s="97"/>
      <c r="P965" s="70"/>
      <c r="Q965" s="97"/>
      <c r="R965" s="97"/>
      <c r="S965" s="98"/>
      <c r="T965" s="97"/>
      <c r="U965" s="98"/>
      <c r="V965" s="100"/>
      <c r="W965" s="98"/>
      <c r="X965" s="96"/>
      <c r="Y965" s="98"/>
      <c r="Z965" s="96"/>
      <c r="AA965" s="97"/>
      <c r="AB965" s="96"/>
      <c r="AC965" s="98"/>
      <c r="AD965" s="98"/>
      <c r="AE965" s="98"/>
    </row>
    <row r="966" spans="2:31" x14ac:dyDescent="0.3">
      <c r="B966" s="96"/>
      <c r="C966" s="96"/>
      <c r="D966" s="96"/>
      <c r="E966" s="97"/>
      <c r="F966" s="96"/>
      <c r="G966" s="98"/>
      <c r="H966" s="96"/>
      <c r="I966" s="98"/>
      <c r="J966" s="97"/>
      <c r="K966" s="98"/>
      <c r="L966" s="100"/>
      <c r="M966" s="98"/>
      <c r="N966" s="96"/>
      <c r="O966" s="97"/>
      <c r="P966" s="70"/>
      <c r="Q966" s="97"/>
      <c r="R966" s="97"/>
      <c r="S966" s="98"/>
      <c r="T966" s="97"/>
      <c r="U966" s="98"/>
      <c r="V966" s="100"/>
      <c r="W966" s="98"/>
      <c r="X966" s="96"/>
      <c r="Y966" s="98"/>
      <c r="Z966" s="96"/>
      <c r="AA966" s="97"/>
      <c r="AB966" s="96"/>
      <c r="AC966" s="98"/>
      <c r="AD966" s="98"/>
      <c r="AE966" s="98"/>
    </row>
    <row r="967" spans="2:31" x14ac:dyDescent="0.3">
      <c r="B967" s="96"/>
      <c r="C967" s="96"/>
      <c r="D967" s="96"/>
      <c r="E967" s="97"/>
      <c r="F967" s="96"/>
      <c r="G967" s="98"/>
      <c r="H967" s="96"/>
      <c r="I967" s="98"/>
      <c r="J967" s="97"/>
      <c r="K967" s="98"/>
      <c r="L967" s="100"/>
      <c r="M967" s="98"/>
      <c r="N967" s="96"/>
      <c r="O967" s="97"/>
      <c r="P967" s="70"/>
      <c r="Q967" s="97"/>
      <c r="R967" s="97"/>
      <c r="S967" s="98"/>
      <c r="T967" s="97"/>
      <c r="U967" s="98"/>
      <c r="V967" s="100"/>
      <c r="W967" s="98"/>
      <c r="X967" s="96"/>
      <c r="Y967" s="98"/>
      <c r="Z967" s="96"/>
      <c r="AA967" s="97"/>
      <c r="AB967" s="96"/>
      <c r="AC967" s="98"/>
      <c r="AD967" s="98"/>
      <c r="AE967" s="98"/>
    </row>
    <row r="968" spans="2:31" x14ac:dyDescent="0.3">
      <c r="B968" s="96"/>
      <c r="C968" s="96"/>
      <c r="D968" s="96"/>
      <c r="E968" s="97"/>
      <c r="F968" s="96"/>
      <c r="G968" s="98"/>
      <c r="H968" s="96"/>
      <c r="I968" s="98"/>
      <c r="J968" s="97"/>
      <c r="K968" s="98"/>
      <c r="L968" s="100"/>
      <c r="M968" s="98"/>
      <c r="N968" s="96"/>
      <c r="O968" s="97"/>
      <c r="P968" s="70"/>
      <c r="Q968" s="97"/>
      <c r="R968" s="97"/>
      <c r="S968" s="98"/>
      <c r="T968" s="97"/>
      <c r="U968" s="98"/>
      <c r="V968" s="100"/>
      <c r="W968" s="98"/>
      <c r="X968" s="96"/>
      <c r="Y968" s="98"/>
      <c r="Z968" s="96"/>
      <c r="AA968" s="97"/>
      <c r="AB968" s="96"/>
      <c r="AC968" s="98"/>
      <c r="AD968" s="98"/>
      <c r="AE968" s="98"/>
    </row>
    <row r="969" spans="2:31" x14ac:dyDescent="0.3">
      <c r="B969" s="96"/>
      <c r="C969" s="96"/>
      <c r="D969" s="96"/>
      <c r="E969" s="97"/>
      <c r="F969" s="96"/>
      <c r="G969" s="98"/>
      <c r="H969" s="96"/>
      <c r="I969" s="98"/>
      <c r="J969" s="97"/>
      <c r="K969" s="98"/>
      <c r="L969" s="100"/>
      <c r="M969" s="98"/>
      <c r="N969" s="96"/>
      <c r="O969" s="97"/>
      <c r="P969" s="70"/>
      <c r="Q969" s="97"/>
      <c r="R969" s="97"/>
      <c r="S969" s="98"/>
      <c r="T969" s="97"/>
      <c r="U969" s="98"/>
      <c r="V969" s="100"/>
      <c r="W969" s="98"/>
      <c r="X969" s="96"/>
      <c r="Y969" s="98"/>
      <c r="Z969" s="96"/>
      <c r="AA969" s="97"/>
      <c r="AB969" s="96"/>
      <c r="AC969" s="98"/>
      <c r="AD969" s="98"/>
      <c r="AE969" s="98"/>
    </row>
    <row r="970" spans="2:31" x14ac:dyDescent="0.3">
      <c r="B970" s="96"/>
      <c r="C970" s="96"/>
      <c r="D970" s="96"/>
      <c r="E970" s="97"/>
      <c r="F970" s="96"/>
      <c r="G970" s="98"/>
      <c r="H970" s="96"/>
      <c r="I970" s="98"/>
      <c r="J970" s="97"/>
      <c r="K970" s="98"/>
      <c r="L970" s="100"/>
      <c r="M970" s="98"/>
      <c r="N970" s="96"/>
      <c r="O970" s="97"/>
      <c r="P970" s="70"/>
      <c r="Q970" s="97"/>
      <c r="R970" s="97"/>
      <c r="S970" s="98"/>
      <c r="T970" s="97"/>
      <c r="U970" s="98"/>
      <c r="V970" s="100"/>
      <c r="W970" s="98"/>
      <c r="X970" s="96"/>
      <c r="Y970" s="98"/>
      <c r="Z970" s="96"/>
      <c r="AA970" s="97"/>
      <c r="AB970" s="96"/>
      <c r="AC970" s="98"/>
      <c r="AD970" s="98"/>
      <c r="AE970" s="98"/>
    </row>
    <row r="971" spans="2:31" x14ac:dyDescent="0.3">
      <c r="B971" s="96"/>
      <c r="C971" s="96"/>
      <c r="D971" s="96"/>
      <c r="E971" s="97"/>
      <c r="F971" s="96"/>
      <c r="G971" s="98"/>
      <c r="H971" s="96"/>
      <c r="I971" s="98"/>
      <c r="J971" s="97"/>
      <c r="K971" s="98"/>
      <c r="L971" s="100"/>
      <c r="M971" s="98"/>
      <c r="N971" s="96"/>
      <c r="O971" s="97"/>
      <c r="P971" s="70"/>
      <c r="Q971" s="97"/>
      <c r="R971" s="97"/>
      <c r="S971" s="98"/>
      <c r="T971" s="97"/>
      <c r="U971" s="98"/>
      <c r="V971" s="100"/>
      <c r="W971" s="98"/>
      <c r="X971" s="96"/>
      <c r="Y971" s="98"/>
      <c r="Z971" s="96"/>
      <c r="AA971" s="97"/>
      <c r="AB971" s="96"/>
      <c r="AC971" s="98"/>
      <c r="AD971" s="98"/>
      <c r="AE971" s="98"/>
    </row>
    <row r="972" spans="2:31" x14ac:dyDescent="0.3">
      <c r="B972" s="96"/>
      <c r="C972" s="96"/>
      <c r="D972" s="96"/>
      <c r="E972" s="97"/>
      <c r="F972" s="96"/>
      <c r="G972" s="98"/>
      <c r="H972" s="96"/>
      <c r="I972" s="98"/>
      <c r="J972" s="97"/>
      <c r="K972" s="98"/>
      <c r="L972" s="100"/>
      <c r="M972" s="98"/>
      <c r="N972" s="96"/>
      <c r="O972" s="97"/>
      <c r="P972" s="70"/>
      <c r="Q972" s="97"/>
      <c r="R972" s="97"/>
      <c r="S972" s="98"/>
      <c r="T972" s="97"/>
      <c r="U972" s="98"/>
      <c r="V972" s="100"/>
      <c r="W972" s="98"/>
      <c r="X972" s="96"/>
      <c r="Y972" s="98"/>
      <c r="Z972" s="96"/>
      <c r="AA972" s="97"/>
      <c r="AB972" s="96"/>
      <c r="AC972" s="98"/>
      <c r="AD972" s="98"/>
      <c r="AE972" s="98"/>
    </row>
    <row r="973" spans="2:31" x14ac:dyDescent="0.3">
      <c r="B973" s="96"/>
      <c r="C973" s="96"/>
      <c r="D973" s="96"/>
      <c r="E973" s="97"/>
      <c r="F973" s="96"/>
      <c r="G973" s="98"/>
      <c r="H973" s="96"/>
      <c r="I973" s="98"/>
      <c r="J973" s="97"/>
      <c r="K973" s="98"/>
      <c r="L973" s="100"/>
      <c r="M973" s="98"/>
      <c r="N973" s="96"/>
      <c r="O973" s="97"/>
      <c r="P973" s="70"/>
      <c r="Q973" s="97"/>
      <c r="R973" s="97"/>
      <c r="S973" s="98"/>
      <c r="T973" s="97"/>
      <c r="U973" s="98"/>
      <c r="V973" s="100"/>
      <c r="W973" s="98"/>
      <c r="X973" s="96"/>
      <c r="Y973" s="98"/>
      <c r="Z973" s="96"/>
      <c r="AA973" s="97"/>
      <c r="AB973" s="96"/>
      <c r="AC973" s="98"/>
      <c r="AD973" s="98"/>
      <c r="AE973" s="98"/>
    </row>
    <row r="974" spans="2:31" x14ac:dyDescent="0.3">
      <c r="B974" s="96"/>
      <c r="C974" s="96"/>
      <c r="D974" s="96"/>
      <c r="E974" s="97"/>
      <c r="F974" s="96"/>
      <c r="G974" s="98"/>
      <c r="H974" s="96"/>
      <c r="I974" s="98"/>
      <c r="J974" s="97"/>
      <c r="K974" s="98"/>
      <c r="L974" s="100"/>
      <c r="M974" s="98"/>
      <c r="N974" s="96"/>
      <c r="O974" s="97"/>
      <c r="P974" s="70"/>
      <c r="Q974" s="97"/>
      <c r="R974" s="97"/>
      <c r="S974" s="98"/>
      <c r="T974" s="97"/>
      <c r="U974" s="98"/>
      <c r="V974" s="100"/>
      <c r="W974" s="98"/>
      <c r="X974" s="96"/>
      <c r="Y974" s="98"/>
      <c r="Z974" s="96"/>
      <c r="AA974" s="97"/>
      <c r="AB974" s="96"/>
      <c r="AC974" s="98"/>
      <c r="AD974" s="98"/>
      <c r="AE974" s="98"/>
    </row>
    <row r="975" spans="2:31" x14ac:dyDescent="0.3">
      <c r="B975" s="96"/>
      <c r="C975" s="96"/>
      <c r="D975" s="96"/>
      <c r="E975" s="97"/>
      <c r="F975" s="96"/>
      <c r="G975" s="98"/>
      <c r="H975" s="96"/>
      <c r="I975" s="98"/>
      <c r="J975" s="97"/>
      <c r="K975" s="98"/>
      <c r="L975" s="100"/>
      <c r="M975" s="98"/>
      <c r="N975" s="96"/>
      <c r="O975" s="97"/>
      <c r="P975" s="70"/>
      <c r="Q975" s="97"/>
      <c r="R975" s="97"/>
      <c r="S975" s="98"/>
      <c r="T975" s="97"/>
      <c r="U975" s="98"/>
      <c r="V975" s="100"/>
      <c r="W975" s="98"/>
      <c r="X975" s="96"/>
      <c r="Y975" s="98"/>
      <c r="Z975" s="96"/>
      <c r="AA975" s="97"/>
      <c r="AB975" s="96"/>
      <c r="AC975" s="98"/>
      <c r="AD975" s="98"/>
      <c r="AE975" s="98"/>
    </row>
    <row r="976" spans="2:31" x14ac:dyDescent="0.3">
      <c r="B976" s="96"/>
      <c r="C976" s="96"/>
      <c r="D976" s="96"/>
      <c r="E976" s="97"/>
      <c r="F976" s="96"/>
      <c r="G976" s="98"/>
      <c r="H976" s="96"/>
      <c r="I976" s="98"/>
      <c r="J976" s="97"/>
      <c r="K976" s="98"/>
      <c r="L976" s="100"/>
      <c r="M976" s="98"/>
      <c r="N976" s="96"/>
      <c r="O976" s="97"/>
      <c r="P976" s="70"/>
      <c r="Q976" s="97"/>
      <c r="R976" s="97"/>
      <c r="S976" s="98"/>
      <c r="T976" s="97"/>
      <c r="U976" s="98"/>
      <c r="V976" s="100"/>
      <c r="W976" s="98"/>
      <c r="X976" s="96"/>
      <c r="Y976" s="98"/>
      <c r="Z976" s="96"/>
      <c r="AA976" s="97"/>
      <c r="AB976" s="96"/>
      <c r="AC976" s="98"/>
      <c r="AD976" s="98"/>
      <c r="AE976" s="98"/>
    </row>
    <row r="977" spans="2:31" x14ac:dyDescent="0.3">
      <c r="B977" s="96"/>
      <c r="C977" s="96"/>
      <c r="D977" s="96"/>
      <c r="E977" s="97"/>
      <c r="F977" s="96"/>
      <c r="G977" s="98"/>
      <c r="H977" s="96"/>
      <c r="I977" s="98"/>
      <c r="J977" s="97"/>
      <c r="K977" s="98"/>
      <c r="L977" s="100"/>
      <c r="M977" s="98"/>
      <c r="N977" s="96"/>
      <c r="O977" s="97"/>
      <c r="P977" s="70"/>
      <c r="Q977" s="97"/>
      <c r="R977" s="97"/>
      <c r="S977" s="98"/>
      <c r="T977" s="97"/>
      <c r="U977" s="98"/>
      <c r="V977" s="100"/>
      <c r="W977" s="98"/>
      <c r="X977" s="96"/>
      <c r="Y977" s="98"/>
      <c r="Z977" s="96"/>
      <c r="AA977" s="97"/>
      <c r="AB977" s="96"/>
      <c r="AC977" s="98"/>
      <c r="AD977" s="98"/>
      <c r="AE977" s="98"/>
    </row>
    <row r="978" spans="2:31" x14ac:dyDescent="0.3">
      <c r="B978" s="96"/>
      <c r="C978" s="96"/>
      <c r="D978" s="96"/>
      <c r="E978" s="97"/>
      <c r="F978" s="96"/>
      <c r="G978" s="98"/>
      <c r="H978" s="96"/>
      <c r="I978" s="98"/>
      <c r="J978" s="97"/>
      <c r="K978" s="98"/>
      <c r="L978" s="100"/>
      <c r="M978" s="98"/>
      <c r="N978" s="96"/>
      <c r="O978" s="97"/>
      <c r="P978" s="70"/>
      <c r="Q978" s="97"/>
      <c r="R978" s="97"/>
      <c r="S978" s="98"/>
      <c r="T978" s="97"/>
      <c r="U978" s="98"/>
      <c r="V978" s="100"/>
      <c r="W978" s="98"/>
      <c r="X978" s="96"/>
      <c r="Y978" s="98"/>
      <c r="Z978" s="96"/>
      <c r="AA978" s="97"/>
      <c r="AB978" s="96"/>
      <c r="AC978" s="98"/>
      <c r="AD978" s="98"/>
      <c r="AE978" s="98"/>
    </row>
    <row r="979" spans="2:31" x14ac:dyDescent="0.3">
      <c r="B979" s="96"/>
      <c r="C979" s="96"/>
      <c r="D979" s="96"/>
      <c r="E979" s="97"/>
      <c r="F979" s="96"/>
      <c r="G979" s="98"/>
      <c r="H979" s="96"/>
      <c r="I979" s="98"/>
      <c r="J979" s="97"/>
      <c r="K979" s="98"/>
      <c r="L979" s="100"/>
      <c r="M979" s="98"/>
      <c r="N979" s="96"/>
      <c r="O979" s="97"/>
      <c r="P979" s="70"/>
      <c r="Q979" s="97"/>
      <c r="R979" s="97"/>
      <c r="S979" s="98"/>
      <c r="T979" s="97"/>
      <c r="U979" s="98"/>
      <c r="V979" s="100"/>
      <c r="W979" s="98"/>
      <c r="X979" s="96"/>
      <c r="Y979" s="98"/>
      <c r="Z979" s="96"/>
      <c r="AA979" s="97"/>
      <c r="AB979" s="96"/>
      <c r="AC979" s="98"/>
      <c r="AD979" s="98"/>
      <c r="AE979" s="98"/>
    </row>
    <row r="980" spans="2:31" x14ac:dyDescent="0.3">
      <c r="B980" s="96"/>
      <c r="C980" s="96"/>
      <c r="D980" s="96"/>
      <c r="E980" s="97"/>
      <c r="F980" s="96"/>
      <c r="G980" s="98"/>
      <c r="H980" s="96"/>
      <c r="I980" s="98"/>
      <c r="J980" s="97"/>
      <c r="K980" s="98"/>
      <c r="L980" s="100"/>
      <c r="M980" s="98"/>
      <c r="N980" s="96"/>
      <c r="O980" s="97"/>
      <c r="P980" s="70"/>
      <c r="Q980" s="97"/>
      <c r="R980" s="97"/>
      <c r="S980" s="98"/>
      <c r="T980" s="97"/>
      <c r="U980" s="98"/>
      <c r="V980" s="100"/>
      <c r="W980" s="98"/>
      <c r="X980" s="96"/>
      <c r="Y980" s="98"/>
      <c r="Z980" s="96"/>
      <c r="AA980" s="97"/>
      <c r="AB980" s="96"/>
      <c r="AC980" s="98"/>
      <c r="AD980" s="98"/>
      <c r="AE980" s="98"/>
    </row>
    <row r="981" spans="2:31" x14ac:dyDescent="0.3">
      <c r="B981" s="96"/>
      <c r="C981" s="96"/>
      <c r="D981" s="96"/>
      <c r="E981" s="97"/>
      <c r="F981" s="96"/>
      <c r="G981" s="98"/>
      <c r="H981" s="96"/>
      <c r="I981" s="98"/>
      <c r="J981" s="97"/>
      <c r="K981" s="98"/>
      <c r="L981" s="100"/>
      <c r="M981" s="98"/>
      <c r="N981" s="96"/>
      <c r="O981" s="97"/>
      <c r="P981" s="70"/>
      <c r="Q981" s="97"/>
      <c r="R981" s="97"/>
      <c r="S981" s="98"/>
      <c r="T981" s="97"/>
      <c r="U981" s="98"/>
      <c r="V981" s="100"/>
      <c r="W981" s="98"/>
      <c r="X981" s="96"/>
      <c r="Y981" s="98"/>
      <c r="Z981" s="96"/>
      <c r="AA981" s="97"/>
      <c r="AB981" s="96"/>
      <c r="AC981" s="98"/>
      <c r="AD981" s="98"/>
      <c r="AE981" s="98"/>
    </row>
    <row r="982" spans="2:31" x14ac:dyDescent="0.3">
      <c r="B982" s="96"/>
      <c r="C982" s="96"/>
      <c r="D982" s="96"/>
      <c r="E982" s="97"/>
      <c r="F982" s="96"/>
      <c r="G982" s="98"/>
      <c r="H982" s="96"/>
      <c r="I982" s="98"/>
      <c r="J982" s="97"/>
      <c r="K982" s="98"/>
      <c r="L982" s="100"/>
      <c r="M982" s="98"/>
      <c r="N982" s="96"/>
      <c r="O982" s="97"/>
      <c r="P982" s="70"/>
      <c r="Q982" s="97"/>
      <c r="R982" s="97"/>
      <c r="S982" s="98"/>
      <c r="T982" s="97"/>
      <c r="U982" s="98"/>
      <c r="V982" s="100"/>
      <c r="W982" s="98"/>
      <c r="X982" s="96"/>
      <c r="Y982" s="98"/>
      <c r="Z982" s="96"/>
      <c r="AA982" s="97"/>
      <c r="AB982" s="96"/>
      <c r="AC982" s="98"/>
      <c r="AD982" s="98"/>
      <c r="AE982" s="98"/>
    </row>
    <row r="983" spans="2:31" x14ac:dyDescent="0.3">
      <c r="B983" s="96"/>
      <c r="C983" s="96"/>
      <c r="D983" s="96"/>
      <c r="E983" s="97"/>
      <c r="F983" s="96"/>
      <c r="G983" s="98"/>
      <c r="H983" s="96"/>
      <c r="I983" s="98"/>
      <c r="J983" s="97"/>
      <c r="K983" s="98"/>
      <c r="L983" s="100"/>
      <c r="M983" s="98"/>
      <c r="N983" s="96"/>
      <c r="O983" s="97"/>
      <c r="P983" s="70"/>
      <c r="Q983" s="97"/>
      <c r="R983" s="97"/>
      <c r="S983" s="98"/>
      <c r="T983" s="97"/>
      <c r="U983" s="98"/>
      <c r="V983" s="100"/>
      <c r="W983" s="98"/>
      <c r="X983" s="96"/>
      <c r="Y983" s="98"/>
      <c r="Z983" s="96"/>
      <c r="AA983" s="97"/>
      <c r="AB983" s="96"/>
      <c r="AC983" s="98"/>
      <c r="AD983" s="98"/>
      <c r="AE983" s="98"/>
    </row>
    <row r="984" spans="2:31" x14ac:dyDescent="0.3">
      <c r="B984" s="96"/>
      <c r="C984" s="96"/>
      <c r="D984" s="96"/>
      <c r="E984" s="97"/>
      <c r="F984" s="96"/>
      <c r="G984" s="98"/>
      <c r="H984" s="96"/>
      <c r="I984" s="98"/>
      <c r="J984" s="97"/>
      <c r="K984" s="98"/>
      <c r="L984" s="100"/>
      <c r="M984" s="98"/>
      <c r="N984" s="96"/>
      <c r="O984" s="97"/>
      <c r="P984" s="70"/>
      <c r="Q984" s="97"/>
      <c r="R984" s="97"/>
      <c r="S984" s="98"/>
      <c r="T984" s="97"/>
      <c r="U984" s="98"/>
      <c r="V984" s="100"/>
      <c r="W984" s="98"/>
      <c r="X984" s="96"/>
      <c r="Y984" s="98"/>
      <c r="Z984" s="96"/>
      <c r="AA984" s="97"/>
      <c r="AB984" s="96"/>
      <c r="AC984" s="98"/>
      <c r="AD984" s="98"/>
      <c r="AE984" s="98"/>
    </row>
    <row r="985" spans="2:31" x14ac:dyDescent="0.3">
      <c r="B985" s="96"/>
      <c r="C985" s="96"/>
      <c r="D985" s="96"/>
      <c r="E985" s="97"/>
      <c r="F985" s="96"/>
      <c r="G985" s="98"/>
      <c r="H985" s="96"/>
      <c r="I985" s="98"/>
      <c r="J985" s="97"/>
      <c r="K985" s="98"/>
      <c r="L985" s="100"/>
      <c r="M985" s="98"/>
      <c r="N985" s="96"/>
      <c r="O985" s="97"/>
      <c r="P985" s="70"/>
      <c r="Q985" s="97"/>
      <c r="R985" s="97"/>
      <c r="S985" s="98"/>
      <c r="T985" s="97"/>
      <c r="U985" s="98"/>
      <c r="V985" s="100"/>
      <c r="W985" s="98"/>
      <c r="X985" s="96"/>
      <c r="Y985" s="98"/>
      <c r="Z985" s="96"/>
      <c r="AA985" s="97"/>
      <c r="AB985" s="96"/>
      <c r="AC985" s="98"/>
      <c r="AD985" s="98"/>
      <c r="AE985" s="98"/>
    </row>
    <row r="986" spans="2:31" x14ac:dyDescent="0.3">
      <c r="B986" s="96"/>
      <c r="C986" s="96"/>
      <c r="D986" s="96"/>
      <c r="E986" s="97"/>
      <c r="F986" s="96"/>
      <c r="G986" s="98"/>
      <c r="H986" s="96"/>
      <c r="I986" s="98"/>
      <c r="J986" s="97"/>
      <c r="K986" s="98"/>
      <c r="L986" s="100"/>
      <c r="M986" s="98"/>
      <c r="N986" s="96"/>
      <c r="O986" s="97"/>
      <c r="P986" s="70"/>
      <c r="Q986" s="97"/>
      <c r="R986" s="97"/>
      <c r="S986" s="98"/>
      <c r="T986" s="97"/>
      <c r="U986" s="98"/>
      <c r="V986" s="100"/>
      <c r="W986" s="98"/>
      <c r="X986" s="96"/>
      <c r="Y986" s="98"/>
      <c r="Z986" s="96"/>
      <c r="AA986" s="97"/>
      <c r="AB986" s="96"/>
      <c r="AC986" s="98"/>
      <c r="AD986" s="98"/>
      <c r="AE986" s="98"/>
    </row>
    <row r="987" spans="2:31" x14ac:dyDescent="0.3">
      <c r="B987" s="96"/>
      <c r="C987" s="96"/>
      <c r="D987" s="96"/>
      <c r="E987" s="97"/>
      <c r="F987" s="96"/>
      <c r="G987" s="98"/>
      <c r="H987" s="96"/>
      <c r="I987" s="98"/>
      <c r="J987" s="97"/>
      <c r="K987" s="98"/>
      <c r="L987" s="100"/>
      <c r="M987" s="98"/>
      <c r="N987" s="96"/>
      <c r="O987" s="97"/>
      <c r="P987" s="70"/>
      <c r="Q987" s="97"/>
      <c r="R987" s="97"/>
      <c r="S987" s="98"/>
      <c r="T987" s="97"/>
      <c r="U987" s="98"/>
      <c r="V987" s="100"/>
      <c r="W987" s="98"/>
      <c r="X987" s="96"/>
      <c r="Y987" s="98"/>
      <c r="Z987" s="96"/>
      <c r="AA987" s="97"/>
      <c r="AB987" s="96"/>
      <c r="AC987" s="98"/>
      <c r="AD987" s="98"/>
      <c r="AE987" s="98"/>
    </row>
    <row r="988" spans="2:31" x14ac:dyDescent="0.3">
      <c r="B988" s="96"/>
      <c r="C988" s="96"/>
      <c r="D988" s="96"/>
      <c r="E988" s="97"/>
      <c r="F988" s="96"/>
      <c r="G988" s="98"/>
      <c r="H988" s="96"/>
      <c r="I988" s="98"/>
      <c r="J988" s="97"/>
      <c r="K988" s="98"/>
      <c r="L988" s="100"/>
      <c r="M988" s="98"/>
      <c r="N988" s="96"/>
      <c r="O988" s="97"/>
      <c r="P988" s="70"/>
      <c r="Q988" s="97"/>
      <c r="R988" s="97"/>
      <c r="S988" s="98"/>
      <c r="T988" s="97"/>
      <c r="U988" s="98"/>
      <c r="V988" s="100"/>
      <c r="W988" s="98"/>
      <c r="X988" s="96"/>
      <c r="Y988" s="98"/>
      <c r="Z988" s="96"/>
      <c r="AA988" s="97"/>
      <c r="AB988" s="96"/>
      <c r="AC988" s="98"/>
      <c r="AD988" s="98"/>
      <c r="AE988" s="98"/>
    </row>
    <row r="989" spans="2:31" x14ac:dyDescent="0.3">
      <c r="B989" s="96"/>
      <c r="C989" s="96"/>
      <c r="D989" s="96"/>
      <c r="E989" s="97"/>
      <c r="F989" s="96"/>
      <c r="G989" s="98"/>
      <c r="H989" s="96"/>
      <c r="I989" s="98"/>
      <c r="J989" s="97"/>
      <c r="K989" s="98"/>
      <c r="L989" s="100"/>
      <c r="M989" s="98"/>
      <c r="N989" s="96"/>
      <c r="O989" s="97"/>
      <c r="P989" s="70"/>
      <c r="Q989" s="97"/>
      <c r="R989" s="97"/>
      <c r="S989" s="98"/>
      <c r="T989" s="97"/>
      <c r="U989" s="98"/>
      <c r="V989" s="100"/>
      <c r="W989" s="98"/>
      <c r="X989" s="96"/>
      <c r="Y989" s="98"/>
      <c r="Z989" s="96"/>
      <c r="AA989" s="97"/>
      <c r="AB989" s="96"/>
      <c r="AC989" s="98"/>
      <c r="AD989" s="98"/>
      <c r="AE989" s="98"/>
    </row>
    <row r="990" spans="2:31" x14ac:dyDescent="0.3">
      <c r="B990" s="96"/>
      <c r="C990" s="96"/>
      <c r="D990" s="96"/>
      <c r="E990" s="97"/>
      <c r="F990" s="96"/>
      <c r="G990" s="98"/>
      <c r="H990" s="96"/>
      <c r="I990" s="98"/>
      <c r="J990" s="97"/>
      <c r="K990" s="98"/>
      <c r="L990" s="100"/>
      <c r="M990" s="98"/>
      <c r="N990" s="96"/>
      <c r="O990" s="97"/>
      <c r="P990" s="70"/>
      <c r="Q990" s="97"/>
      <c r="R990" s="97"/>
      <c r="S990" s="98"/>
      <c r="T990" s="97"/>
      <c r="U990" s="98"/>
      <c r="V990" s="100"/>
      <c r="W990" s="98"/>
      <c r="X990" s="96"/>
      <c r="Y990" s="98"/>
      <c r="Z990" s="96"/>
      <c r="AA990" s="97"/>
      <c r="AB990" s="96"/>
      <c r="AC990" s="98"/>
      <c r="AD990" s="98"/>
      <c r="AE990" s="98"/>
    </row>
    <row r="991" spans="2:31" x14ac:dyDescent="0.3">
      <c r="B991" s="96"/>
      <c r="C991" s="96"/>
      <c r="D991" s="96"/>
      <c r="E991" s="97"/>
      <c r="F991" s="96"/>
      <c r="G991" s="98"/>
      <c r="H991" s="96"/>
      <c r="I991" s="98"/>
      <c r="J991" s="97"/>
      <c r="K991" s="98"/>
      <c r="L991" s="100"/>
      <c r="M991" s="98"/>
      <c r="N991" s="96"/>
      <c r="O991" s="97"/>
      <c r="P991" s="70"/>
      <c r="Q991" s="97"/>
      <c r="R991" s="97"/>
      <c r="S991" s="98"/>
      <c r="T991" s="97"/>
      <c r="U991" s="98"/>
      <c r="V991" s="100"/>
      <c r="W991" s="98"/>
      <c r="X991" s="96"/>
      <c r="Y991" s="98"/>
      <c r="Z991" s="96"/>
      <c r="AA991" s="97"/>
      <c r="AB991" s="96"/>
      <c r="AC991" s="98"/>
      <c r="AD991" s="98"/>
      <c r="AE991" s="98"/>
    </row>
    <row r="992" spans="2:31" x14ac:dyDescent="0.3">
      <c r="B992" s="96"/>
      <c r="C992" s="96"/>
      <c r="D992" s="96"/>
      <c r="E992" s="97"/>
      <c r="F992" s="96"/>
      <c r="G992" s="98"/>
      <c r="H992" s="96"/>
      <c r="I992" s="98"/>
      <c r="J992" s="97"/>
      <c r="K992" s="98"/>
      <c r="L992" s="100"/>
      <c r="M992" s="98"/>
      <c r="N992" s="96"/>
      <c r="O992" s="97"/>
      <c r="P992" s="70"/>
      <c r="Q992" s="97"/>
      <c r="R992" s="97"/>
      <c r="S992" s="98"/>
      <c r="T992" s="97"/>
      <c r="U992" s="98"/>
      <c r="V992" s="100"/>
      <c r="W992" s="98"/>
      <c r="X992" s="96"/>
      <c r="Y992" s="98"/>
      <c r="Z992" s="96"/>
      <c r="AA992" s="97"/>
      <c r="AB992" s="96"/>
      <c r="AC992" s="98"/>
      <c r="AD992" s="98"/>
      <c r="AE992" s="98"/>
    </row>
    <row r="993" spans="2:31" x14ac:dyDescent="0.3">
      <c r="B993" s="96"/>
      <c r="C993" s="96"/>
      <c r="D993" s="96"/>
      <c r="E993" s="97"/>
      <c r="F993" s="96"/>
      <c r="G993" s="98"/>
      <c r="H993" s="96"/>
      <c r="I993" s="98"/>
      <c r="J993" s="97"/>
      <c r="K993" s="98"/>
      <c r="L993" s="100"/>
      <c r="M993" s="98"/>
      <c r="N993" s="96"/>
      <c r="O993" s="97"/>
      <c r="P993" s="70"/>
      <c r="Q993" s="97"/>
      <c r="R993" s="97"/>
      <c r="S993" s="98"/>
      <c r="T993" s="97"/>
      <c r="U993" s="98"/>
      <c r="V993" s="100"/>
      <c r="W993" s="98"/>
      <c r="X993" s="96"/>
      <c r="Y993" s="98"/>
      <c r="Z993" s="96"/>
      <c r="AA993" s="97"/>
      <c r="AB993" s="96"/>
      <c r="AC993" s="98"/>
      <c r="AD993" s="98"/>
      <c r="AE993" s="98"/>
    </row>
    <row r="994" spans="2:31" x14ac:dyDescent="0.3">
      <c r="B994" s="96"/>
      <c r="C994" s="96"/>
      <c r="D994" s="96"/>
      <c r="E994" s="97"/>
      <c r="F994" s="96"/>
      <c r="G994" s="98"/>
      <c r="H994" s="96"/>
      <c r="I994" s="98"/>
      <c r="J994" s="97"/>
      <c r="K994" s="98"/>
      <c r="L994" s="100"/>
      <c r="M994" s="98"/>
      <c r="N994" s="96"/>
      <c r="O994" s="97"/>
      <c r="P994" s="70"/>
      <c r="Q994" s="97"/>
      <c r="R994" s="97"/>
      <c r="S994" s="98"/>
      <c r="T994" s="97"/>
      <c r="U994" s="98"/>
      <c r="V994" s="100"/>
      <c r="W994" s="98"/>
      <c r="X994" s="96"/>
      <c r="Y994" s="98"/>
      <c r="Z994" s="96"/>
      <c r="AA994" s="97"/>
      <c r="AB994" s="96"/>
      <c r="AC994" s="98"/>
      <c r="AD994" s="98"/>
      <c r="AE994" s="98"/>
    </row>
    <row r="995" spans="2:31" x14ac:dyDescent="0.3">
      <c r="B995" s="96"/>
      <c r="C995" s="96"/>
      <c r="D995" s="96"/>
      <c r="E995" s="97"/>
      <c r="F995" s="96"/>
      <c r="G995" s="98"/>
      <c r="H995" s="96"/>
      <c r="I995" s="98"/>
      <c r="J995" s="97"/>
      <c r="K995" s="98"/>
      <c r="L995" s="100"/>
      <c r="M995" s="98"/>
      <c r="N995" s="96"/>
      <c r="O995" s="97"/>
      <c r="P995" s="70"/>
      <c r="Q995" s="97"/>
      <c r="R995" s="97"/>
      <c r="S995" s="98"/>
      <c r="T995" s="97"/>
      <c r="U995" s="98"/>
      <c r="V995" s="100"/>
      <c r="W995" s="98"/>
      <c r="X995" s="96"/>
      <c r="Y995" s="98"/>
      <c r="Z995" s="96"/>
      <c r="AA995" s="97"/>
      <c r="AB995" s="96"/>
      <c r="AC995" s="98"/>
      <c r="AD995" s="98"/>
      <c r="AE995" s="98"/>
    </row>
    <row r="996" spans="2:31" x14ac:dyDescent="0.3">
      <c r="B996" s="96"/>
      <c r="C996" s="96"/>
      <c r="D996" s="96"/>
      <c r="E996" s="97"/>
      <c r="F996" s="96"/>
      <c r="G996" s="98"/>
      <c r="H996" s="96"/>
      <c r="I996" s="98"/>
      <c r="J996" s="97"/>
      <c r="K996" s="98"/>
      <c r="L996" s="100"/>
      <c r="M996" s="98"/>
      <c r="N996" s="96"/>
      <c r="O996" s="97"/>
      <c r="P996" s="70"/>
      <c r="Q996" s="97"/>
      <c r="R996" s="97"/>
      <c r="S996" s="98"/>
      <c r="T996" s="97"/>
      <c r="U996" s="98"/>
      <c r="V996" s="100"/>
      <c r="W996" s="98"/>
      <c r="X996" s="96"/>
      <c r="Y996" s="98"/>
      <c r="Z996" s="96"/>
      <c r="AA996" s="97"/>
      <c r="AB996" s="96"/>
      <c r="AC996" s="98"/>
      <c r="AD996" s="98"/>
      <c r="AE996" s="98"/>
    </row>
    <row r="997" spans="2:31" x14ac:dyDescent="0.3">
      <c r="B997" s="96"/>
      <c r="C997" s="96"/>
      <c r="D997" s="96"/>
      <c r="E997" s="97"/>
      <c r="F997" s="96"/>
      <c r="G997" s="98"/>
      <c r="H997" s="96"/>
      <c r="I997" s="98"/>
      <c r="J997" s="97"/>
      <c r="K997" s="98"/>
      <c r="L997" s="100"/>
      <c r="M997" s="98"/>
      <c r="N997" s="96"/>
      <c r="O997" s="97"/>
      <c r="P997" s="70"/>
      <c r="Q997" s="97"/>
      <c r="R997" s="97"/>
      <c r="S997" s="98"/>
      <c r="T997" s="97"/>
      <c r="U997" s="98"/>
      <c r="V997" s="100"/>
      <c r="W997" s="98"/>
      <c r="X997" s="96"/>
      <c r="Y997" s="98"/>
      <c r="Z997" s="96"/>
      <c r="AA997" s="97"/>
      <c r="AB997" s="96"/>
      <c r="AC997" s="98"/>
      <c r="AD997" s="98"/>
      <c r="AE997" s="98"/>
    </row>
    <row r="998" spans="2:31" x14ac:dyDescent="0.3">
      <c r="B998" s="96"/>
      <c r="C998" s="96"/>
      <c r="D998" s="96"/>
      <c r="E998" s="97"/>
      <c r="F998" s="96"/>
      <c r="G998" s="98"/>
      <c r="H998" s="96"/>
      <c r="I998" s="98"/>
      <c r="J998" s="97"/>
      <c r="K998" s="98"/>
      <c r="L998" s="100"/>
      <c r="M998" s="98"/>
      <c r="N998" s="96"/>
      <c r="O998" s="97"/>
      <c r="P998" s="70"/>
      <c r="Q998" s="97"/>
      <c r="R998" s="97"/>
      <c r="S998" s="98"/>
      <c r="T998" s="97"/>
      <c r="U998" s="98"/>
      <c r="V998" s="100"/>
      <c r="W998" s="98"/>
      <c r="X998" s="96"/>
      <c r="Y998" s="98"/>
      <c r="Z998" s="96"/>
      <c r="AA998" s="97"/>
      <c r="AB998" s="96"/>
      <c r="AC998" s="98"/>
      <c r="AD998" s="98"/>
      <c r="AE998" s="98"/>
    </row>
    <row r="999" spans="2:31" x14ac:dyDescent="0.3">
      <c r="B999" s="96"/>
      <c r="C999" s="96"/>
      <c r="D999" s="96"/>
      <c r="E999" s="97"/>
      <c r="F999" s="96"/>
      <c r="G999" s="98"/>
      <c r="H999" s="96"/>
      <c r="I999" s="98"/>
      <c r="J999" s="97"/>
      <c r="K999" s="98"/>
      <c r="L999" s="100"/>
      <c r="M999" s="98"/>
      <c r="N999" s="96"/>
      <c r="O999" s="97"/>
      <c r="P999" s="70"/>
      <c r="Q999" s="97"/>
      <c r="R999" s="97"/>
      <c r="S999" s="98"/>
      <c r="T999" s="97"/>
      <c r="U999" s="98"/>
      <c r="V999" s="100"/>
      <c r="W999" s="98"/>
      <c r="X999" s="96"/>
      <c r="Y999" s="98"/>
      <c r="Z999" s="96"/>
      <c r="AA999" s="97"/>
      <c r="AB999" s="96"/>
      <c r="AC999" s="98"/>
      <c r="AD999" s="98"/>
      <c r="AE999" s="98"/>
    </row>
  </sheetData>
  <protectedRanges>
    <protectedRange sqref="D2:M4 X3:AC4 B2:C3 N3:Q4 B5:AE999" name="Dienstreisen_1"/>
  </protectedRanges>
  <mergeCells count="24">
    <mergeCell ref="B2:B4"/>
    <mergeCell ref="C2:C4"/>
    <mergeCell ref="D2:I2"/>
    <mergeCell ref="J2:M2"/>
    <mergeCell ref="N2:S2"/>
    <mergeCell ref="M3:M4"/>
    <mergeCell ref="N3:Q3"/>
    <mergeCell ref="R3:R4"/>
    <mergeCell ref="S3:S4"/>
    <mergeCell ref="D3:G3"/>
    <mergeCell ref="H3:I3"/>
    <mergeCell ref="J3:J4"/>
    <mergeCell ref="K3:K4"/>
    <mergeCell ref="L3:L4"/>
    <mergeCell ref="Z3:AC3"/>
    <mergeCell ref="T2:W2"/>
    <mergeCell ref="X2:AC2"/>
    <mergeCell ref="AD2:AD4"/>
    <mergeCell ref="AE2:AE4"/>
    <mergeCell ref="U3:U4"/>
    <mergeCell ref="V3:V4"/>
    <mergeCell ref="W3:W4"/>
    <mergeCell ref="X3:Y3"/>
    <mergeCell ref="T3:T4"/>
  </mergeCells>
  <pageMargins left="0.70000000000000007" right="0.70000000000000007" top="0.78740157500000008" bottom="0.78740157500000008" header="0.30000000000000004" footer="0.3000000000000000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N99"/>
  <sheetViews>
    <sheetView showGridLines="0" tabSelected="1" workbookViewId="0">
      <selection activeCell="B4" sqref="B4:F4"/>
    </sheetView>
  </sheetViews>
  <sheetFormatPr baseColWidth="10" defaultRowHeight="14.4" x14ac:dyDescent="0.3"/>
  <cols>
    <col min="1" max="1" width="10.6640625" customWidth="1"/>
    <col min="2" max="2" width="12.44140625" customWidth="1"/>
  </cols>
  <sheetData>
    <row r="1" spans="2:14" x14ac:dyDescent="0.3">
      <c r="D1" s="8"/>
    </row>
    <row r="2" spans="2:14" x14ac:dyDescent="0.3">
      <c r="J2" s="14"/>
      <c r="L2" s="14"/>
    </row>
    <row r="3" spans="2:14" ht="15" thickBot="1" x14ac:dyDescent="0.35">
      <c r="B3" t="s">
        <v>55</v>
      </c>
      <c r="H3" t="s">
        <v>74</v>
      </c>
      <c r="J3" s="14" t="s">
        <v>89</v>
      </c>
      <c r="L3" s="11" t="s">
        <v>97</v>
      </c>
    </row>
    <row r="4" spans="2:14" ht="15" thickBot="1" x14ac:dyDescent="0.35">
      <c r="B4" s="131" t="s">
        <v>130</v>
      </c>
      <c r="C4" s="132"/>
      <c r="D4" s="132"/>
      <c r="E4" s="132"/>
      <c r="F4" s="133"/>
      <c r="H4" s="69">
        <f>Übersicht!AM39</f>
        <v>159.99999999999997</v>
      </c>
      <c r="J4" s="69">
        <f>D11+J7-Übersicht!AM46</f>
        <v>14.794520547945208</v>
      </c>
      <c r="K4" s="87"/>
      <c r="L4" s="69">
        <f ca="1">Übersicht!AM56</f>
        <v>-142.99999999999997</v>
      </c>
      <c r="N4" s="40">
        <f>H4-J4</f>
        <v>145.20547945205476</v>
      </c>
    </row>
    <row r="5" spans="2:14" x14ac:dyDescent="0.3">
      <c r="B5" s="10"/>
      <c r="C5" s="10"/>
      <c r="D5" s="10"/>
      <c r="E5" s="10"/>
      <c r="F5" s="10"/>
      <c r="K5" s="11"/>
      <c r="N5">
        <v>1720</v>
      </c>
    </row>
    <row r="6" spans="2:14" ht="15" thickBot="1" x14ac:dyDescent="0.35">
      <c r="B6" t="s">
        <v>60</v>
      </c>
      <c r="D6" s="10"/>
      <c r="E6" s="10"/>
      <c r="F6" s="10"/>
      <c r="G6" s="10"/>
      <c r="H6" t="s">
        <v>63</v>
      </c>
      <c r="J6" s="14" t="s">
        <v>62</v>
      </c>
      <c r="K6" s="11"/>
      <c r="L6" s="14" t="s">
        <v>59</v>
      </c>
      <c r="N6" s="40">
        <f>N4-N5</f>
        <v>-1574.7945205479452</v>
      </c>
    </row>
    <row r="7" spans="2:14" ht="15" thickBot="1" x14ac:dyDescent="0.35">
      <c r="B7" s="77" t="s">
        <v>121</v>
      </c>
      <c r="C7" s="78"/>
      <c r="D7" s="78"/>
      <c r="E7" s="78"/>
      <c r="F7" s="79"/>
      <c r="G7" s="10"/>
      <c r="H7" s="69">
        <f>SUM(J9:J26)</f>
        <v>0</v>
      </c>
      <c r="J7" s="69">
        <f>IF(AND(YEAR(Eintritt)&lt;Jahr,Austritt=""),L7*5,L7*5/(DATE(Jahr,12,31)-DATE(Jahr,1,1)+1)*(IF(Austritt="",DATE(Jahr,12,31),Austritt)-IF(YEAR(Eintritt)&lt;Jahr,DATE(Jahr,1,1),Eintritt)+1))</f>
        <v>14.794520547945208</v>
      </c>
      <c r="K7" s="11"/>
      <c r="L7" s="69">
        <f>SUM(F20:F26)*24</f>
        <v>40.000000000000007</v>
      </c>
      <c r="M7" s="40"/>
    </row>
    <row r="8" spans="2:14" ht="15" thickBot="1" x14ac:dyDescent="0.35">
      <c r="E8" s="11"/>
      <c r="F8" s="11"/>
      <c r="G8" s="11"/>
    </row>
    <row r="9" spans="2:14" ht="15" thickBot="1" x14ac:dyDescent="0.35">
      <c r="B9" t="s">
        <v>64</v>
      </c>
      <c r="D9" s="65">
        <v>2025</v>
      </c>
      <c r="G9" s="11"/>
      <c r="H9" s="6" t="str">
        <f>TEXT(I9,"TTT")</f>
        <v>Mi</v>
      </c>
      <c r="I9" s="82">
        <f>DATE($D$9,1,1)</f>
        <v>45658</v>
      </c>
      <c r="J9" s="80">
        <f t="shared" ref="J9:J22" si="0">IF(OR(I9&lt;IF(YEAR(Eintritt)&lt;Jahr,DATE(Jahr,1,1),Eintritt),I9&gt;IF(Austritt="",DATE(Jahr,12,31),Austritt)),0,SUMIFS(F$20:F$26,B$20:B$26,H9)*24*IF(AND(MONTH(I9)=12,OR(DAY(I9)=24,DAY(I9)=31)),0,1))</f>
        <v>0</v>
      </c>
      <c r="K9" s="84" t="s">
        <v>29</v>
      </c>
      <c r="L9" s="85"/>
    </row>
    <row r="10" spans="2:14" ht="15" thickBot="1" x14ac:dyDescent="0.35">
      <c r="H10" s="6" t="str">
        <f>TEXT(I10,"TTT")</f>
        <v>Mo</v>
      </c>
      <c r="I10" s="82">
        <f>DATE($D$9,1,6)</f>
        <v>45663</v>
      </c>
      <c r="J10" s="80">
        <f t="shared" si="0"/>
        <v>0</v>
      </c>
      <c r="K10" s="84" t="s">
        <v>30</v>
      </c>
      <c r="L10" s="85"/>
    </row>
    <row r="11" spans="2:14" ht="15" thickBot="1" x14ac:dyDescent="0.35">
      <c r="B11" t="s">
        <v>61</v>
      </c>
      <c r="D11" s="86">
        <v>0</v>
      </c>
      <c r="E11" t="s">
        <v>7</v>
      </c>
      <c r="H11" s="6" t="str">
        <f t="shared" ref="H11:H26" si="1">TEXT(I11,"TTT")</f>
        <v>So</v>
      </c>
      <c r="I11" s="82">
        <f>I12-7</f>
        <v>45760</v>
      </c>
      <c r="J11" s="80">
        <f t="shared" si="0"/>
        <v>0</v>
      </c>
      <c r="K11" s="84" t="s">
        <v>76</v>
      </c>
      <c r="L11" s="85"/>
    </row>
    <row r="12" spans="2:14" ht="15" thickBot="1" x14ac:dyDescent="0.35">
      <c r="H12" s="6" t="str">
        <f t="shared" si="1"/>
        <v>So</v>
      </c>
      <c r="I12" s="82">
        <f>$I13-1</f>
        <v>45767</v>
      </c>
      <c r="J12" s="80">
        <f t="shared" si="0"/>
        <v>0</v>
      </c>
      <c r="K12" s="84" t="s">
        <v>52</v>
      </c>
      <c r="L12" s="85"/>
    </row>
    <row r="13" spans="2:14" ht="15" thickBot="1" x14ac:dyDescent="0.35">
      <c r="B13" t="s">
        <v>75</v>
      </c>
      <c r="D13" s="86">
        <v>0</v>
      </c>
      <c r="E13" t="s">
        <v>7</v>
      </c>
      <c r="H13" s="6" t="str">
        <f t="shared" si="1"/>
        <v>Mo</v>
      </c>
      <c r="I13" s="82">
        <f>DATE($D$9,3,1)+MOD((255-11*MOD($D$9,19)-21),30)+21+(MOD((255-11*MOD($D$9,19)-21),30) + 21&gt;48)+6-MOD($D$9+INT($D$9/4)+MOD((255- 11*MOD($D$9,19)- 21),30)+21+(MOD((255-11*MOD($D$9,19)-21),30)+21&gt;48)+1,7)+1</f>
        <v>45768</v>
      </c>
      <c r="J13" s="80">
        <f t="shared" si="0"/>
        <v>0</v>
      </c>
      <c r="K13" s="84" t="s">
        <v>31</v>
      </c>
      <c r="L13" s="85"/>
      <c r="N13" s="8"/>
    </row>
    <row r="14" spans="2:14" ht="15" thickBot="1" x14ac:dyDescent="0.35">
      <c r="H14" s="6" t="str">
        <f t="shared" si="1"/>
        <v>Do</v>
      </c>
      <c r="I14" s="82">
        <f>DATE($D$9,5,1)</f>
        <v>45778</v>
      </c>
      <c r="J14" s="80">
        <f t="shared" si="0"/>
        <v>0</v>
      </c>
      <c r="K14" s="84" t="s">
        <v>32</v>
      </c>
      <c r="L14" s="85"/>
      <c r="N14" s="8"/>
    </row>
    <row r="15" spans="2:14" ht="15" thickBot="1" x14ac:dyDescent="0.35">
      <c r="B15" t="s">
        <v>98</v>
      </c>
      <c r="D15" s="81">
        <v>45845</v>
      </c>
      <c r="H15" s="6" t="str">
        <f t="shared" si="1"/>
        <v>Do</v>
      </c>
      <c r="I15" s="82">
        <f>$I13+38</f>
        <v>45806</v>
      </c>
      <c r="J15" s="80">
        <f t="shared" si="0"/>
        <v>0</v>
      </c>
      <c r="K15" s="84" t="s">
        <v>33</v>
      </c>
      <c r="L15" s="85"/>
      <c r="N15" s="8"/>
    </row>
    <row r="16" spans="2:14" ht="15" customHeight="1" thickBot="1" x14ac:dyDescent="0.35">
      <c r="H16" s="6" t="str">
        <f t="shared" si="1"/>
        <v>So</v>
      </c>
      <c r="I16" s="82">
        <f>I17-1</f>
        <v>45816</v>
      </c>
      <c r="J16" s="80">
        <f t="shared" si="0"/>
        <v>0</v>
      </c>
      <c r="K16" s="84" t="s">
        <v>51</v>
      </c>
      <c r="L16" s="85"/>
    </row>
    <row r="17" spans="2:14" ht="15" thickBot="1" x14ac:dyDescent="0.35">
      <c r="B17" t="s">
        <v>99</v>
      </c>
      <c r="D17" s="81">
        <v>45871</v>
      </c>
      <c r="F17" s="14"/>
      <c r="H17" s="6" t="str">
        <f t="shared" si="1"/>
        <v>Mo</v>
      </c>
      <c r="I17" s="82">
        <f>$I13+49</f>
        <v>45817</v>
      </c>
      <c r="J17" s="80">
        <f t="shared" si="0"/>
        <v>0</v>
      </c>
      <c r="K17" s="84" t="s">
        <v>34</v>
      </c>
      <c r="L17" s="85"/>
    </row>
    <row r="18" spans="2:14" x14ac:dyDescent="0.3">
      <c r="H18" s="6" t="str">
        <f t="shared" si="1"/>
        <v>Do</v>
      </c>
      <c r="I18" s="82">
        <f>$I13+59</f>
        <v>45827</v>
      </c>
      <c r="J18" s="80">
        <f t="shared" si="0"/>
        <v>0</v>
      </c>
      <c r="K18" s="84" t="s">
        <v>35</v>
      </c>
      <c r="L18" s="85"/>
      <c r="N18" s="8"/>
    </row>
    <row r="19" spans="2:14" ht="15" thickBot="1" x14ac:dyDescent="0.35">
      <c r="B19" t="s">
        <v>100</v>
      </c>
      <c r="H19" s="6" t="str">
        <f t="shared" si="1"/>
        <v>Fr</v>
      </c>
      <c r="I19" s="82">
        <f>DATE($D$9,8,15)</f>
        <v>45884</v>
      </c>
      <c r="J19" s="80">
        <f t="shared" si="0"/>
        <v>0</v>
      </c>
      <c r="K19" s="84" t="s">
        <v>36</v>
      </c>
      <c r="L19" s="85"/>
    </row>
    <row r="20" spans="2:14" ht="15" thickBot="1" x14ac:dyDescent="0.35">
      <c r="B20" s="17" t="s">
        <v>44</v>
      </c>
      <c r="C20" s="66">
        <v>0.33333333333333331</v>
      </c>
      <c r="D20" s="67">
        <v>0.6875</v>
      </c>
      <c r="E20" s="68">
        <v>2.0833333333333332E-2</v>
      </c>
      <c r="F20" s="20">
        <f t="shared" ref="F20:F26" si="2">D20-C20-E20</f>
        <v>0.33333333333333337</v>
      </c>
      <c r="H20" s="6" t="str">
        <f t="shared" si="1"/>
        <v>So</v>
      </c>
      <c r="I20" s="82">
        <f>DATE($D$9,10,26)</f>
        <v>45956</v>
      </c>
      <c r="J20" s="80">
        <f t="shared" si="0"/>
        <v>0</v>
      </c>
      <c r="K20" s="84" t="s">
        <v>37</v>
      </c>
      <c r="L20" s="85"/>
    </row>
    <row r="21" spans="2:14" ht="15" thickBot="1" x14ac:dyDescent="0.35">
      <c r="B21" s="17" t="s">
        <v>45</v>
      </c>
      <c r="C21" s="66">
        <v>0.33333333333333331</v>
      </c>
      <c r="D21" s="67">
        <v>0.6875</v>
      </c>
      <c r="E21" s="68">
        <v>2.0833333333333332E-2</v>
      </c>
      <c r="F21" s="20">
        <f t="shared" si="2"/>
        <v>0.33333333333333337</v>
      </c>
      <c r="H21" s="6" t="str">
        <f t="shared" si="1"/>
        <v>Sa</v>
      </c>
      <c r="I21" s="82">
        <f>DATE($D$9,11,1)</f>
        <v>45962</v>
      </c>
      <c r="J21" s="80">
        <f t="shared" si="0"/>
        <v>0</v>
      </c>
      <c r="K21" s="84" t="s">
        <v>38</v>
      </c>
      <c r="L21" s="85"/>
    </row>
    <row r="22" spans="2:14" ht="15" thickBot="1" x14ac:dyDescent="0.35">
      <c r="B22" s="17" t="s">
        <v>46</v>
      </c>
      <c r="C22" s="66">
        <v>0.33333333333333331</v>
      </c>
      <c r="D22" s="67">
        <v>0.6875</v>
      </c>
      <c r="E22" s="68">
        <v>2.0833333333333332E-2</v>
      </c>
      <c r="F22" s="20">
        <f t="shared" si="2"/>
        <v>0.33333333333333337</v>
      </c>
      <c r="H22" s="6" t="str">
        <f t="shared" si="1"/>
        <v>Mo</v>
      </c>
      <c r="I22" s="82">
        <f>DATE($D$9,12,8)</f>
        <v>45999</v>
      </c>
      <c r="J22" s="80">
        <f t="shared" si="0"/>
        <v>0</v>
      </c>
      <c r="K22" s="84" t="s">
        <v>39</v>
      </c>
      <c r="L22" s="85"/>
    </row>
    <row r="23" spans="2:14" ht="15" thickBot="1" x14ac:dyDescent="0.35">
      <c r="B23" s="17" t="s">
        <v>47</v>
      </c>
      <c r="C23" s="66">
        <v>0.33333333333333331</v>
      </c>
      <c r="D23" s="67">
        <v>0.6875</v>
      </c>
      <c r="E23" s="68">
        <v>2.0833333333333332E-2</v>
      </c>
      <c r="F23" s="20">
        <f t="shared" si="2"/>
        <v>0.33333333333333337</v>
      </c>
      <c r="H23" s="6" t="str">
        <f t="shared" si="1"/>
        <v>Mi</v>
      </c>
      <c r="I23" s="82">
        <f>DATE($D$9,12,24)</f>
        <v>46015</v>
      </c>
      <c r="J23" s="80">
        <f>IF(OR(I23&lt;IF(YEAR(Eintritt)&lt;Jahr,DATE(Jahr,1,1),Eintritt),I23&gt;IF(Austritt="",DATE(Jahr,12,31),Austritt)),0,SUMIFS(F$20:F$26,B$20:B$26,H23)*24*IF(AND(MONTH(I23)=12,OR(DAY(I23)=24,DAY(I23)=31)),0.5,1))</f>
        <v>0</v>
      </c>
      <c r="K23" s="84" t="s">
        <v>40</v>
      </c>
      <c r="L23" s="85"/>
    </row>
    <row r="24" spans="2:14" x14ac:dyDescent="0.3">
      <c r="B24" s="17" t="s">
        <v>27</v>
      </c>
      <c r="C24" s="66">
        <v>0.33333333333333331</v>
      </c>
      <c r="D24" s="67">
        <v>0.6875</v>
      </c>
      <c r="E24" s="68">
        <v>2.0833333333333332E-2</v>
      </c>
      <c r="F24" s="20">
        <f t="shared" si="2"/>
        <v>0.33333333333333337</v>
      </c>
      <c r="H24" s="6" t="str">
        <f t="shared" si="1"/>
        <v>Do</v>
      </c>
      <c r="I24" s="82">
        <f>DATE($D$9,12,25)</f>
        <v>46016</v>
      </c>
      <c r="J24" s="80">
        <f>IF(OR(I24&lt;IF(YEAR(Eintritt)&lt;Jahr,DATE(Jahr,1,1),Eintritt),I24&gt;IF(Austritt="",DATE(Jahr,12,31),Austritt)),0,SUMIFS(F$20:F$26,B$20:B$26,H24)*24*IF(AND(MONTH(I24)=12,OR(DAY(I24)=24,DAY(I24)=31)),0.5,1))</f>
        <v>0</v>
      </c>
      <c r="K24" s="84" t="s">
        <v>41</v>
      </c>
      <c r="L24" s="85"/>
    </row>
    <row r="25" spans="2:14" x14ac:dyDescent="0.3">
      <c r="B25" s="18" t="s">
        <v>28</v>
      </c>
      <c r="C25" s="23"/>
      <c r="D25" s="12"/>
      <c r="E25" s="24"/>
      <c r="F25" s="21">
        <f t="shared" si="2"/>
        <v>0</v>
      </c>
      <c r="H25" s="6" t="str">
        <f t="shared" si="1"/>
        <v>Fr</v>
      </c>
      <c r="I25" s="82">
        <f>DATE($D$9,12,26)</f>
        <v>46017</v>
      </c>
      <c r="J25" s="80">
        <f>IF(OR(I25&lt;IF(YEAR(Eintritt)&lt;Jahr,DATE(Jahr,1,1),Eintritt),I25&gt;IF(Austritt="",DATE(Jahr,12,31),Austritt)),0,SUMIFS(F$20:F$26,B$20:B$26,H25)*24*IF(AND(MONTH(I25)=12,OR(DAY(I25)=24,DAY(I25)=31)),0.5,1))</f>
        <v>0</v>
      </c>
      <c r="K25" s="84" t="s">
        <v>42</v>
      </c>
      <c r="L25" s="85"/>
    </row>
    <row r="26" spans="2:14" ht="15" thickBot="1" x14ac:dyDescent="0.35">
      <c r="B26" s="19" t="s">
        <v>53</v>
      </c>
      <c r="C26" s="25"/>
      <c r="D26" s="26"/>
      <c r="E26" s="27"/>
      <c r="F26" s="22">
        <f t="shared" si="2"/>
        <v>0</v>
      </c>
      <c r="H26" s="6" t="str">
        <f t="shared" si="1"/>
        <v>Mi</v>
      </c>
      <c r="I26" s="82">
        <f>DATE($D$9,12,31)</f>
        <v>46022</v>
      </c>
      <c r="J26" s="80">
        <f>IF(OR(I26&lt;IF(YEAR(Eintritt)&lt;Jahr,DATE(Jahr,1,1),Eintritt),I26&gt;IF(Austritt="",DATE(Jahr,12,31),Austritt)),0,SUMIFS(F$20:F$26,B$20:B$26,H26)*24*IF(AND(MONTH(I26)=12,OR(DAY(I26)=24,DAY(I26)=31)),0.5,1))</f>
        <v>0</v>
      </c>
      <c r="K26" s="84" t="s">
        <v>43</v>
      </c>
      <c r="L26" s="85"/>
    </row>
    <row r="27" spans="2:14" x14ac:dyDescent="0.3">
      <c r="F27" s="13"/>
    </row>
    <row r="28" spans="2:14" x14ac:dyDescent="0.3">
      <c r="F28" s="13"/>
    </row>
    <row r="29" spans="2:14" x14ac:dyDescent="0.3">
      <c r="B29" t="s">
        <v>93</v>
      </c>
      <c r="H29" t="s">
        <v>94</v>
      </c>
    </row>
    <row r="31" spans="2:14" x14ac:dyDescent="0.3">
      <c r="B31" s="76" t="s">
        <v>92</v>
      </c>
      <c r="C31" s="134" t="s">
        <v>95</v>
      </c>
      <c r="D31" s="134"/>
      <c r="E31" s="134"/>
      <c r="F31" s="134"/>
      <c r="H31" s="76" t="s">
        <v>92</v>
      </c>
      <c r="I31" s="134" t="s">
        <v>96</v>
      </c>
      <c r="J31" s="134"/>
      <c r="K31" s="134"/>
      <c r="L31" s="134"/>
    </row>
    <row r="32" spans="2:14" x14ac:dyDescent="0.3">
      <c r="B32" s="55" t="s">
        <v>125</v>
      </c>
      <c r="C32" s="92" t="s">
        <v>126</v>
      </c>
      <c r="D32" s="93"/>
      <c r="E32" s="93"/>
      <c r="F32" s="94"/>
      <c r="H32" s="55"/>
      <c r="I32" s="92"/>
      <c r="J32" s="93"/>
      <c r="K32" s="93"/>
      <c r="L32" s="94"/>
    </row>
    <row r="33" spans="2:12" x14ac:dyDescent="0.3">
      <c r="B33" s="55"/>
      <c r="C33" s="92"/>
      <c r="D33" s="93"/>
      <c r="E33" s="93"/>
      <c r="F33" s="94"/>
      <c r="H33" s="55"/>
      <c r="I33" s="92"/>
      <c r="J33" s="93"/>
      <c r="K33" s="93"/>
      <c r="L33" s="94"/>
    </row>
    <row r="34" spans="2:12" x14ac:dyDescent="0.3">
      <c r="B34" s="55"/>
      <c r="C34" s="92"/>
      <c r="D34" s="93"/>
      <c r="E34" s="93"/>
      <c r="F34" s="94"/>
      <c r="H34" s="55"/>
      <c r="I34" s="92"/>
      <c r="J34" s="93"/>
      <c r="K34" s="93"/>
      <c r="L34" s="94"/>
    </row>
    <row r="35" spans="2:12" x14ac:dyDescent="0.3">
      <c r="B35" s="55"/>
      <c r="C35" s="92"/>
      <c r="D35" s="93"/>
      <c r="E35" s="93"/>
      <c r="F35" s="94"/>
      <c r="H35" s="55"/>
      <c r="I35" s="92"/>
      <c r="J35" s="93"/>
      <c r="K35" s="93"/>
      <c r="L35" s="94"/>
    </row>
    <row r="36" spans="2:12" x14ac:dyDescent="0.3">
      <c r="B36" s="55"/>
      <c r="C36" s="92"/>
      <c r="D36" s="93"/>
      <c r="E36" s="93"/>
      <c r="F36" s="94"/>
      <c r="H36" s="55"/>
      <c r="I36" s="92"/>
      <c r="J36" s="93"/>
      <c r="K36" s="93"/>
      <c r="L36" s="94"/>
    </row>
    <row r="37" spans="2:12" x14ac:dyDescent="0.3">
      <c r="B37" s="55"/>
      <c r="C37" s="92"/>
      <c r="D37" s="93"/>
      <c r="E37" s="93"/>
      <c r="F37" s="94"/>
      <c r="H37" s="55"/>
      <c r="I37" s="92"/>
      <c r="J37" s="93"/>
      <c r="K37" s="93"/>
      <c r="L37" s="94"/>
    </row>
    <row r="38" spans="2:12" x14ac:dyDescent="0.3">
      <c r="B38" s="55"/>
      <c r="C38" s="92"/>
      <c r="D38" s="93"/>
      <c r="E38" s="93"/>
      <c r="F38" s="94"/>
      <c r="H38" s="55"/>
      <c r="I38" s="92"/>
      <c r="J38" s="93"/>
      <c r="K38" s="93"/>
      <c r="L38" s="94"/>
    </row>
    <row r="39" spans="2:12" x14ac:dyDescent="0.3">
      <c r="B39" s="55"/>
      <c r="C39" s="92"/>
      <c r="D39" s="93"/>
      <c r="E39" s="93"/>
      <c r="F39" s="94"/>
      <c r="H39" s="55"/>
      <c r="I39" s="92"/>
      <c r="J39" s="93"/>
      <c r="K39" s="93"/>
      <c r="L39" s="94"/>
    </row>
    <row r="40" spans="2:12" x14ac:dyDescent="0.3">
      <c r="B40" s="55"/>
      <c r="C40" s="92"/>
      <c r="D40" s="93"/>
      <c r="E40" s="93"/>
      <c r="F40" s="94"/>
      <c r="H40" s="55"/>
      <c r="I40" s="92"/>
      <c r="J40" s="93"/>
      <c r="K40" s="93"/>
      <c r="L40" s="94"/>
    </row>
    <row r="41" spans="2:12" x14ac:dyDescent="0.3">
      <c r="B41" s="55"/>
      <c r="C41" s="92"/>
      <c r="D41" s="93"/>
      <c r="E41" s="93"/>
      <c r="F41" s="94"/>
      <c r="H41" s="55"/>
      <c r="I41" s="92"/>
      <c r="J41" s="93"/>
      <c r="K41" s="93"/>
      <c r="L41" s="94"/>
    </row>
    <row r="42" spans="2:12" x14ac:dyDescent="0.3">
      <c r="B42" s="55"/>
      <c r="C42" s="92"/>
      <c r="D42" s="93"/>
      <c r="E42" s="93"/>
      <c r="F42" s="94"/>
      <c r="H42" s="55"/>
      <c r="I42" s="92"/>
      <c r="J42" s="93"/>
      <c r="K42" s="93"/>
      <c r="L42" s="94"/>
    </row>
    <row r="43" spans="2:12" x14ac:dyDescent="0.3">
      <c r="B43" s="55"/>
      <c r="C43" s="92"/>
      <c r="D43" s="93"/>
      <c r="E43" s="93"/>
      <c r="F43" s="94"/>
      <c r="H43" s="55"/>
      <c r="I43" s="92"/>
      <c r="J43" s="93"/>
      <c r="K43" s="93"/>
      <c r="L43" s="94"/>
    </row>
    <row r="44" spans="2:12" x14ac:dyDescent="0.3">
      <c r="B44" s="55"/>
      <c r="C44" s="92"/>
      <c r="D44" s="93"/>
      <c r="E44" s="93"/>
      <c r="F44" s="94"/>
      <c r="H44" s="55"/>
      <c r="I44" s="92"/>
      <c r="J44" s="93"/>
      <c r="K44" s="93"/>
      <c r="L44" s="94"/>
    </row>
    <row r="45" spans="2:12" x14ac:dyDescent="0.3">
      <c r="B45" s="55"/>
      <c r="C45" s="92"/>
      <c r="D45" s="93"/>
      <c r="E45" s="93"/>
      <c r="F45" s="94"/>
      <c r="H45" s="55"/>
      <c r="I45" s="92"/>
      <c r="J45" s="93"/>
      <c r="K45" s="93"/>
      <c r="L45" s="94"/>
    </row>
    <row r="46" spans="2:12" x14ac:dyDescent="0.3">
      <c r="B46" s="55"/>
      <c r="C46" s="92"/>
      <c r="D46" s="93"/>
      <c r="E46" s="93"/>
      <c r="F46" s="94"/>
      <c r="H46" s="55"/>
      <c r="I46" s="92"/>
      <c r="J46" s="93"/>
      <c r="K46" s="93"/>
      <c r="L46" s="94"/>
    </row>
    <row r="47" spans="2:12" x14ac:dyDescent="0.3">
      <c r="B47" s="55"/>
      <c r="C47" s="92"/>
      <c r="D47" s="93"/>
      <c r="E47" s="93"/>
      <c r="F47" s="94"/>
      <c r="H47" s="55"/>
      <c r="I47" s="92"/>
      <c r="J47" s="93"/>
      <c r="K47" s="93"/>
      <c r="L47" s="94"/>
    </row>
    <row r="48" spans="2:12" x14ac:dyDescent="0.3">
      <c r="B48" s="55"/>
      <c r="C48" s="92"/>
      <c r="D48" s="93"/>
      <c r="E48" s="93"/>
      <c r="F48" s="94"/>
      <c r="H48" s="55"/>
      <c r="I48" s="92"/>
      <c r="J48" s="93"/>
      <c r="K48" s="93"/>
      <c r="L48" s="94"/>
    </row>
    <row r="49" spans="2:12" x14ac:dyDescent="0.3">
      <c r="B49" s="55"/>
      <c r="C49" s="92"/>
      <c r="D49" s="93"/>
      <c r="E49" s="93"/>
      <c r="F49" s="94"/>
      <c r="H49" s="55"/>
      <c r="I49" s="92"/>
      <c r="J49" s="93"/>
      <c r="K49" s="93"/>
      <c r="L49" s="94"/>
    </row>
    <row r="50" spans="2:12" x14ac:dyDescent="0.3">
      <c r="B50" s="55"/>
      <c r="C50" s="92"/>
      <c r="D50" s="93"/>
      <c r="E50" s="93"/>
      <c r="F50" s="94"/>
      <c r="H50" s="55"/>
      <c r="I50" s="92"/>
      <c r="J50" s="93"/>
      <c r="K50" s="93"/>
      <c r="L50" s="94"/>
    </row>
    <row r="51" spans="2:12" x14ac:dyDescent="0.3">
      <c r="B51" s="55"/>
      <c r="C51" s="92"/>
      <c r="D51" s="93"/>
      <c r="E51" s="93"/>
      <c r="F51" s="94"/>
      <c r="H51" s="55"/>
      <c r="I51" s="92"/>
      <c r="J51" s="93"/>
      <c r="K51" s="93"/>
      <c r="L51" s="94"/>
    </row>
    <row r="52" spans="2:12" x14ac:dyDescent="0.3">
      <c r="B52" s="55"/>
      <c r="C52" s="92"/>
      <c r="D52" s="93"/>
      <c r="E52" s="93"/>
      <c r="F52" s="94"/>
      <c r="H52" s="55"/>
      <c r="I52" s="92"/>
      <c r="J52" s="93"/>
      <c r="K52" s="93"/>
      <c r="L52" s="94"/>
    </row>
    <row r="53" spans="2:12" x14ac:dyDescent="0.3">
      <c r="B53" s="55"/>
      <c r="C53" s="92"/>
      <c r="D53" s="93"/>
      <c r="E53" s="93"/>
      <c r="F53" s="94"/>
      <c r="H53" s="55"/>
      <c r="I53" s="92"/>
      <c r="J53" s="93"/>
      <c r="K53" s="93"/>
      <c r="L53" s="94"/>
    </row>
    <row r="54" spans="2:12" x14ac:dyDescent="0.3">
      <c r="B54" s="55"/>
      <c r="C54" s="92"/>
      <c r="D54" s="93"/>
      <c r="E54" s="93"/>
      <c r="F54" s="94"/>
      <c r="H54" s="55"/>
      <c r="I54" s="92"/>
      <c r="J54" s="93"/>
      <c r="K54" s="93"/>
      <c r="L54" s="94"/>
    </row>
    <row r="55" spans="2:12" x14ac:dyDescent="0.3">
      <c r="B55" s="55"/>
      <c r="C55" s="92"/>
      <c r="D55" s="93"/>
      <c r="E55" s="93"/>
      <c r="F55" s="94"/>
      <c r="H55" s="55"/>
      <c r="I55" s="92"/>
      <c r="J55" s="93"/>
      <c r="K55" s="93"/>
      <c r="L55" s="94"/>
    </row>
    <row r="56" spans="2:12" x14ac:dyDescent="0.3">
      <c r="B56" s="55"/>
      <c r="C56" s="92"/>
      <c r="D56" s="93"/>
      <c r="E56" s="93"/>
      <c r="F56" s="94"/>
      <c r="H56" s="55"/>
      <c r="I56" s="92"/>
      <c r="J56" s="93"/>
      <c r="K56" s="93"/>
      <c r="L56" s="94"/>
    </row>
    <row r="57" spans="2:12" x14ac:dyDescent="0.3">
      <c r="B57" s="55"/>
      <c r="C57" s="92"/>
      <c r="D57" s="93"/>
      <c r="E57" s="93"/>
      <c r="F57" s="94"/>
      <c r="H57" s="55"/>
      <c r="I57" s="92"/>
      <c r="J57" s="93"/>
      <c r="K57" s="93"/>
      <c r="L57" s="94"/>
    </row>
    <row r="58" spans="2:12" x14ac:dyDescent="0.3">
      <c r="B58" s="55"/>
      <c r="C58" s="92"/>
      <c r="D58" s="93"/>
      <c r="E58" s="93"/>
      <c r="F58" s="94"/>
      <c r="H58" s="55"/>
      <c r="I58" s="92"/>
      <c r="J58" s="93"/>
      <c r="K58" s="93"/>
      <c r="L58" s="94"/>
    </row>
    <row r="59" spans="2:12" x14ac:dyDescent="0.3">
      <c r="B59" s="55"/>
      <c r="C59" s="92"/>
      <c r="D59" s="93"/>
      <c r="E59" s="93"/>
      <c r="F59" s="94"/>
      <c r="H59" s="55"/>
      <c r="I59" s="92"/>
      <c r="J59" s="93"/>
      <c r="K59" s="93"/>
      <c r="L59" s="94"/>
    </row>
    <row r="60" spans="2:12" x14ac:dyDescent="0.3">
      <c r="B60" s="55"/>
      <c r="C60" s="92"/>
      <c r="D60" s="93"/>
      <c r="E60" s="93"/>
      <c r="F60" s="94"/>
      <c r="H60" s="55"/>
      <c r="I60" s="92"/>
      <c r="J60" s="93"/>
      <c r="K60" s="93"/>
      <c r="L60" s="94"/>
    </row>
    <row r="61" spans="2:12" x14ac:dyDescent="0.3">
      <c r="B61" s="55"/>
      <c r="C61" s="92"/>
      <c r="D61" s="93"/>
      <c r="E61" s="93"/>
      <c r="F61" s="94"/>
      <c r="H61" s="55"/>
      <c r="I61" s="92"/>
      <c r="J61" s="93"/>
      <c r="K61" s="93"/>
      <c r="L61" s="94"/>
    </row>
    <row r="62" spans="2:12" x14ac:dyDescent="0.3">
      <c r="B62" s="55"/>
      <c r="C62" s="92"/>
      <c r="D62" s="93"/>
      <c r="E62" s="93"/>
      <c r="F62" s="94"/>
      <c r="H62" s="55"/>
      <c r="I62" s="92"/>
      <c r="J62" s="93"/>
      <c r="K62" s="93"/>
      <c r="L62" s="94"/>
    </row>
    <row r="63" spans="2:12" x14ac:dyDescent="0.3">
      <c r="B63" s="55"/>
      <c r="C63" s="92"/>
      <c r="D63" s="93"/>
      <c r="E63" s="93"/>
      <c r="F63" s="94"/>
      <c r="H63" s="55"/>
      <c r="I63" s="92"/>
      <c r="J63" s="93"/>
      <c r="K63" s="93"/>
      <c r="L63" s="94"/>
    </row>
    <row r="64" spans="2:12" x14ac:dyDescent="0.3">
      <c r="B64" s="55"/>
      <c r="C64" s="92"/>
      <c r="D64" s="93"/>
      <c r="E64" s="93"/>
      <c r="F64" s="94"/>
      <c r="H64" s="55"/>
      <c r="I64" s="92"/>
      <c r="J64" s="93"/>
      <c r="K64" s="93"/>
      <c r="L64" s="94"/>
    </row>
    <row r="65" spans="2:12" x14ac:dyDescent="0.3">
      <c r="B65" s="55"/>
      <c r="C65" s="92"/>
      <c r="D65" s="93"/>
      <c r="E65" s="93"/>
      <c r="F65" s="94"/>
      <c r="H65" s="55"/>
      <c r="I65" s="92"/>
      <c r="J65" s="93"/>
      <c r="K65" s="93"/>
      <c r="L65" s="94"/>
    </row>
    <row r="66" spans="2:12" x14ac:dyDescent="0.3">
      <c r="B66" s="55"/>
      <c r="C66" s="92"/>
      <c r="D66" s="93"/>
      <c r="E66" s="93"/>
      <c r="F66" s="94"/>
      <c r="H66" s="55"/>
      <c r="I66" s="92"/>
      <c r="J66" s="93"/>
      <c r="K66" s="93"/>
      <c r="L66" s="94"/>
    </row>
    <row r="67" spans="2:12" x14ac:dyDescent="0.3">
      <c r="B67" s="55"/>
      <c r="C67" s="92"/>
      <c r="D67" s="93"/>
      <c r="E67" s="93"/>
      <c r="F67" s="94"/>
      <c r="H67" s="55"/>
      <c r="I67" s="92"/>
      <c r="J67" s="93"/>
      <c r="K67" s="93"/>
      <c r="L67" s="94"/>
    </row>
    <row r="68" spans="2:12" x14ac:dyDescent="0.3">
      <c r="B68" s="55"/>
      <c r="C68" s="92"/>
      <c r="D68" s="93"/>
      <c r="E68" s="93"/>
      <c r="F68" s="94"/>
      <c r="H68" s="55"/>
      <c r="I68" s="92"/>
      <c r="J68" s="93"/>
      <c r="K68" s="93"/>
      <c r="L68" s="94"/>
    </row>
    <row r="69" spans="2:12" x14ac:dyDescent="0.3">
      <c r="B69" s="55"/>
      <c r="C69" s="92"/>
      <c r="D69" s="93"/>
      <c r="E69" s="93"/>
      <c r="F69" s="94"/>
      <c r="H69" s="55"/>
      <c r="I69" s="92"/>
      <c r="J69" s="93"/>
      <c r="K69" s="93"/>
      <c r="L69" s="94"/>
    </row>
    <row r="70" spans="2:12" x14ac:dyDescent="0.3">
      <c r="B70" s="55"/>
      <c r="C70" s="92"/>
      <c r="D70" s="93"/>
      <c r="E70" s="93"/>
      <c r="F70" s="94"/>
      <c r="H70" s="55"/>
      <c r="I70" s="92"/>
      <c r="J70" s="93"/>
      <c r="K70" s="93"/>
      <c r="L70" s="94"/>
    </row>
    <row r="71" spans="2:12" x14ac:dyDescent="0.3">
      <c r="B71" s="55"/>
      <c r="C71" s="92"/>
      <c r="D71" s="93"/>
      <c r="E71" s="93"/>
      <c r="F71" s="94"/>
      <c r="H71" s="55"/>
      <c r="I71" s="92"/>
      <c r="J71" s="93"/>
      <c r="K71" s="93"/>
      <c r="L71" s="94"/>
    </row>
    <row r="72" spans="2:12" x14ac:dyDescent="0.3">
      <c r="B72" s="55"/>
      <c r="C72" s="92"/>
      <c r="D72" s="93"/>
      <c r="E72" s="93"/>
      <c r="F72" s="94"/>
      <c r="H72" s="55"/>
      <c r="I72" s="92"/>
      <c r="J72" s="93"/>
      <c r="K72" s="93"/>
      <c r="L72" s="94"/>
    </row>
    <row r="73" spans="2:12" x14ac:dyDescent="0.3">
      <c r="B73" s="55"/>
      <c r="C73" s="92"/>
      <c r="D73" s="93"/>
      <c r="E73" s="93"/>
      <c r="F73" s="94"/>
      <c r="H73" s="55"/>
      <c r="I73" s="92"/>
      <c r="J73" s="93"/>
      <c r="K73" s="93"/>
      <c r="L73" s="94"/>
    </row>
    <row r="74" spans="2:12" x14ac:dyDescent="0.3">
      <c r="B74" s="55"/>
      <c r="C74" s="92"/>
      <c r="D74" s="93"/>
      <c r="E74" s="93"/>
      <c r="F74" s="94"/>
      <c r="H74" s="55"/>
      <c r="I74" s="92"/>
      <c r="J74" s="93"/>
      <c r="K74" s="93"/>
      <c r="L74" s="94"/>
    </row>
    <row r="75" spans="2:12" x14ac:dyDescent="0.3">
      <c r="B75" s="55"/>
      <c r="C75" s="92"/>
      <c r="D75" s="93"/>
      <c r="E75" s="93"/>
      <c r="F75" s="94"/>
      <c r="H75" s="55"/>
      <c r="I75" s="92"/>
      <c r="J75" s="93"/>
      <c r="K75" s="93"/>
      <c r="L75" s="94"/>
    </row>
    <row r="76" spans="2:12" x14ac:dyDescent="0.3">
      <c r="B76" s="55"/>
      <c r="C76" s="92"/>
      <c r="D76" s="93"/>
      <c r="E76" s="93"/>
      <c r="F76" s="94"/>
      <c r="H76" s="55"/>
      <c r="I76" s="92"/>
      <c r="J76" s="93"/>
      <c r="K76" s="93"/>
      <c r="L76" s="94"/>
    </row>
    <row r="77" spans="2:12" x14ac:dyDescent="0.3">
      <c r="B77" s="55"/>
      <c r="C77" s="92"/>
      <c r="D77" s="93"/>
      <c r="E77" s="93"/>
      <c r="F77" s="94"/>
      <c r="H77" s="55"/>
      <c r="I77" s="92"/>
      <c r="J77" s="93"/>
      <c r="K77" s="93"/>
      <c r="L77" s="94"/>
    </row>
    <row r="78" spans="2:12" x14ac:dyDescent="0.3">
      <c r="B78" s="55"/>
      <c r="C78" s="92"/>
      <c r="D78" s="93"/>
      <c r="E78" s="93"/>
      <c r="F78" s="94"/>
      <c r="H78" s="55"/>
      <c r="I78" s="92"/>
      <c r="J78" s="93"/>
      <c r="K78" s="93"/>
      <c r="L78" s="94"/>
    </row>
    <row r="79" spans="2:12" x14ac:dyDescent="0.3">
      <c r="B79" s="55"/>
      <c r="C79" s="92"/>
      <c r="D79" s="93"/>
      <c r="E79" s="93"/>
      <c r="F79" s="94"/>
      <c r="H79" s="55"/>
      <c r="I79" s="92"/>
      <c r="J79" s="93"/>
      <c r="K79" s="93"/>
      <c r="L79" s="94"/>
    </row>
    <row r="80" spans="2:12" x14ac:dyDescent="0.3">
      <c r="B80" s="55"/>
      <c r="C80" s="92"/>
      <c r="D80" s="93"/>
      <c r="E80" s="93"/>
      <c r="F80" s="94"/>
      <c r="H80" s="55"/>
      <c r="I80" s="92"/>
      <c r="J80" s="93"/>
      <c r="K80" s="93"/>
      <c r="L80" s="94"/>
    </row>
    <row r="81" spans="2:12" x14ac:dyDescent="0.3">
      <c r="B81" s="55"/>
      <c r="C81" s="92"/>
      <c r="D81" s="93"/>
      <c r="E81" s="93"/>
      <c r="F81" s="94"/>
      <c r="H81" s="55"/>
      <c r="I81" s="92"/>
      <c r="J81" s="93"/>
      <c r="K81" s="93"/>
      <c r="L81" s="94"/>
    </row>
    <row r="82" spans="2:12" x14ac:dyDescent="0.3">
      <c r="B82" s="55"/>
      <c r="C82" s="92"/>
      <c r="D82" s="93"/>
      <c r="E82" s="93"/>
      <c r="F82" s="94"/>
      <c r="H82" s="55"/>
      <c r="I82" s="92"/>
      <c r="J82" s="93"/>
      <c r="K82" s="93"/>
      <c r="L82" s="94"/>
    </row>
    <row r="83" spans="2:12" x14ac:dyDescent="0.3">
      <c r="B83" s="55"/>
      <c r="C83" s="92"/>
      <c r="D83" s="93"/>
      <c r="E83" s="93"/>
      <c r="F83" s="94"/>
      <c r="H83" s="55"/>
      <c r="I83" s="92"/>
      <c r="J83" s="93"/>
      <c r="K83" s="93"/>
      <c r="L83" s="94"/>
    </row>
    <row r="84" spans="2:12" x14ac:dyDescent="0.3">
      <c r="B84" s="55"/>
      <c r="C84" s="92"/>
      <c r="D84" s="93"/>
      <c r="E84" s="93"/>
      <c r="F84" s="94"/>
      <c r="H84" s="55"/>
      <c r="I84" s="92"/>
      <c r="J84" s="93"/>
      <c r="K84" s="93"/>
      <c r="L84" s="94"/>
    </row>
    <row r="85" spans="2:12" x14ac:dyDescent="0.3">
      <c r="B85" s="55"/>
      <c r="C85" s="92"/>
      <c r="D85" s="93"/>
      <c r="E85" s="93"/>
      <c r="F85" s="94"/>
      <c r="H85" s="55"/>
      <c r="I85" s="92"/>
      <c r="J85" s="93"/>
      <c r="K85" s="93"/>
      <c r="L85" s="94"/>
    </row>
    <row r="86" spans="2:12" x14ac:dyDescent="0.3">
      <c r="B86" s="55"/>
      <c r="C86" s="92"/>
      <c r="D86" s="93"/>
      <c r="E86" s="93"/>
      <c r="F86" s="94"/>
      <c r="H86" s="55"/>
      <c r="I86" s="92"/>
      <c r="J86" s="93"/>
      <c r="K86" s="93"/>
      <c r="L86" s="94"/>
    </row>
    <row r="87" spans="2:12" x14ac:dyDescent="0.3">
      <c r="B87" s="55"/>
      <c r="C87" s="92"/>
      <c r="D87" s="93"/>
      <c r="E87" s="93"/>
      <c r="F87" s="94"/>
      <c r="H87" s="55"/>
      <c r="I87" s="92"/>
      <c r="J87" s="93"/>
      <c r="K87" s="93"/>
      <c r="L87" s="94"/>
    </row>
    <row r="88" spans="2:12" x14ac:dyDescent="0.3">
      <c r="B88" s="55"/>
      <c r="C88" s="92"/>
      <c r="D88" s="93"/>
      <c r="E88" s="93"/>
      <c r="F88" s="94"/>
      <c r="H88" s="55"/>
      <c r="I88" s="92"/>
      <c r="J88" s="93"/>
      <c r="K88" s="93"/>
      <c r="L88" s="94"/>
    </row>
    <row r="89" spans="2:12" x14ac:dyDescent="0.3">
      <c r="B89" s="55"/>
      <c r="C89" s="92"/>
      <c r="D89" s="93"/>
      <c r="E89" s="93"/>
      <c r="F89" s="94"/>
      <c r="H89" s="55"/>
      <c r="I89" s="92"/>
      <c r="J89" s="93"/>
      <c r="K89" s="93"/>
      <c r="L89" s="94"/>
    </row>
    <row r="90" spans="2:12" x14ac:dyDescent="0.3">
      <c r="B90" s="55"/>
      <c r="C90" s="92"/>
      <c r="D90" s="93"/>
      <c r="E90" s="93"/>
      <c r="F90" s="94"/>
      <c r="H90" s="55"/>
      <c r="I90" s="92"/>
      <c r="J90" s="93"/>
      <c r="K90" s="93"/>
      <c r="L90" s="94"/>
    </row>
    <row r="91" spans="2:12" x14ac:dyDescent="0.3">
      <c r="B91" s="55"/>
      <c r="C91" s="92"/>
      <c r="D91" s="93"/>
      <c r="E91" s="93"/>
      <c r="F91" s="94"/>
      <c r="H91" s="55"/>
      <c r="I91" s="92"/>
      <c r="J91" s="93"/>
      <c r="K91" s="93"/>
      <c r="L91" s="94"/>
    </row>
    <row r="92" spans="2:12" x14ac:dyDescent="0.3">
      <c r="B92" s="55"/>
      <c r="C92" s="92"/>
      <c r="D92" s="93"/>
      <c r="E92" s="93"/>
      <c r="F92" s="94"/>
      <c r="H92" s="55"/>
      <c r="I92" s="128"/>
      <c r="J92" s="129"/>
      <c r="K92" s="129"/>
      <c r="L92" s="130"/>
    </row>
    <row r="93" spans="2:12" x14ac:dyDescent="0.3">
      <c r="B93" s="55"/>
      <c r="C93" s="92"/>
      <c r="D93" s="93"/>
      <c r="E93" s="93"/>
      <c r="F93" s="94"/>
      <c r="H93" s="55"/>
      <c r="I93" s="128"/>
      <c r="J93" s="129"/>
      <c r="K93" s="129"/>
      <c r="L93" s="130"/>
    </row>
    <row r="94" spans="2:12" x14ac:dyDescent="0.3">
      <c r="B94" s="55"/>
      <c r="C94" s="92"/>
      <c r="D94" s="93"/>
      <c r="E94" s="93"/>
      <c r="F94" s="94"/>
      <c r="H94" s="55"/>
      <c r="I94" s="128"/>
      <c r="J94" s="129"/>
      <c r="K94" s="129"/>
      <c r="L94" s="130"/>
    </row>
    <row r="95" spans="2:12" x14ac:dyDescent="0.3">
      <c r="B95" s="55"/>
      <c r="C95" s="92"/>
      <c r="D95" s="93"/>
      <c r="E95" s="93"/>
      <c r="F95" s="94"/>
      <c r="H95" s="55"/>
      <c r="I95" s="128"/>
      <c r="J95" s="129"/>
      <c r="K95" s="129"/>
      <c r="L95" s="130"/>
    </row>
    <row r="96" spans="2:12" x14ac:dyDescent="0.3">
      <c r="B96" s="55"/>
      <c r="C96" s="92"/>
      <c r="D96" s="93"/>
      <c r="E96" s="93"/>
      <c r="F96" s="94"/>
      <c r="H96" s="55"/>
      <c r="I96" s="128"/>
      <c r="J96" s="129"/>
      <c r="K96" s="129"/>
      <c r="L96" s="130"/>
    </row>
    <row r="97" spans="2:12" x14ac:dyDescent="0.3">
      <c r="B97" s="55"/>
      <c r="C97" s="92"/>
      <c r="D97" s="93"/>
      <c r="E97" s="93"/>
      <c r="F97" s="94"/>
      <c r="H97" s="55"/>
      <c r="I97" s="128"/>
      <c r="J97" s="129"/>
      <c r="K97" s="129"/>
      <c r="L97" s="130"/>
    </row>
    <row r="98" spans="2:12" x14ac:dyDescent="0.3">
      <c r="B98" s="55"/>
      <c r="C98" s="92"/>
      <c r="D98" s="93"/>
      <c r="E98" s="93"/>
      <c r="F98" s="94"/>
      <c r="H98" s="55"/>
      <c r="I98" s="128"/>
      <c r="J98" s="129"/>
      <c r="K98" s="129"/>
      <c r="L98" s="130"/>
    </row>
    <row r="99" spans="2:12" x14ac:dyDescent="0.3">
      <c r="B99" s="55"/>
      <c r="C99" s="92"/>
      <c r="D99" s="93"/>
      <c r="E99" s="93"/>
      <c r="F99" s="94"/>
      <c r="H99" s="55"/>
      <c r="I99" s="128"/>
      <c r="J99" s="129"/>
      <c r="K99" s="129"/>
      <c r="L99" s="130"/>
    </row>
  </sheetData>
  <protectedRanges>
    <protectedRange sqref="D17" name="Austritt"/>
    <protectedRange sqref="H90:H99 B96:B99" name="Arbeitspakete"/>
    <protectedRange sqref="D13 D17 D11" name="Gleitzeitübertrag"/>
    <protectedRange sqref="D9" name="Jahr"/>
    <protectedRange sqref="C25:E26" name="Arbeitszeiten"/>
    <protectedRange sqref="H90:H99 B32:B99" name="Projekte"/>
    <protectedRange sqref="I90:L99 C96:F99 H32:L89" name="Arbeitspakete_1"/>
    <protectedRange sqref="C20:E24" name="Arbeitszeiten_1_2"/>
    <protectedRange sqref="D15" name="Gleitzeitübertrag_1_1"/>
    <protectedRange sqref="D15" name="Eintritt_1_1"/>
    <protectedRange sqref="C7:F7" name="Organisation_2"/>
    <protectedRange sqref="B7" name="Organisation_1_1"/>
    <protectedRange sqref="B4:F4" name="Name_1_2"/>
  </protectedRanges>
  <mergeCells count="11">
    <mergeCell ref="B4:F4"/>
    <mergeCell ref="I31:L31"/>
    <mergeCell ref="C31:F31"/>
    <mergeCell ref="I92:L92"/>
    <mergeCell ref="I93:L93"/>
    <mergeCell ref="I99:L99"/>
    <mergeCell ref="I94:L94"/>
    <mergeCell ref="I95:L95"/>
    <mergeCell ref="I96:L96"/>
    <mergeCell ref="I97:L97"/>
    <mergeCell ref="I98:L98"/>
  </mergeCells>
  <conditionalFormatting sqref="H9:H26">
    <cfRule type="expression" dxfId="2" priority="1">
      <formula>WEEKDAY($I9,2)=7</formula>
    </cfRule>
    <cfRule type="expression" dxfId="1" priority="2">
      <formula>WEEKDAY($I9,2)=6</formula>
    </cfRule>
    <cfRule type="expression" dxfId="0" priority="3">
      <formula>WEEKDAY($I9,2)&lt;6</formula>
    </cfRule>
  </conditionalFormatting>
  <pageMargins left="0.70000000000000007" right="0.70000000000000007" top="0.78740157500000008" bottom="0.78740157500000008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18</vt:i4>
      </vt:variant>
    </vt:vector>
  </HeadingPairs>
  <TitlesOfParts>
    <vt:vector size="36" baseType="lpstr">
      <vt:lpstr>Übersicht</vt:lpstr>
      <vt:lpstr>Projekte</vt:lpstr>
      <vt:lpstr>Jän</vt:lpstr>
      <vt:lpstr>Feb</vt:lpstr>
      <vt:lpstr>Mär</vt:lpstr>
      <vt:lpstr>Apr</vt:lpstr>
      <vt:lpstr>Mai</vt:lpstr>
      <vt:lpstr>Jun</vt:lpstr>
      <vt:lpstr>Jul</vt:lpstr>
      <vt:lpstr>Aug</vt:lpstr>
      <vt:lpstr>Sep</vt:lpstr>
      <vt:lpstr>Okt</vt:lpstr>
      <vt:lpstr>Nov</vt:lpstr>
      <vt:lpstr>Dez</vt:lpstr>
      <vt:lpstr>Auswärtstage</vt:lpstr>
      <vt:lpstr>Abwesenheit</vt:lpstr>
      <vt:lpstr>Dienstreisen</vt:lpstr>
      <vt:lpstr>Stammdaten</vt:lpstr>
      <vt:lpstr>Arbeitspakete</vt:lpstr>
      <vt:lpstr>Austritt</vt:lpstr>
      <vt:lpstr>Apr!Druckbereich</vt:lpstr>
      <vt:lpstr>Dez!Druckbereich</vt:lpstr>
      <vt:lpstr>Feb!Druckbereich</vt:lpstr>
      <vt:lpstr>Jän!Druckbereich</vt:lpstr>
      <vt:lpstr>Jul!Druckbereich</vt:lpstr>
      <vt:lpstr>Jun!Druckbereich</vt:lpstr>
      <vt:lpstr>Mai!Druckbereich</vt:lpstr>
      <vt:lpstr>Mär!Druckbereich</vt:lpstr>
      <vt:lpstr>Nov!Druckbereich</vt:lpstr>
      <vt:lpstr>Okt!Druckbereich</vt:lpstr>
      <vt:lpstr>Projekte!Druckbereich</vt:lpstr>
      <vt:lpstr>Sep!Druckbereich</vt:lpstr>
      <vt:lpstr>Eintritt</vt:lpstr>
      <vt:lpstr>Grund</vt:lpstr>
      <vt:lpstr>Jahr</vt:lpstr>
      <vt:lpstr>Projektnamen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Garcia Pinal Karen Hi-Jian</cp:lastModifiedBy>
  <cp:lastPrinted>2016-08-21T09:10:40Z</cp:lastPrinted>
  <dcterms:created xsi:type="dcterms:W3CDTF">2016-07-14T14:23:59Z</dcterms:created>
  <dcterms:modified xsi:type="dcterms:W3CDTF">2025-09-24T11:41:03Z</dcterms:modified>
</cp:coreProperties>
</file>